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3"/>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primary source, 600 isolates/drug
2. NCBI Isolates Browser (ncbi.nlm.nih.gov/pathogens/isolates), metadata, SNP clusters, country
3. NCBI SRA and GenBank, genome assemblies via accession (GCA_* in metadata CSVs)
4. Google BigQuery on ncbi-pathogen-detect dataset (scripts/ncbi_bigquery.py),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has)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has and model</t>
        </is>
      </c>
      <c r="C18" s="17" t="inlineStr">
        <is>
          <t>What input has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has (18 binary has):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has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has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has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has.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has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has are biologically curated:
| Drug | Key has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Governance)</t>
        </is>
      </c>
      <c r="F37" s="23" t="inlineStr">
        <is>
          <t>Administrative,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Governance)</t>
        </is>
      </c>
      <c r="F38" s="23" t="inlineStr">
        <is>
          <t>Administrative,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Governance)</t>
        </is>
      </c>
      <c r="F39" s="23" t="inlineStr">
        <is>
          <t>Regulatory,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Partnerships)</t>
        </is>
      </c>
      <c r="F40" s="23" t="inlineStr">
        <is>
          <t>Legal,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3"/>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Render (USA), Supabase (USA). Cross-border data transfer acknowledged. Q33 not done,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c r="E9" s="41" t="n"/>
      <c r="F9" s="41" t="n"/>
      <c r="G9" s="41" t="n"/>
      <c r="H9" s="40" t="n"/>
      <c r="I9" s="42" t="n"/>
      <c r="J9" s="42" t="n"/>
      <c r="K9" s="43" t="n">
        <v>0.952</v>
      </c>
      <c r="L9" s="44">
        <f>IF(OR(K9="",I9=""),"",I9-K9)</f>
        <v/>
      </c>
      <c r="M9" s="45">
        <f>IF(COUNT(D9:G9)=0,"",SUM(D9:G9))</f>
        <v/>
      </c>
      <c r="N9" s="46">
        <f>IF((D9+E9)=0,"",D9/(D9+E9))</f>
        <v/>
      </c>
      <c r="O9" s="46">
        <f>IF((D9+E9)=0,"",((D9/(D9+E9))+$B$4^2/(2*(D9+E9))-$B$4*SQRT((D9/(D9+E9))*(1-(D9/(D9+E9)))/(D9+E9)+$B$4^2/(4*(D9+E9)^2)))/(1+$B$4^2/(D9+E9)))</f>
        <v/>
      </c>
      <c r="P9" s="46">
        <f>IF((D9+E9)=0,"",((D9/(D9+E9))+$B$4^2/(2*(D9+E9))+$B$4*SQRT((D9/(D9+E9))*(1-(D9/(D9+E9)))/(D9+E9)+$B$4^2/(4*(D9+E9)^2)))/(1+$B$4^2/(D9+E9)))</f>
        <v/>
      </c>
      <c r="Q9" s="46">
        <f>IF((F9+G9)=0,"",F9/(F9+G9))</f>
        <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f>IF(OR(K10="",I10=""),"",I10-K10)</f>
        <v/>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n"/>
      <c r="L11" s="50">
        <f>IF(OR(K11="",I11=""),"",I11-K11)</f>
        <v/>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f>IF(OR(K12="",I12=""),"",I12-K12)</f>
        <v/>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f>IF(OR(K13="",I13=""),"",I13-K13)</f>
        <v/>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c r="E14" s="41" t="n"/>
      <c r="F14" s="41" t="n"/>
      <c r="G14" s="41" t="n"/>
      <c r="H14" s="40" t="n"/>
      <c r="I14" s="42" t="n"/>
      <c r="J14" s="42" t="n"/>
      <c r="K14" s="43" t="n">
        <v>0.872</v>
      </c>
      <c r="L14" s="44">
        <f>IF(OR(K14="",I14=""),"",I14-K14)</f>
        <v/>
      </c>
      <c r="M14" s="45">
        <f>IF(COUNT(D14:G14)=0,"",SUM(D14:G14))</f>
        <v/>
      </c>
      <c r="N14" s="46">
        <f>IF((D14+E14)=0,"",D14/(D14+E14))</f>
        <v/>
      </c>
      <c r="O14" s="46">
        <f>IF((D14+E14)=0,"",((D14/(D14+E14))+$B$4^2/(2*(D14+E14))-$B$4*SQRT((D14/(D14+E14))*(1-(D14/(D14+E14)))/(D14+E14)+$B$4^2/(4*(D14+E14)^2)))/(1+$B$4^2/(D14+E14)))</f>
        <v/>
      </c>
      <c r="P14" s="46">
        <f>IF((D14+E14)=0,"",((D14/(D14+E14))+$B$4^2/(2*(D14+E14))+$B$4*SQRT((D14/(D14+E14))*(1-(D14/(D14+E14)))/(D14+E14)+$B$4^2/(4*(D14+E14)^2)))/(1+$B$4^2/(D14+E14)))</f>
        <v/>
      </c>
      <c r="Q14" s="46">
        <f>IF((F14+G14)=0,"",F14/(F14+G14))</f>
        <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f>IF(OR(K15="",I15=""),"",I15-K15)</f>
        <v/>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n"/>
      <c r="L16" s="50">
        <f>IF(OR(K16="",I16=""),"",I16-K16)</f>
        <v/>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f>IF(OR(K17="",I17=""),"",I17-K17)</f>
        <v/>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f>IF(OR(K18="",I18=""),"",I18-K18)</f>
        <v/>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c r="E19" s="41" t="n"/>
      <c r="F19" s="41" t="n"/>
      <c r="G19" s="41" t="n"/>
      <c r="H19" s="40" t="n"/>
      <c r="I19" s="42" t="n"/>
      <c r="J19" s="42" t="n"/>
      <c r="K19" s="43" t="n">
        <v>0.872</v>
      </c>
      <c r="L19" s="44">
        <f>IF(OR(K19="",I19=""),"",I19-K19)</f>
        <v/>
      </c>
      <c r="M19" s="45">
        <f>IF(COUNT(D19:G19)=0,"",SUM(D19:G19))</f>
        <v/>
      </c>
      <c r="N19" s="46">
        <f>IF((D19+E19)=0,"",D19/(D19+E19))</f>
        <v/>
      </c>
      <c r="O19" s="46">
        <f>IF((D19+E19)=0,"",((D19/(D19+E19))+$B$4^2/(2*(D19+E19))-$B$4*SQRT((D19/(D19+E19))*(1-(D19/(D19+E19)))/(D19+E19)+$B$4^2/(4*(D19+E19)^2)))/(1+$B$4^2/(D19+E19)))</f>
        <v/>
      </c>
      <c r="P19" s="46">
        <f>IF((D19+E19)=0,"",((D19/(D19+E19))+$B$4^2/(2*(D19+E19))+$B$4*SQRT((D19/(D19+E19))*(1-(D19/(D19+E19)))/(D19+E19)+$B$4^2/(4*(D19+E19)^2)))/(1+$B$4^2/(D19+E19)))</f>
        <v/>
      </c>
      <c r="Q19" s="46">
        <f>IF((F19+G19)=0,"",F19/(F19+G19))</f>
        <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f>IF(OR(K20="",I20=""),"",I20-K20)</f>
        <v/>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c r="E21" s="48" t="n"/>
      <c r="F21" s="48" t="n"/>
      <c r="G21" s="48" t="n"/>
      <c r="H21" s="23" t="n"/>
      <c r="I21" s="49" t="n"/>
      <c r="J21" s="49" t="n"/>
      <c r="K21" s="17" t="n"/>
      <c r="L21" s="50">
        <f>IF(OR(K21="",I21=""),"",I21-K21)</f>
        <v/>
      </c>
      <c r="M21" s="34">
        <f>IF(COUNT(D21:G21)=0,"",SUM(D21:G21))</f>
        <v/>
      </c>
      <c r="N21" s="51">
        <f>IF((D21+E21)=0,"",D21/(D21+E21))</f>
        <v/>
      </c>
      <c r="O21" s="51">
        <f>IF((D21+E21)=0,"",((D21/(D21+E21))+$B$4^2/(2*(D21+E21))-$B$4*SQRT((D21/(D21+E21))*(1-(D21/(D21+E21)))/(D21+E21)+$B$4^2/(4*(D21+E21)^2)))/(1+$B$4^2/(D21+E21)))</f>
        <v/>
      </c>
      <c r="P21" s="51">
        <f>IF((D21+E21)=0,"",((D21/(D21+E21))+$B$4^2/(2*(D21+E21))+$B$4*SQRT((D21/(D21+E21))*(1-(D21/(D21+E21)))/(D21+E21)+$B$4^2/(4*(D21+E21)^2)))/(1+$B$4^2/(D21+E21)))</f>
        <v/>
      </c>
      <c r="Q21" s="51">
        <f>IF((F21+G21)=0,"",F21/(F21+G21))</f>
        <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f>IF(OR(K22="",I22=""),"",I22-K22)</f>
        <v/>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f>IF(OR(K23="",I23=""),"",I23-K23)</f>
        <v/>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n"/>
      <c r="J5" s="48" t="n"/>
      <c r="K5" s="48" t="n"/>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n"/>
      <c r="J6" s="48" t="n"/>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n"/>
      <c r="J7" s="48" t="n"/>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n"/>
      <c r="J8" s="48" t="n"/>
      <c r="K8" s="48" t="n"/>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https://datacat.liverpool.ac.uk/3008/</t>
        </is>
      </c>
      <c r="F9" s="23" t="n"/>
      <c r="G9" s="23" t="n"/>
      <c r="H9" s="23" t="n"/>
      <c r="I9" s="23" t="n"/>
      <c r="J9" s="48" t="n"/>
      <c r="K9" s="48" t="n"/>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https://doi.org/10.1371/journal.pcbi.1006258</t>
        </is>
      </c>
      <c r="F10" s="23" t="n"/>
      <c r="G10" s="23" t="n"/>
      <c r="H10" s="23" t="n"/>
      <c r="I10" s="23" t="n"/>
      <c r="J10" s="48" t="n"/>
      <c r="K10" s="48" t="n"/>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https://doi.org/10.1038/s41598-017-18972-w</t>
        </is>
      </c>
      <c r="F11" s="23" t="n"/>
      <c r="G11" s="23" t="n"/>
      <c r="H11" s="23" t="n"/>
      <c r="I11" s="23" t="n"/>
      <c r="J11" s="48" t="n"/>
      <c r="K11" s="48" t="n"/>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https://doi.org/10.1093/bib/bbae206</t>
        </is>
      </c>
      <c r="F12" s="23" t="n"/>
      <c r="G12" s="23" t="n"/>
      <c r="H12" s="23" t="n"/>
      <c r="I12" s="23" t="n"/>
      <c r="J12" s="48" t="n"/>
      <c r="K12" s="48" t="n"/>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https://www.ebi.ac.uk/ena/browser/</t>
        </is>
      </c>
      <c r="F13" s="23" t="n"/>
      <c r="G13" s="23" t="n"/>
      <c r="H13" s="23" t="n"/>
      <c r="I13" s="23" t="n"/>
      <c r="J13" s="48" t="n"/>
      <c r="K13" s="48" t="n"/>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n"/>
      <c r="J14" s="48" t="n"/>
      <c r="K14" s="48" t="n"/>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3"/>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(Public data</t>
        </is>
      </c>
      <c r="B5" s="17" t="inlineStr">
        <is>
          <t>Define the prediction task</t>
        </is>
      </c>
      <c r="C5" s="17" t="inlineStr">
        <is>
          <t>State species and antibiotics per model; output S/R, S/I/R or MIC.</t>
        </is>
      </c>
      <c r="D5" s="23" t="inlineStr">
        <is>
          <t>Complete</t>
        </is>
      </c>
      <c r="E5" s="24" t="n"/>
      <c r="F5" s="23" t="inlineStr">
        <is>
          <t>Q1, Q4, E. coli, K. pneumoniae, A. baumannii, P. aeruginosa, S. enterica; meropenem, ciprofloxacin, cefotaxime; output S/R</t>
        </is>
      </c>
      <c r="G5" s="23" t="n"/>
      <c r="H5" s="23" t="n"/>
    </row>
    <row r="6" ht="31.5" customHeight="1">
      <c r="A6" s="17" t="inlineStr">
        <is>
          <t>Stage 1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(Public data</t>
        </is>
      </c>
      <c r="B12" s="17" t="inlineStr">
        <is>
          <t>Compare with rule-based baseline</t>
        </is>
      </c>
      <c r="C12" s="17" t="inlineStr">
        <is>
          <t>Score the same isolates with AMRFinderPlus or ResFinder.</t>
        </is>
      </c>
      <c r="D12" s="23" t="inlineStr">
        <is>
          <t>Partial</t>
        </is>
      </c>
      <c r="E12" s="24" t="n"/>
      <c r="F12" s="23" t="inlineStr">
        <is>
          <t>Gene signature has used as proxy (18 AMR genes). Full AMRFinderPlus comparison pending, script ready but tool not installed. Q25.</t>
        </is>
      </c>
      <c r="G12" s="23" t="n"/>
      <c r="H12" s="23" t="n"/>
    </row>
    <row r="13" ht="31.5" customHeight="1">
      <c r="A13" s="17" t="inlineStr">
        <is>
          <t>Stage 1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3"/>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2026-10-30T04:54:21Z</dcterms:modified>
  <cp:lastModifiedBy>Ken Iloka</cp:lastModifiedBy>
  <cp:revision>0</cp:revision>
</cp:coreProperties>
</file>