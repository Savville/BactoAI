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primary source, 600 isolates/drug
2. NCBI Isolates Browser (ncbi.nlm.nih.gov/pathogens/isolates), metadata, SNP clusters, country
3. NCBI SRA and GenBank, genome assemblies via accession (GCA_* in metadata CSVs)
4. Google BigQuery on ncbi-pathogen-detect dataset (scripts/ncbi_bigquery.py),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has)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has and model</t>
        </is>
      </c>
      <c r="C18" s="17" t="inlineStr">
        <is>
          <t>What input has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has (18 binary has):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has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has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has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has.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 Wilson score CIs</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FULLY COMPLETED, AMRFinderPlus installation failed in WSL environment.
**Status:** Script written (scripts/amrfinder_baseline.py) but AMRFinderPlus could not be 
installed due to network/download issues from GitHub/NCBI FTP in the WSL Ubuntu environment.
**Partial rule-based evidence available:**
The model already uses 18 AMR gene signature has as direct inputs:
- Meropenem: blaKPC, blaNDM, blaVIM, blaIMP, blaOXA-48 (carbapenemases)
- Ciprofloxacin: gyrA mutations, parC mutations, acrAB efflux
- Cefotaxime: blaCTX-M, blaTEM, blaSHV, blaPER, blaACC (ESBLs)
These are detected via k-mer matching against known resistance gene sequences, serving as 
a simplified rule-based baseline.
**To complete Q25 on a Linux workstation:**
1. Install: conda install -c bioconda amrfinderplus
2. Run: python scripts/amrfinder_baseline.py --run
3. Compare gene-based S/I/R calls against ML predictions
**Alternative:** Use the NCBI AMRFinder web API for batch predictions if available.
See: bactoai_pipeline.py extract_gene_signatures(), scripts/amrfinder_baseline.py</t>
        </is>
      </c>
      <c r="F29" s="23" t="inlineStr">
        <is>
          <t>scripts/amrfinder_baseline.py (partial, AMRFinderPlus not installed)</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has are biologically curated:
| Drug | Key has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Governance)</t>
        </is>
      </c>
      <c r="F37" s="23" t="inlineStr">
        <is>
          <t>Administrative,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Governance)</t>
        </is>
      </c>
      <c r="F38" s="23" t="inlineStr">
        <is>
          <t>Administrative,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Governance)</t>
        </is>
      </c>
      <c r="F39" s="23" t="inlineStr">
        <is>
          <t>Regulatory,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Partnerships)</t>
        </is>
      </c>
      <c r="F40" s="23" t="inlineStr">
        <is>
          <t>Legal,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Complete</t>
        </is>
      </c>
      <c r="H5" s="23" t="inlineStr">
        <is>
          <t>Q2-Q3 answered. Ten minutes = computational time from assembled FASTA to prediction. Total sample-to-result ~2-4 days (vs 3-5 days for phenotypic AST). See Q2, Q3.</t>
        </is>
      </c>
      <c r="I5" s="23" t="inlineStr">
        <is>
          <t>From an assembled genome, BactoAI predicts resistance in under ten minutes, whereas conventional culture-based phenotypic AST takes an additional 16–20 hours after isolation.</t>
        </is>
      </c>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Complete</t>
        </is>
      </c>
      <c r="H6" s="23" t="inlineStr">
        <is>
          <t>Q1, Q5-Q9 answered. 1,800+ NCBI isolates + 3,419 BV-BRC = ~5,219 total. Species, sources, countries documented. 52 African (3.1%), 2 Kenyan. Sources: NCBI Pathogen Detection, BV-BRC.</t>
        </is>
      </c>
      <c r="I6" s="23" t="inlineStr">
        <is>
          <t>The model was trained on more than 5,200 clinical isolates from NCBI Pathogen Detection and BV-BRC, covering E. coli, K. pneumoniae, A. baumannii, P. aeruginosa and S. enterica, with AST labels derived from broth microdilution and disk diffusion.</t>
        </is>
      </c>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Complete</t>
        </is>
      </c>
      <c r="H7" s="23" t="inlineStr">
        <is>
          <t>Q18-Q26 answered. Meropenem AUC=0.987, Cipro=0.879, Cefo=0.872 (v3) / 0.933 (v4 external). Sens/Spec/CIs in Q24. Rule-based comparison partial (Q25).</t>
        </is>
      </c>
      <c r="I7" s="23" t="inlineStr">
        <is>
          <t>Meropenem ROC-AUC 0.987 (95% CI [0.973, 1.000]); Ciprofloxacin 0.879 ([0.820, 0.938]); Cefotaxime 0.933 ([0.917, 0.949]) on external BV-BRC validation. Sensitivity, specificity, VME/ME rates with 95% CIs reported in Q24.</t>
        </is>
      </c>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Complete</t>
        </is>
      </c>
      <c r="H8" s="23" t="inlineStr">
        <is>
          <t>Q27-Q28 answered. External validation on BV-BRC 500-genome cohort (AUC=0.933). 8,462 Kenyan genomes available in public databases. See Q27, Q28.</t>
        </is>
      </c>
      <c r="I8" s="23" t="inlineStr">
        <is>
          <t>Results to date come from retrospective analysis of public data, including external validation on an independent BV-BRC cohort of 500 E. coli genomes (AUC 0.933).</t>
        </is>
      </c>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Complete</t>
        </is>
      </c>
      <c r="H9" s="23" t="inlineStr">
        <is>
          <t>Q30-Q31 answered. NPHL data separation plan documented. Model freezing protocol described.</t>
        </is>
      </c>
      <c r="I9" s="23" t="inlineStr">
        <is>
          <t>We propose a data partnership in which NPHL isolates are split into locked validation (30-40%) and retraining (60-70%) partitions before any model updates, with the validation portion excluded from all training and tuning.</t>
        </is>
      </c>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yet done</t>
        </is>
      </c>
      <c r="H10" s="23" t="inlineStr">
        <is>
          <t>Q35 not done, Pharmacy and Poisons Board requirements not yet identified. Intended-use statement not drafted.</t>
        </is>
      </c>
      <c r="I10" s="23" t="inlineStr">
        <is>
          <t>We seek guidance on the regulatory pathway for BactoAI as a clinical decision support tool, including Pharmacy and Poisons Board requirements and intended-use statement development.</t>
        </is>
      </c>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Complete</t>
        </is>
      </c>
      <c r="H11" s="23" t="inlineStr">
        <is>
          <t>Q32 answered, Render (USA), Supabase (USA). Cross-border data transfer acknowledged. Q33 not done, ODPC registration pending.</t>
        </is>
      </c>
      <c r="I11" s="23" t="inlineStr">
        <is>
          <t>A working prototype is deployed with a live web platform (bactoai.co.ke) and hosted model backend (Render, Oregon, USA). Uploaded genomes are processed in-memory and deleted after analysis. Deployment in Kenya-hosted infrastructure planned for NPHL data.</t>
        </is>
      </c>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Complete</t>
        </is>
      </c>
      <c r="H12" s="23" t="inlineStr">
        <is>
          <t>Prioritized: validation first, then clinical pathway, data partnership, mentorship. Two-page technical summary attached.</t>
        </is>
      </c>
      <c r="I12" s="23" t="inlineStr">
        <is>
          <t>We request: (1) validation of the model on NPHL isolates; (2) guidance on the clinical pathway and regulatory requirements; (3) a data partnership for model retraining; (4) incubation and mentorship through the IvE programme.</t>
        </is>
      </c>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yet done</t>
        </is>
      </c>
      <c r="H13" s="23" t="inlineStr">
        <is>
          <t>Requires KU letterhead, reference number, signatory.</t>
        </is>
      </c>
      <c r="I13" s="23" t="inlineStr">
        <is>
          <t>[To be completed by KU/IvE office with letterhead, reference number, and signatory]</t>
        </is>
      </c>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from an assembled genome (FASTA format)</t>
        </is>
      </c>
      <c r="E7" s="23" t="n"/>
      <c r="F7" s="23" t="n"/>
      <c r="G7" s="23" t="inlineStr">
        <is>
          <t>Not started</t>
        </is>
      </c>
    </row>
    <row r="8" ht="30" customHeight="1">
      <c r="A8" s="17" t="n">
        <v>4</v>
      </c>
      <c r="B8" s="17" t="inlineStr">
        <is>
          <t>[one to three days] phenotypic AST time</t>
        </is>
      </c>
      <c r="C8" s="17" t="inlineStr">
        <is>
          <t>Para 2 – turnaround</t>
        </is>
      </c>
      <c r="D8" s="17" t="inlineStr">
        <is>
          <t>approximately 16-20 hours</t>
        </is>
      </c>
      <c r="E8" s="23" t="n"/>
      <c r="F8" s="23" t="n"/>
      <c r="G8" s="23" t="inlineStr">
        <is>
          <t>Not started</t>
        </is>
      </c>
    </row>
    <row r="9" ht="30" customHeight="1">
      <c r="A9" s="17" t="n">
        <v>5</v>
      </c>
      <c r="B9" s="17" t="inlineStr">
        <is>
          <t>[species] covered</t>
        </is>
      </c>
      <c r="C9" s="17" t="inlineStr">
        <is>
          <t>Para 2 – data</t>
        </is>
      </c>
      <c r="D9" s="17" t="inlineStr">
        <is>
          <t>five Gram-negative species: Escherichia coli, Klebsiella pneumoniae, Acinetobacter baumannii, Pseudomonas aeruginosa, and Salmonella enterica</t>
        </is>
      </c>
      <c r="E9" s="23" t="n"/>
      <c r="F9" s="23" t="n"/>
      <c r="G9" s="23" t="inlineStr">
        <is>
          <t>Not started</t>
        </is>
      </c>
    </row>
    <row r="10" ht="30" customHeight="1">
      <c r="A10" s="17" t="n">
        <v>6</v>
      </c>
      <c r="B10" s="17" t="inlineStr">
        <is>
          <t>[number] training isolates</t>
        </is>
      </c>
      <c r="C10" s="17" t="inlineStr">
        <is>
          <t>Para 2 – data</t>
        </is>
      </c>
      <c r="D10" s="17" t="inlineStr">
        <is>
          <t>more than 5,200 clinical isolates from NCBI Pathogen Detection and BV-BRC</t>
        </is>
      </c>
      <c r="E10" s="23" t="n"/>
      <c r="F10" s="23" t="n"/>
      <c r="G10" s="23" t="inlineStr">
        <is>
          <t>Not started</t>
        </is>
      </c>
    </row>
    <row r="11" ht="30" customHeight="1">
      <c r="A11" s="17" t="n">
        <v>7</v>
      </c>
      <c r="B11" s="17" t="inlineStr">
        <is>
          <t>[sources and countries]</t>
        </is>
      </c>
      <c r="C11" s="17" t="inlineStr">
        <is>
          <t>Para 2 – data</t>
        </is>
      </c>
      <c r="D11" s="17" t="inlineStr">
        <is>
          <t>predominantly USA, UK, and European submissions; 52 African isolates (3.1%), including 2 from Kenya</t>
        </is>
      </c>
      <c r="E11" s="23" t="n"/>
      <c r="F11" s="23" t="n"/>
      <c r="G11" s="23" t="inlineStr">
        <is>
          <t>Not started</t>
        </is>
      </c>
    </row>
    <row r="12" ht="30" customHeight="1">
      <c r="A12" s="17" t="n">
        <v>8</v>
      </c>
      <c r="B12" s="17" t="inlineStr">
        <is>
          <t>[method and breakpoint standard]</t>
        </is>
      </c>
      <c r="C12" s="17" t="inlineStr">
        <is>
          <t>Para 2 – data</t>
        </is>
      </c>
      <c r="D12" s="17" t="inlineStr">
        <is>
          <t>broth microdilution (MIC) per CLSI M100 for NCBI data; disk diffusion interpreted with EUCAST clinical breakpoints for BV-BRC data</t>
        </is>
      </c>
      <c r="E12" s="23" t="n"/>
      <c r="F12" s="23" t="n"/>
      <c r="G12" s="23" t="inlineStr">
        <is>
          <t>Not started</t>
        </is>
      </c>
    </row>
    <row r="13" ht="30" customHeight="1">
      <c r="A13" s="17" t="n">
        <v>9</v>
      </c>
      <c r="B13" s="17" t="inlineStr">
        <is>
          <t>[n] test-set isolates</t>
        </is>
      </c>
      <c r="C13" s="17" t="inlineStr">
        <is>
          <t>Para 3 – results</t>
        </is>
      </c>
      <c r="D13" s="17" t="inlineStr">
        <is>
          <t>125 meropenem, 140 ciprofloxacin, and 145 cefotaxime test isolates (25% holdout)</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in which related isolates were NOT kept together (random split)</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ROC-AUC 0.987 (95%% CI [0.973, 1.000]), sensitivity 97.1%%, specificity 96.4%%</t>
        </is>
      </c>
      <c r="E15" s="23" t="n"/>
      <c r="F15" s="23" t="n"/>
      <c r="G15" s="23" t="inlineStr">
        <is>
          <t>Not started</t>
        </is>
      </c>
    </row>
    <row r="16" ht="30" customHeight="1">
      <c r="A16" s="17" t="n">
        <v>12</v>
      </c>
      <c r="B16" s="17" t="inlineStr">
        <is>
          <t>Ciprofloxacin ROC-AUC […]</t>
        </is>
      </c>
      <c r="C16" s="17" t="inlineStr">
        <is>
          <t>Para 3 – results</t>
        </is>
      </c>
      <c r="D16" s="17" t="inlineStr">
        <is>
          <t>ROC-AUC 0.879 (95%% CI [0.820, 0.938])</t>
        </is>
      </c>
      <c r="E16" s="23" t="n"/>
      <c r="F16" s="23" t="n"/>
      <c r="G16" s="23" t="inlineStr">
        <is>
          <t>Not started</t>
        </is>
      </c>
    </row>
    <row r="17" ht="30" customHeight="1">
      <c r="A17" s="17" t="n">
        <v>13</v>
      </c>
      <c r="B17" s="17" t="inlineStr">
        <is>
          <t>Cefotaxime ROC-AUC […]</t>
        </is>
      </c>
      <c r="C17" s="17" t="inlineStr">
        <is>
          <t>Para 3 – results</t>
        </is>
      </c>
      <c r="D17" s="17" t="inlineStr">
        <is>
          <t>ROC-AUC 0.872 (95%% CI [0.807, 0.937])</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On an independent BV-BRC dataset of 500 E. coli genomes, cefotaxime prediction achieved ROC-AUC 0.9333, sensitivity 82.8%, specificity 95.2%</t>
        </is>
      </c>
      <c r="E18" s="23" t="n"/>
      <c r="F18" s="23" t="n"/>
      <c r="G18" s="23" t="inlineStr">
        <is>
          <t>Not started</t>
        </is>
      </c>
    </row>
    <row r="19" ht="30" customHeight="1">
      <c r="A19" s="17" t="n">
        <v>15</v>
      </c>
      <c r="B19" s="17" t="inlineStr">
        <is>
          <t>[largely from outside Kenya]</t>
        </is>
      </c>
      <c r="C19" s="17" t="inlineStr">
        <is>
          <t>Para 5 – requests</t>
        </is>
      </c>
      <c r="D19" s="17" t="inlineStr">
        <is>
          <t>largely from North America and Europe (only 2 Kenyan isolates in training out of 5,200+ total)</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host and process any shared data on Kenya-hosted infrastructure in accordance with the Data Protection Act, 2019</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v>67</v>
      </c>
      <c r="E9" s="41" t="n">
        <v>2</v>
      </c>
      <c r="F9" s="41" t="n">
        <v>54</v>
      </c>
      <c r="G9" s="41" t="n">
        <v>2</v>
      </c>
      <c r="H9" s="40" t="n">
        <v>0.5</v>
      </c>
      <c r="I9" s="42" t="n">
        <v>0</v>
      </c>
      <c r="J9" s="42" t="n"/>
      <c r="K9" s="43" t="n">
        <v>0.952</v>
      </c>
      <c r="L9" s="44">
        <f>IF(OR(K9="",I9=""),"",I9-K9)</f>
        <v/>
      </c>
      <c r="M9" s="45" t="n">
        <v>125</v>
      </c>
      <c r="N9" s="46" t="n">
        <v>0.971</v>
      </c>
      <c r="O9" s="46">
        <f>IF((D9+E9)=0,"",((D9/(D9+E9))+$B$4^2/(2*(D9+E9))-$B$4*SQRT((D9/(D9+E9))*(1-(D9/(D9+E9)))/(D9+E9)+$B$4^2/(4*(D9+E9)^2)))/(1+$B$4^2/(D9+E9)))</f>
        <v/>
      </c>
      <c r="P9" s="46">
        <f>IF((D9+E9)=0,"",((D9/(D9+E9))+$B$4^2/(2*(D9+E9))+$B$4*SQRT((D9/(D9+E9))*(1-(D9/(D9+E9)))/(D9+E9)+$B$4^2/(4*(D9+E9)^2)))/(1+$B$4^2/(D9+E9)))</f>
        <v/>
      </c>
      <c r="Q9" s="46" t="n">
        <v>0.9643</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t="inlineStr">
        <is>
          <t>Not yet computed (requires phylogeny-aware split)</t>
        </is>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inlineStr"/>
      <c r="L11" s="50" t="inlineStr">
        <is>
          <t>External dataset not yet available</t>
        </is>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t="inlineStr">
        <is>
          <t>AMRFinderPlus not installed (see Q25)</t>
        </is>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t="inlineStr">
        <is>
          <t>Pending NPHL partnership</t>
        </is>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v>68</v>
      </c>
      <c r="E14" s="41" t="n">
        <v>4</v>
      </c>
      <c r="F14" s="41" t="n">
        <v>68</v>
      </c>
      <c r="G14" s="41" t="n">
        <v>4</v>
      </c>
      <c r="H14" s="40" t="n">
        <v>0.5</v>
      </c>
      <c r="I14" s="42" t="n">
        <v>0.8791</v>
      </c>
      <c r="J14" s="42" t="n"/>
      <c r="K14" s="43" t="n">
        <v>0.872</v>
      </c>
      <c r="L14" s="44">
        <f>IF(OR(K14="",I14=""),"",I14-K14)</f>
        <v/>
      </c>
      <c r="M14" s="45" t="n">
        <v>144</v>
      </c>
      <c r="N14" s="46" t="n">
        <v>0.9444</v>
      </c>
      <c r="O14" s="46">
        <f>IF((D14+E14)=0,"",((D14/(D14+E14))+$B$4^2/(2*(D14+E14))-$B$4*SQRT((D14/(D14+E14))*(1-(D14/(D14+E14)))/(D14+E14)+$B$4^2/(4*(D14+E14)^2)))/(1+$B$4^2/(D14+E14)))</f>
        <v/>
      </c>
      <c r="P14" s="46">
        <f>IF((D14+E14)=0,"",((D14/(D14+E14))+$B$4^2/(2*(D14+E14))+$B$4*SQRT((D14/(D14+E14))*(1-(D14/(D14+E14)))/(D14+E14)+$B$4^2/(4*(D14+E14)^2)))/(1+$B$4^2/(D14+E14)))</f>
        <v/>
      </c>
      <c r="Q14" s="46" t="n">
        <v>0.9444</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t="inlineStr">
        <is>
          <t>Not yet computed (requires phylogeny-aware split)</t>
        </is>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inlineStr"/>
      <c r="L16" s="50" t="inlineStr">
        <is>
          <t>External dataset not yet available</t>
        </is>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t="inlineStr">
        <is>
          <t>AMRFinderPlus not installed (see Q25)</t>
        </is>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t="inlineStr">
        <is>
          <t>Pending NPHL partnership</t>
        </is>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v>71</v>
      </c>
      <c r="E19" s="41" t="n">
        <v>0</v>
      </c>
      <c r="F19" s="41" t="n">
        <v>74</v>
      </c>
      <c r="G19" s="41" t="n">
        <v>0</v>
      </c>
      <c r="H19" s="40" t="n">
        <v>0.5</v>
      </c>
      <c r="I19" s="42" t="n">
        <v>0.8721</v>
      </c>
      <c r="J19" s="42" t="n"/>
      <c r="K19" s="43" t="n">
        <v>0.872</v>
      </c>
      <c r="L19" s="44">
        <f>IF(OR(K19="",I19=""),"",I19-K19)</f>
        <v/>
      </c>
      <c r="M19" s="45" t="n">
        <v>145</v>
      </c>
      <c r="N19" s="46" t="n">
        <v>1</v>
      </c>
      <c r="O19" s="46">
        <f>IF((D19+E19)=0,"",((D19/(D19+E19))+$B$4^2/(2*(D19+E19))-$B$4*SQRT((D19/(D19+E19))*(1-(D19/(D19+E19)))/(D19+E19)+$B$4^2/(4*(D19+E19)^2)))/(1+$B$4^2/(D19+E19)))</f>
        <v/>
      </c>
      <c r="P19" s="46">
        <f>IF((D19+E19)=0,"",((D19/(D19+E19))+$B$4^2/(2*(D19+E19))+$B$4*SQRT((D19/(D19+E19))*(1-(D19/(D19+E19)))/(D19+E19)+$B$4^2/(4*(D19+E19)^2)))/(1+$B$4^2/(D19+E19)))</f>
        <v/>
      </c>
      <c r="Q19" s="46" t="n">
        <v>1</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t="inlineStr">
        <is>
          <t>Not yet computed (requires phylogeny-aware split)</t>
        </is>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v>207</v>
      </c>
      <c r="E21" s="48" t="n">
        <v>43</v>
      </c>
      <c r="F21" s="48" t="n">
        <v>238</v>
      </c>
      <c r="G21" s="48" t="n">
        <v>12</v>
      </c>
      <c r="H21" s="23" t="n">
        <v>0.2</v>
      </c>
      <c r="I21" s="49" t="n">
        <v>0.9333360000000001</v>
      </c>
      <c r="J21" s="49" t="n"/>
      <c r="K21" s="17" t="n"/>
      <c r="L21" s="50">
        <f>IF(OR(K21="",I21=""),"",I21-K21)</f>
        <v/>
      </c>
      <c r="M21" s="34" t="n">
        <v>500</v>
      </c>
      <c r="N21" s="51" t="n">
        <v>0.828</v>
      </c>
      <c r="O21" s="51">
        <f>IF((D21+E21)=0,"",((D21/(D21+E21))+$B$4^2/(2*(D21+E21))-$B$4*SQRT((D21/(D21+E21))*(1-(D21/(D21+E21)))/(D21+E21)+$B$4^2/(4*(D21+E21)^2)))/(1+$B$4^2/(D21+E21)))</f>
        <v/>
      </c>
      <c r="P21" s="51">
        <f>IF((D21+E21)=0,"",((D21/(D21+E21))+$B$4^2/(2*(D21+E21))+$B$4*SQRT((D21/(D21+E21))*(1-(D21/(D21+E21)))/(D21+E21)+$B$4^2/(4*(D21+E21)^2)))/(1+$B$4^2/(D21+E21)))</f>
        <v/>
      </c>
      <c r="Q21" s="51" t="n">
        <v>0.952</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t="inlineStr">
        <is>
          <t>AMRFinderPlus not installed (see Q25)</t>
        </is>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t="inlineStr">
        <is>
          <t>Pending NPHL partnership</t>
        </is>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inlineStr">
        <is>
          <t>Yes</t>
        </is>
      </c>
      <c r="J5" s="48" t="n">
        <v>0</v>
      </c>
      <c r="K5" s="48" t="n">
        <v>414</v>
      </c>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inlineStr">
        <is>
          <t>Yes</t>
        </is>
      </c>
      <c r="J6" s="48" t="n">
        <v>0</v>
      </c>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inlineStr">
        <is>
          <t>Yes</t>
        </is>
      </c>
      <c r="J7" s="48" t="n">
        <v>0</v>
      </c>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inlineStr">
        <is>
          <t>Partially</t>
        </is>
      </c>
      <c r="J8" s="48" t="n">
        <v>0</v>
      </c>
      <c r="K8" s="48" t="n">
        <v>500</v>
      </c>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Yes</t>
        </is>
      </c>
      <c r="F9" s="23" t="inlineStr">
        <is>
          <t>Yes</t>
        </is>
      </c>
      <c r="G9" s="23" t="inlineStr">
        <is>
          <t>Yes</t>
        </is>
      </c>
      <c r="H9" s="23" t="inlineStr">
        <is>
          <t>Yes</t>
        </is>
      </c>
      <c r="I9" s="23" t="inlineStr">
        <is>
          <t>No</t>
        </is>
      </c>
      <c r="J9" s="48" t="n">
        <v>0</v>
      </c>
      <c r="K9" s="48" t="n">
        <v>762</v>
      </c>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Yes</t>
        </is>
      </c>
      <c r="F10" s="23" t="inlineStr">
        <is>
          <t>Yes</t>
        </is>
      </c>
      <c r="G10" s="23" t="inlineStr">
        <is>
          <t>Yes</t>
        </is>
      </c>
      <c r="H10" s="23" t="inlineStr">
        <is>
          <t>No</t>
        </is>
      </c>
      <c r="I10" s="23" t="inlineStr">
        <is>
          <t>No</t>
        </is>
      </c>
      <c r="J10" s="48" t="n">
        <v>0</v>
      </c>
      <c r="K10" s="48" t="n">
        <v>1900</v>
      </c>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No</t>
        </is>
      </c>
      <c r="F11" s="23" t="inlineStr">
        <is>
          <t>No</t>
        </is>
      </c>
      <c r="G11" s="23" t="inlineStr">
        <is>
          <t>Yes</t>
        </is>
      </c>
      <c r="H11" s="23" t="inlineStr">
        <is>
          <t>No</t>
        </is>
      </c>
      <c r="I11" s="23" t="inlineStr">
        <is>
          <t>No</t>
        </is>
      </c>
      <c r="J11" s="48" t="n">
        <v>0</v>
      </c>
      <c r="K11" s="48" t="n">
        <v>1600</v>
      </c>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Yes</t>
        </is>
      </c>
      <c r="F12" s="23" t="inlineStr">
        <is>
          <t>Yes</t>
        </is>
      </c>
      <c r="G12" s="23" t="inlineStr">
        <is>
          <t>Yes</t>
        </is>
      </c>
      <c r="H12" s="23" t="inlineStr">
        <is>
          <t>Yes</t>
        </is>
      </c>
      <c r="I12" s="23" t="inlineStr">
        <is>
          <t>No</t>
        </is>
      </c>
      <c r="J12" s="48" t="n">
        <v>0</v>
      </c>
      <c r="K12" s="48" t="n">
        <v>500</v>
      </c>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Yes</t>
        </is>
      </c>
      <c r="F13" s="23" t="inlineStr">
        <is>
          <t>Yes</t>
        </is>
      </c>
      <c r="G13" s="23" t="inlineStr">
        <is>
          <t>Yes</t>
        </is>
      </c>
      <c r="H13" s="23" t="inlineStr">
        <is>
          <t>Yes</t>
        </is>
      </c>
      <c r="I13" s="23" t="inlineStr">
        <is>
          <t>Partially</t>
        </is>
      </c>
      <c r="J13" s="48" t="n">
        <v>2</v>
      </c>
      <c r="K13" s="48" t="n">
        <v>8460</v>
      </c>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inlineStr">
        <is>
          <t>No</t>
        </is>
      </c>
      <c r="J14" s="48" t="n">
        <v>0</v>
      </c>
      <c r="K14" s="48" t="n">
        <v>0</v>
      </c>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(Public data</t>
        </is>
      </c>
      <c r="B5" s="17" t="inlineStr">
        <is>
          <t>Define the prediction task</t>
        </is>
      </c>
      <c r="C5" s="17" t="inlineStr">
        <is>
          <t>State species and antibiotics per model; output S/R, S/I/R or MIC.</t>
        </is>
      </c>
      <c r="D5" s="23" t="inlineStr">
        <is>
          <t>Complete</t>
        </is>
      </c>
      <c r="E5" s="24" t="n"/>
      <c r="F5" s="23" t="inlineStr">
        <is>
          <t>Q1, Q4, E. coli, K. pneumoniae, A. baumannii, P. aeruginosa, S. enterica; meropenem, ciprofloxacin, cefotaxime; output S/R</t>
        </is>
      </c>
      <c r="G5" s="23" t="n"/>
      <c r="H5" s="23" t="n"/>
    </row>
    <row r="6" ht="31.5" customHeight="1">
      <c r="A6" s="17" t="inlineStr">
        <is>
          <t>Stage 1 (Public data</t>
        </is>
      </c>
      <c r="B6" s="17" t="inlineStr">
        <is>
          <t>Record data provenance</t>
        </is>
      </c>
      <c r="C6" s="17" t="inlineStr">
        <is>
          <t>Complete the Isolate Table with accessions, source, country, year, AST method, standard and version.</t>
        </is>
      </c>
      <c r="D6" s="23" t="inlineStr">
        <is>
          <t>In progress</t>
        </is>
      </c>
      <c r="E6" s="24" t="n"/>
      <c r="F6" s="23" t="inlineStr">
        <is>
          <t>Metadata CSVs exist but Isolate Table not fully populated. Country data from BigQuery (Q7, Q28).</t>
        </is>
      </c>
      <c r="G6" s="23" t="n"/>
      <c r="H6" s="23" t="n"/>
    </row>
    <row r="7" ht="31.5" customHeight="1">
      <c r="A7" s="17" t="inlineStr">
        <is>
          <t>Stage 1 (Public data</t>
        </is>
      </c>
      <c r="B7" s="17" t="inlineStr">
        <is>
          <t>Harmonise labels</t>
        </is>
      </c>
      <c r="C7" s="17" t="inlineStr">
        <is>
          <t>Re-interpret MICs with one breakpoint version; one rule for intermediates; remove computational predictions.</t>
        </is>
      </c>
      <c r="D7" s="23" t="inlineStr">
        <is>
          <t>Partial</t>
        </is>
      </c>
      <c r="E7" s="24" t="n"/>
      <c r="F7" s="23" t="inlineStr">
        <is>
          <t>BV-BRC labels harmonized to EUCAST. NCBI labels use original submitters breakpoints (not re-harmonized). Q11.</t>
        </is>
      </c>
      <c r="G7" s="23" t="n"/>
      <c r="H7" s="23" t="n"/>
    </row>
    <row r="8" ht="31.5" customHeight="1">
      <c r="A8" s="17" t="inlineStr">
        <is>
          <t>Stage 1 (Public data</t>
        </is>
      </c>
      <c r="B8" s="17" t="inlineStr">
        <is>
          <t>Quality-control genomes</t>
        </is>
      </c>
      <c r="C8" s="17" t="inlineStr">
        <is>
          <t>Apply contamination, completeness, contig and genome-size thresholds; confirm species.</t>
        </is>
      </c>
      <c r="D8" s="23" t="inlineStr">
        <is>
          <t>Not yet done</t>
        </is>
      </c>
      <c r="E8" s="24" t="n"/>
      <c r="F8" s="23" t="inlineStr">
        <is>
          <t>No formal genome QC implemented. Q13 identifies this as a gap.</t>
        </is>
      </c>
      <c r="G8" s="23" t="n"/>
      <c r="H8" s="23" t="n"/>
    </row>
    <row r="9" ht="31.5" customHeight="1">
      <c r="A9" s="17" t="inlineStr">
        <is>
          <t>Stage 1 (Public data</t>
        </is>
      </c>
      <c r="B9" s="17" t="inlineStr">
        <is>
          <t>De-duplicate across sources</t>
        </is>
      </c>
      <c r="C9" s="17" t="inlineStr">
        <is>
          <t>Resolve all DUPLICATE flags in the Isolate Table.</t>
        </is>
      </c>
      <c r="D9" s="23" t="inlineStr">
        <is>
          <t>Complete</t>
        </is>
      </c>
      <c r="E9" s="24" t="n"/>
      <c r="F9" s="23" t="inlineStr">
        <is>
          <t>Drop duplicates by asm_acc in extract_features(). Cross-source dedup by accession format (GCA_* vs 562.*). Q20.</t>
        </is>
      </c>
      <c r="G9" s="23" t="n"/>
      <c r="H9" s="23" t="n"/>
    </row>
    <row r="10" ht="31.5" customHeight="1">
      <c r="A10" s="17" t="inlineStr">
        <is>
          <t>Stage 1 (Public data</t>
        </is>
      </c>
      <c r="B10" s="17" t="inlineStr">
        <is>
          <t>Split by relatedness</t>
        </is>
      </c>
      <c r="C10" s="17" t="inlineStr">
        <is>
          <t>Keep each SNP cluster/ST in one partition; resolve LEAK RISK flags; re-compute AUROC.</t>
        </is>
      </c>
      <c r="D10" s="23" t="inlineStr">
        <is>
          <t>Not yet done</t>
        </is>
      </c>
      <c r="E10" s="24" t="n"/>
      <c r="F10" s="23" t="inlineStr">
        <is>
          <t>Random split used, not relatedness-aware. Q19 identifies this as a gap requiring phylogeny-aware split.</t>
        </is>
      </c>
      <c r="G10" s="23" t="n"/>
      <c r="H10" s="23" t="n"/>
    </row>
    <row r="11" ht="31.5" customHeight="1">
      <c r="A11" s="17" t="inlineStr">
        <is>
          <t>Stage 1 (Public data</t>
        </is>
      </c>
      <c r="B11" s="17" t="inlineStr">
        <is>
          <t>Test on an independent dataset</t>
        </is>
      </c>
      <c r="C11" s="17" t="inlineStr">
        <is>
          <t>Score at least one external set (External Datasets sheet) and any Kenyan public isolates.</t>
        </is>
      </c>
      <c r="D11" s="23" t="inlineStr">
        <is>
          <t>Complete</t>
        </is>
      </c>
      <c r="E11" s="24" t="n"/>
      <c r="F11" s="23" t="inlineStr">
        <is>
          <t>BV-BRC external validation completed: 500 genomes, AUC=0.933. Q27, Q28.</t>
        </is>
      </c>
      <c r="G11" s="23" t="n"/>
      <c r="H11" s="23" t="n"/>
    </row>
    <row r="12" ht="31.5" customHeight="1">
      <c r="A12" s="17" t="inlineStr">
        <is>
          <t>Stage 1 (Public data</t>
        </is>
      </c>
      <c r="B12" s="17" t="inlineStr">
        <is>
          <t>Compare with rule-based baseline</t>
        </is>
      </c>
      <c r="C12" s="17" t="inlineStr">
        <is>
          <t>Score the same isolates with AMRFinderPlus or ResFinder.</t>
        </is>
      </c>
      <c r="D12" s="23" t="inlineStr">
        <is>
          <t>Partial</t>
        </is>
      </c>
      <c r="E12" s="24" t="n"/>
      <c r="F12" s="23" t="inlineStr">
        <is>
          <t>Gene signature has used as proxy (18 AMR genes). Full AMRFinderPlus comparison pending, script ready but tool not installed. Q25.</t>
        </is>
      </c>
      <c r="G12" s="23" t="n"/>
      <c r="H12" s="23" t="n"/>
    </row>
    <row r="13" ht="31.5" customHeight="1">
      <c r="A13" s="17" t="inlineStr">
        <is>
          <t>Stage 1 (Public data</t>
        </is>
      </c>
      <c r="B13" s="17" t="inlineStr">
        <is>
          <t>Report full metrics</t>
        </is>
      </c>
      <c r="C13" s="17" t="inlineStr">
        <is>
          <t>Complete the Model Results sheet for all three drugs.</t>
        </is>
      </c>
      <c r="D13" s="23" t="inlineStr">
        <is>
          <t>Complete</t>
        </is>
      </c>
      <c r="E13" s="24" t="n"/>
      <c r="F13" s="23" t="inlineStr">
        <is>
          <t>Sensitivity, specificity, VME, ME, AUC with 95% CIs computed. See Q24, validation_results/q24_ci_report_*.md</t>
        </is>
      </c>
      <c r="G13" s="23" t="n"/>
      <c r="H13" s="23" t="n"/>
    </row>
    <row r="14" ht="31.5" customHeight="1">
      <c r="A14" s="17" t="inlineStr">
        <is>
          <t>Stage 2 (NPHL</t>
        </is>
      </c>
      <c r="B14" s="17" t="inlineStr">
        <is>
          <t>Freeze the model</t>
        </is>
      </c>
      <c r="C14" s="17" t="inlineStr">
        <is>
          <t>Lock and record model version, code and thresholds before any NPHL data are scored.</t>
        </is>
      </c>
      <c r="D14" s="23" t="inlineStr">
        <is>
          <t>Not yet done</t>
        </is>
      </c>
      <c r="E14" s="24" t="n"/>
      <c r="F14" s="23" t="inlineStr">
        <is>
          <t>Model freezing protocol documented in Q31 but not yet executed.</t>
        </is>
      </c>
      <c r="G14" s="23" t="n"/>
      <c r="H14" s="23" t="n"/>
    </row>
    <row r="15" ht="31.5" customHeight="1">
      <c r="A15" s="17" t="inlineStr">
        <is>
          <t>Stage 2 (NPHL</t>
        </is>
      </c>
      <c r="B15" s="17" t="inlineStr">
        <is>
          <t>Agree a written protocol</t>
        </is>
      </c>
      <c r="C15" s="17" t="inlineStr">
        <is>
          <t>Species, antibiotics, sample size, reference AST method (e.g., ISO 20776-1 broth microdilution), blinding.</t>
        </is>
      </c>
      <c r="D15" s="23" t="inlineStr">
        <is>
          <t>In progress</t>
        </is>
      </c>
      <c r="E15" s="24" t="n"/>
      <c r="F15" s="23" t="inlineStr">
        <is>
          <t>Proposed in Q29: ISO 20776-1 broth microdilution, blinding, sample size 100-200 per species-drug. MOU with ASM in progress.</t>
        </is>
      </c>
      <c r="G15" s="23" t="n"/>
      <c r="H15" s="23" t="n"/>
    </row>
    <row r="16" ht="31.5" customHeight="1">
      <c r="A16" s="17" t="inlineStr">
        <is>
          <t>Stage 2 (NPHL</t>
        </is>
      </c>
      <c r="B16" s="17" t="inlineStr">
        <is>
          <t>Obtain approvals</t>
        </is>
      </c>
      <c r="C16" s="17" t="inlineStr">
        <is>
          <t>Accredited ERC approval, NACOSTI licence, data-sharing agreement, data protection impact assessment.</t>
        </is>
      </c>
      <c r="D16" s="23" t="inlineStr">
        <is>
          <t>Not yet done</t>
        </is>
      </c>
      <c r="E16" s="24" t="n"/>
      <c r="F16" s="23" t="inlineStr">
        <is>
          <t>ODPC, ethics, NACOSTI not initiated. Q33-Q35.</t>
        </is>
      </c>
      <c r="G16" s="23" t="n"/>
      <c r="H16" s="23" t="n"/>
    </row>
    <row r="17" ht="31.5" customHeight="1">
      <c r="A17" s="17" t="inlineStr">
        <is>
          <t>Stage 2 (NPHL</t>
        </is>
      </c>
      <c r="B17" s="17" t="inlineStr">
        <is>
          <t>Separate validation from retraining data</t>
        </is>
      </c>
      <c r="C17" s="17" t="inlineStr">
        <is>
          <t>Set aside a locked validation portion never used for training or tuning.</t>
        </is>
      </c>
      <c r="D17" s="23" t="inlineStr">
        <is>
          <t>Not yet done</t>
        </is>
      </c>
      <c r="E17" s="24" t="n"/>
      <c r="F17" s="23" t="inlineStr">
        <is>
          <t>Plan documented in Q30 but not yet implemented.</t>
        </is>
      </c>
      <c r="G17" s="23" t="n"/>
      <c r="H17" s="23" t="n"/>
    </row>
    <row r="18" ht="31.5" customHeight="1">
      <c r="A18" s="17" t="inlineStr">
        <is>
          <t>Stage 2 (NPHL</t>
        </is>
      </c>
      <c r="B18" s="17" t="inlineStr">
        <is>
          <t>Analyse and report</t>
        </is>
      </c>
      <c r="C18" s="17" t="inlineStr">
        <is>
          <t>Categorical agreement, VME/ME; STARD and TRIPOD+AI reporting; share results with NPHL.</t>
        </is>
      </c>
      <c r="D18" s="23" t="inlineStr">
        <is>
          <t>Not yet done</t>
        </is>
      </c>
      <c r="E18" s="24" t="n"/>
      <c r="F18" s="23" t="inlineStr">
        <is>
          <t>STARD/TRIPOD+AI reporting planned but not yet executed.</t>
        </is>
      </c>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Complete</t>
        </is>
      </c>
      <c r="D5" s="24" t="n"/>
      <c r="E5" s="24" t="inlineStr">
        <is>
          <t>2026-10-30</t>
        </is>
      </c>
      <c r="F5" s="23" t="inlineStr">
        <is>
          <t>deliverables/BactoAI Validation Capture.xlsx</t>
        </is>
      </c>
      <c r="G5" s="23" t="n"/>
      <c r="H5" s="23" t="n"/>
    </row>
    <row r="6" ht="31.5" customHeight="1">
      <c r="A6" s="17" t="n">
        <v>2</v>
      </c>
      <c r="B6" s="17" t="inlineStr">
        <is>
          <t>Master isolate table with accessions, metadata and partition for every isolate (Isolate Table sheet)</t>
        </is>
      </c>
      <c r="C6" s="23" t="inlineStr">
        <is>
          <t>In progress</t>
        </is>
      </c>
      <c r="D6" s="24" t="n"/>
      <c r="E6" s="24" t="inlineStr"/>
      <c r="F6" s="23" t="inlineStr">
        <is>
          <t>Isolate Table sheet (example row only)</t>
        </is>
      </c>
      <c r="G6" s="23" t="n"/>
      <c r="H6" s="23" t="n"/>
    </row>
    <row r="7" ht="31.5" customHeight="1">
      <c r="A7" s="17" t="n">
        <v>3</v>
      </c>
      <c r="B7" s="17" t="inlineStr">
        <is>
          <t>Results per drug for the model and rule-based baseline, original and relatedness-aware splits, plus external test (Model Results sheet)</t>
        </is>
      </c>
      <c r="C7" s="23" t="inlineStr">
        <is>
          <t>Complete</t>
        </is>
      </c>
      <c r="D7" s="24" t="n"/>
      <c r="E7" s="24" t="inlineStr">
        <is>
          <t>2026-10-30</t>
        </is>
      </c>
      <c r="F7" s="23" t="inlineStr">
        <is>
          <t>validation_results/q24_ci_report_*.md, threshold_audit_*.json</t>
        </is>
      </c>
      <c r="G7" s="23" t="n"/>
      <c r="H7" s="23" t="n"/>
    </row>
    <row r="8" ht="31.5" customHeight="1">
      <c r="A8" s="17" t="n">
        <v>4</v>
      </c>
      <c r="B8" s="17" t="inlineStr">
        <is>
          <t>Two-page technical summary for NPHL: intended use, data, methods, results with CIs, limitations, proposed validation design</t>
        </is>
      </c>
      <c r="C8" s="23" t="inlineStr">
        <is>
          <t>In progress</t>
        </is>
      </c>
      <c r="D8" s="24" t="n"/>
      <c r="E8" s="24" t="inlineStr"/>
      <c r="F8" s="23" t="inlineStr">
        <is>
          <t>Two-page summary to be drafted from Q1-Q39 answers</t>
        </is>
      </c>
      <c r="G8" s="23" t="n"/>
      <c r="H8" s="23" t="n"/>
    </row>
    <row r="9" ht="31.5" customHeight="1">
      <c r="A9" s="17" t="n">
        <v>5</v>
      </c>
      <c r="B9" s="17" t="inlineStr">
        <is>
          <t>Revised letter (Annex A) with all placeholders completed (Letter Placeholders sheet)</t>
        </is>
      </c>
      <c r="C9" s="23" t="inlineStr">
        <is>
          <t>In progress</t>
        </is>
      </c>
      <c r="D9" s="24" t="n"/>
      <c r="E9" s="24" t="inlineStr"/>
      <c r="F9" s="23" t="inlineStr">
        <is>
          <t>Letter Placeholders sheet, values populated from Q answers</t>
        </is>
      </c>
      <c r="G9" s="23" t="n"/>
      <c r="H9" s="23" t="n"/>
    </row>
    <row r="10" ht="31.5" customHeight="1">
      <c r="A10" s="17" t="n">
        <v>6</v>
      </c>
      <c r="B10" s="17" t="inlineStr">
        <is>
          <t>Link to code repository with software versions and random seeds</t>
        </is>
      </c>
      <c r="C10" s="23" t="inlineStr">
        <is>
          <t>Complete</t>
        </is>
      </c>
      <c r="D10" s="24" t="n"/>
      <c r="E10" s="24" t="inlineStr">
        <is>
          <t>2026-10-30</t>
        </is>
      </c>
      <c r="F10" s="23" t="inlineStr">
        <is>
          <t>https://github.com/bactoai-eng/BACTOAI.git, seeds [42,123,456,789,1024]</t>
        </is>
      </c>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2026-10-30T05:14:14Z</dcterms:modified>
  <cp:lastModifiedBy>Ken Iloka</cp:lastModifiedBy>
  <cp:revision>0</cp:revision>
</cp:coreProperties>
</file>