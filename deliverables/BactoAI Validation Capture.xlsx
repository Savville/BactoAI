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20" yWindow="-3600" windowWidth="38640" windowHeight="21120" tabRatio="500" firstSheet="2" activeTab="9" autoFilterDateGrouping="1"/>
  </bookViews>
  <sheets>
    <sheet name="Overview" sheetId="1" state="visible" r:id="rId1"/>
    <sheet name="Guiding Questions" sheetId="2" state="visible" r:id="rId2"/>
    <sheet name="Letter Claims" sheetId="3" state="visible" r:id="rId3"/>
    <sheet name="Letter Placeholders" sheetId="4" state="visible" r:id="rId4"/>
    <sheet name="Isolate Table" sheetId="5" state="visible" r:id="rId5"/>
    <sheet name="Data Summary" sheetId="6" state="visible" r:id="rId6"/>
    <sheet name="Model Results" sheetId="7" state="visible" r:id="rId7"/>
    <sheet name="External Datasets" sheetId="8" state="visible" r:id="rId8"/>
    <sheet name="Validation Steps" sheetId="9" state="visible" r:id="rId9"/>
    <sheet name="Deliverables" sheetId="10" state="visible" r:id="rId10"/>
    <sheet name="Lists" sheetId="11" state="hidden" r:id="rId11"/>
  </sheets>
  <definedNames>
    <definedName name="_xlnm._FilterDatabase" localSheetId="1" hidden="1">'Guiding Questions'!$A$4:$K$43</definedName>
    <definedName name="_xlnm._FilterDatabase" localSheetId="4" hidden="1">'Isolate Table'!$A$4:$Z$3004</definedName>
  </definedNames>
  <calcPr calcId="191029" fullCalcOnLoad="1" iterateDelta="0.0001"/>
</workbook>
</file>

<file path=xl/styles.xml><?xml version="1.0" encoding="utf-8"?>
<styleSheet xmlns="http://schemas.openxmlformats.org/spreadsheetml/2006/main">
  <numFmts count="5">
    <numFmt numFmtId="164" formatCode="dd\-mmm\-yyyy"/>
    <numFmt numFmtId="165" formatCode="0.###"/>
    <numFmt numFmtId="166" formatCode="0.0%"/>
    <numFmt numFmtId="167" formatCode="0.000"/>
    <numFmt numFmtId="168" formatCode="\+0.000;\-0.000;0.000"/>
  </numFmts>
  <fonts count="13">
    <font>
      <name val="Calibri"/>
      <charset val="1"/>
      <family val="2"/>
      <color theme="1"/>
      <sz val="11"/>
    </font>
    <font>
      <name val="Arial"/>
      <charset val="1"/>
      <b val="1"/>
      <color rgb="FF1F4E79"/>
      <sz val="14"/>
    </font>
    <font>
      <name val="Arial"/>
      <charset val="1"/>
      <i val="1"/>
      <color rgb="FF595959"/>
      <sz val="9"/>
    </font>
    <font>
      <name val="Arial"/>
      <charset val="1"/>
      <b val="1"/>
      <color rgb="FF000000"/>
      <sz val="10"/>
    </font>
    <font>
      <name val="Arial"/>
      <charset val="1"/>
      <color rgb="FF000000"/>
      <sz val="10"/>
    </font>
    <font>
      <name val="Arial"/>
      <charset val="1"/>
      <b val="1"/>
      <color rgb="FF1F4E79"/>
      <sz val="12"/>
    </font>
    <font>
      <name val="Arial"/>
      <charset val="1"/>
      <b val="1"/>
      <color rgb="FF0563C1"/>
      <sz val="11"/>
      <u val="single"/>
    </font>
    <font>
      <name val="Arial"/>
      <charset val="1"/>
      <b val="1"/>
      <color rgb="FFFFFFFF"/>
      <sz val="10"/>
    </font>
    <font>
      <name val="Arial"/>
      <family val="2"/>
      <sz val="10"/>
    </font>
    <font>
      <name val="Arial"/>
      <charset val="1"/>
      <b val="1"/>
      <color rgb="FF1F4E79"/>
      <sz val="11"/>
    </font>
    <font>
      <name val="Arial"/>
      <charset val="1"/>
      <b val="1"/>
      <color rgb="FF1F4E79"/>
      <sz val="10"/>
    </font>
    <font>
      <name val="Arial"/>
      <charset val="1"/>
      <color rgb="FF0000FF"/>
      <sz val="10"/>
    </font>
    <font>
      <name val="Arial"/>
      <charset val="1"/>
      <color rgb="FF0563C1"/>
      <sz val="11"/>
      <u val="single"/>
    </font>
  </fonts>
  <fills count="6">
    <fill>
      <patternFill/>
    </fill>
    <fill>
      <patternFill patternType="gray125"/>
    </fill>
    <fill>
      <patternFill patternType="solid">
        <fgColor rgb="FFFFF2CC"/>
        <bgColor rgb="FFEDEDED"/>
      </patternFill>
    </fill>
    <fill>
      <patternFill patternType="solid">
        <fgColor rgb="FFEDEDED"/>
        <bgColor rgb="FFE2EFDA"/>
      </patternFill>
    </fill>
    <fill>
      <patternFill patternType="solid">
        <fgColor rgb="FFE2EFDA"/>
        <bgColor rgb="FFEDEDED"/>
      </patternFill>
    </fill>
    <fill>
      <patternFill patternType="solid">
        <fgColor rgb="FF1F4E79"/>
        <bgColor rgb="FF003366"/>
      </patternFill>
    </fill>
  </fills>
  <borders count="8">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4E79"/>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5">
    <xf numFmtId="0" fontId="0" fillId="0" borderId="0" pivotButton="0" quotePrefix="0" xfId="0"/>
    <xf numFmtId="0" fontId="4" fillId="3" borderId="1"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vertical="top" wrapText="1"/>
    </xf>
    <xf numFmtId="164" fontId="4" fillId="2" borderId="1" applyAlignment="1" pivotButton="0" quotePrefix="0" xfId="0">
      <alignment vertical="top" wrapText="1"/>
    </xf>
    <xf numFmtId="0" fontId="4" fillId="2" borderId="1" applyAlignment="1" pivotButton="0" quotePrefix="0" xfId="0">
      <alignment vertical="top" wrapText="1"/>
    </xf>
    <xf numFmtId="0" fontId="4"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6" fillId="0" borderId="0" pivotButton="0" quotePrefix="0" xfId="0"/>
    <xf numFmtId="0" fontId="0" fillId="2" borderId="2" pivotButton="0" quotePrefix="0" xfId="0"/>
    <xf numFmtId="0" fontId="4" fillId="0" borderId="0" pivotButton="0" quotePrefix="0" xfId="0"/>
    <xf numFmtId="0" fontId="0" fillId="3" borderId="2" pivotButton="0" quotePrefix="0" xfId="0"/>
    <xf numFmtId="0" fontId="0" fillId="4" borderId="2" pivotButton="0" quotePrefix="0" xfId="0"/>
    <xf numFmtId="0" fontId="7" fillId="5" borderId="2" applyAlignment="1" pivotButton="0" quotePrefix="0" xfId="0">
      <alignment horizontal="center" vertical="top" wrapText="1"/>
    </xf>
    <xf numFmtId="0" fontId="4" fillId="0" borderId="2" applyAlignment="1" pivotButton="0" quotePrefix="0" xfId="0">
      <alignment vertical="top" wrapText="1"/>
    </xf>
    <xf numFmtId="0" fontId="4" fillId="3" borderId="2" applyAlignment="1" pivotButton="0" quotePrefix="0" xfId="0">
      <alignment vertical="top" wrapText="1"/>
    </xf>
    <xf numFmtId="9" fontId="4" fillId="3" borderId="2" applyAlignment="1" pivotButton="0" quotePrefix="0" xfId="0">
      <alignment vertical="top" wrapText="1"/>
    </xf>
    <xf numFmtId="0" fontId="3" fillId="3" borderId="2" applyAlignment="1" pivotButton="0" quotePrefix="0" xfId="0">
      <alignment vertical="top" wrapText="1"/>
    </xf>
    <xf numFmtId="9" fontId="3" fillId="3" borderId="2" applyAlignment="1" pivotButton="0" quotePrefix="0" xfId="0">
      <alignment vertical="top" wrapText="1"/>
    </xf>
    <xf numFmtId="0" fontId="4" fillId="0" borderId="2" applyAlignment="1" pivotButton="0" quotePrefix="0" xfId="0">
      <alignment horizontal="center" vertical="top" wrapText="1"/>
    </xf>
    <xf numFmtId="0" fontId="4" fillId="2" borderId="2" applyAlignment="1" pivotButton="0" quotePrefix="0" xfId="0">
      <alignment vertical="top" wrapText="1"/>
    </xf>
    <xf numFmtId="164" fontId="4" fillId="2" borderId="2" applyAlignment="1" pivotButton="0" quotePrefix="0" xfId="0">
      <alignment vertical="top" wrapText="1"/>
    </xf>
    <xf numFmtId="0" fontId="4" fillId="3" borderId="2" applyAlignment="1" pivotButton="0" quotePrefix="0" xfId="0">
      <alignment horizontal="center" vertical="top" wrapText="1"/>
    </xf>
    <xf numFmtId="0" fontId="4" fillId="4" borderId="2" pivotButton="0" quotePrefix="0" xfId="0"/>
    <xf numFmtId="49" fontId="4" fillId="4" borderId="2" pivotButton="0" quotePrefix="0" xfId="0"/>
    <xf numFmtId="165" fontId="4" fillId="4" borderId="2" pivotButton="0" quotePrefix="0" xfId="0"/>
    <xf numFmtId="0" fontId="4" fillId="3" borderId="2" pivotButton="0" quotePrefix="0" xfId="0"/>
    <xf numFmtId="0" fontId="4" fillId="2" borderId="2" pivotButton="0" quotePrefix="0" xfId="0"/>
    <xf numFmtId="49" fontId="4" fillId="2" borderId="2" pivotButton="0" quotePrefix="0" xfId="0"/>
    <xf numFmtId="165" fontId="4" fillId="2" borderId="2" pivotButton="0" quotePrefix="0" xfId="0"/>
    <xf numFmtId="0" fontId="9" fillId="0" borderId="0" pivotButton="0" quotePrefix="0" xfId="0"/>
    <xf numFmtId="3" fontId="4" fillId="3" borderId="2" applyAlignment="1" pivotButton="0" quotePrefix="0" xfId="0">
      <alignment vertical="top" wrapText="1"/>
    </xf>
    <xf numFmtId="3" fontId="3" fillId="3" borderId="2" applyAlignment="1" pivotButton="0" quotePrefix="0" xfId="0">
      <alignment vertical="top" wrapText="1"/>
    </xf>
    <xf numFmtId="0" fontId="10" fillId="0" borderId="0" pivotButton="0" quotePrefix="0" xfId="0"/>
    <xf numFmtId="2" fontId="11" fillId="2" borderId="2" applyAlignment="1" pivotButton="0" quotePrefix="0" xfId="0">
      <alignment vertical="top" wrapText="1"/>
    </xf>
    <xf numFmtId="166" fontId="11" fillId="2" borderId="2" applyAlignment="1" pivotButton="0" quotePrefix="0" xfId="0">
      <alignment vertical="top" wrapText="1"/>
    </xf>
    <xf numFmtId="0" fontId="4" fillId="0" borderId="3" applyAlignment="1" pivotButton="0" quotePrefix="0" xfId="0">
      <alignment vertical="top" wrapText="1"/>
    </xf>
    <xf numFmtId="0" fontId="4" fillId="2" borderId="3" applyAlignment="1" pivotButton="0" quotePrefix="0" xfId="0">
      <alignment vertical="top" wrapText="1"/>
    </xf>
    <xf numFmtId="3" fontId="4" fillId="2" borderId="3" applyAlignment="1" pivotButton="0" quotePrefix="0" xfId="0">
      <alignment vertical="top" wrapText="1"/>
    </xf>
    <xf numFmtId="167" fontId="4" fillId="2" borderId="3" applyAlignment="1" pivotButton="0" quotePrefix="0" xfId="0">
      <alignment vertical="top" wrapText="1"/>
    </xf>
    <xf numFmtId="167" fontId="11" fillId="0" borderId="3" applyAlignment="1" pivotButton="0" quotePrefix="0" xfId="0">
      <alignment vertical="top" wrapText="1"/>
    </xf>
    <xf numFmtId="168" fontId="4" fillId="3" borderId="3" applyAlignment="1" pivotButton="0" quotePrefix="0" xfId="0">
      <alignment vertical="top" wrapText="1"/>
    </xf>
    <xf numFmtId="3" fontId="4" fillId="3" borderId="3" applyAlignment="1" pivotButton="0" quotePrefix="0" xfId="0">
      <alignment vertical="top" wrapText="1"/>
    </xf>
    <xf numFmtId="166" fontId="4" fillId="3" borderId="3" applyAlignment="1" pivotButton="0" quotePrefix="0" xfId="0">
      <alignment vertical="top" wrapText="1"/>
    </xf>
    <xf numFmtId="0" fontId="4" fillId="3" borderId="3" applyAlignment="1" pivotButton="0" quotePrefix="0" xfId="0">
      <alignment vertical="top" wrapText="1"/>
    </xf>
    <xf numFmtId="3" fontId="4" fillId="2" borderId="2" applyAlignment="1" pivotButton="0" quotePrefix="0" xfId="0">
      <alignment vertical="top" wrapText="1"/>
    </xf>
    <xf numFmtId="167" fontId="4" fillId="2" borderId="2" applyAlignment="1" pivotButton="0" quotePrefix="0" xfId="0">
      <alignment vertical="top" wrapText="1"/>
    </xf>
    <xf numFmtId="168" fontId="4" fillId="3" borderId="2" applyAlignment="1" pivotButton="0" quotePrefix="0" xfId="0">
      <alignment vertical="top" wrapText="1"/>
    </xf>
    <xf numFmtId="166" fontId="4" fillId="3" borderId="2" applyAlignment="1" pivotButton="0" quotePrefix="0" xfId="0">
      <alignment vertical="top" wrapText="1"/>
    </xf>
    <xf numFmtId="0" fontId="12" fillId="0" borderId="2" applyAlignment="1" pivotButton="0" quotePrefix="0" xfId="0">
      <alignment vertical="top" wrapText="1"/>
    </xf>
    <xf numFmtId="0" fontId="0" fillId="0" borderId="6" pivotButton="0" quotePrefix="0" xfId="0"/>
    <xf numFmtId="0" fontId="0" fillId="0" borderId="7" pivotButton="0" quotePrefix="0" xfId="0"/>
  </cellXfs>
  <cellStyles count="1">
    <cellStyle name="Normal" xfId="0" builtinId="0"/>
  </cellStyles>
  <dxfs count="24">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
      <font>
        <name val="Arial"/>
        <charset val="1"/>
        <b val="1"/>
        <color rgb="FF9C0006"/>
      </font>
      <fill>
        <patternFill>
          <bgColor rgb="FFFFC7CE"/>
        </patternFill>
      </fill>
    </dxf>
    <dxf>
      <font>
        <name val="Arial"/>
        <charset val="1"/>
        <color rgb="FF006100"/>
      </font>
      <fill>
        <patternFill>
          <bgColor rgb="FFC6EFCE"/>
        </patternFill>
      </fill>
    </dxf>
    <dxf>
      <font>
        <name val="Arial"/>
        <charset val="1"/>
        <b val="1"/>
        <color rgb="FF9C0006"/>
      </font>
      <fill>
        <patternFill>
          <bgColor rgb="FFFFC7CE"/>
        </patternFill>
      </fill>
    </dxf>
    <dxf>
      <font>
        <name val="Arial"/>
        <charset val="1"/>
        <b val="1"/>
        <color rgb="FF9C0006"/>
      </font>
      <fill>
        <patternFill>
          <bgColor rgb="FFFFC7CE"/>
        </patternFill>
      </fill>
    </dxf>
    <dxf>
      <font>
        <name val="Arial"/>
        <charset val="1"/>
        <b val="1"/>
        <color rgb="FF9C0006"/>
      </font>
      <fill>
        <patternFill>
          <bgColor rgb="FFFFC7CE"/>
        </patternFill>
      </fill>
    </dxf>
    <dxf>
      <font>
        <name val="Arial"/>
        <charset val="1"/>
        <b val="1"/>
        <color rgb="FF9C0006"/>
      </font>
      <fill>
        <patternFill>
          <bgColor rgb="FFFFC7CE"/>
        </patternFill>
      </fill>
    </dxf>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
      <font>
        <name val="Arial"/>
        <charset val="1"/>
        <color rgb="FF9C0006"/>
      </font>
      <fill>
        <patternFill>
          <bgColor rgb="FFFFC7CE"/>
        </patternFill>
      </fill>
    </dxf>
    <dxf>
      <font>
        <name val="Arial"/>
        <charset val="1"/>
        <color rgb="FF9C5700"/>
      </font>
      <fill>
        <patternFill>
          <bgColor rgb="FFFFEB9C"/>
        </patternFill>
      </fill>
    </dxf>
    <dxf>
      <font>
        <name val="Arial"/>
        <charset val="1"/>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Unknown Author</author>
  </authors>
  <commentList>
    <comment ref="M4" authorId="0" shapeId="0">
      <text>
        <t>Record the exact version, e.g. "CLSI M100 Ed34 (2024)" or "EUCAST v14.0". All isolates should be re-interpreted with one version.</t>
      </text>
    </comment>
    <comment ref="X4" authorId="0" shapeId="0">
      <text>
        <t>Flags any BioSample accession that appears more than once. The same isolate must not appear twice, especially across training and test.</t>
      </text>
    </comment>
    <comment ref="Y4" authorId="0" shapeId="0">
      <text>
        <t>Flags isolates whose SNP cluster / sequence type also appears in a different partition. Related isolates should stay in one partition (Section 4, Step 6).</t>
      </text>
    </comment>
  </commentList>
</comments>
</file>

<file path=xl/comments/comment2.xml><?xml version="1.0" encoding="utf-8"?>
<comments xmlns="http://schemas.openxmlformats.org/spreadsheetml/2006/main">
  <authors>
    <author>Unknown Author</author>
  </authors>
  <commentList>
    <comment ref="B4" authorId="0" shapeId="0">
      <text>
        <t>Standard normal value for a two-sided 95% confidence interval.</t>
      </text>
    </comment>
    <comment ref="B5" authorId="0" shapeId="0">
      <text>
        <t>Commonly used acceptance target for AST device evaluations (e.g., FDA/CLSI M52 practice). Confirm the target with NPHL.</t>
      </text>
    </comment>
    <comment ref="B6" authorId="0" shapeId="0">
      <text>
        <t>Commonly used acceptance target for AST device evaluations (e.g., FDA/CLSI M52 practice). Confirm the target with NPHL.</t>
      </text>
    </comment>
    <comment ref="K9" authorId="0" shapeId="0">
      <text>
        <t>Source: BactoAI draft letter to NPHL/KNPHI, 18 Oct 2026.</t>
      </text>
    </comment>
    <comment ref="K14" authorId="0" shapeId="0">
      <text>
        <t>Source: BactoAI draft letter to NPHL/KNPHI, 18 Oct 2026.</t>
      </text>
    </comment>
    <comment ref="K19" authorId="0" shapeId="0">
      <text>
        <t>Source: BactoAI draft letter to NPHL/KNPHI, 18 Oct 2026.</t>
      </text>
    </comment>
  </commentList>
</comments>
</file>

<file path=xl/comments/comment3.xml><?xml version="1.0" encoding="utf-8"?>
<comments xmlns="http://schemas.openxmlformats.org/spreadsheetml/2006/main">
  <authors>
    <author>Unknown Author</author>
  </authors>
  <commentList>
    <comment ref="I4" authorId="0" shapeId="0">
      <text>
        <t>Turns red if a dataset intended for external testing is already in the training set.</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ownloads/BactoAI_Validation_Capture.xlsx" TargetMode="External" Id="rId1" /><Relationship Type="http://schemas.openxmlformats.org/officeDocument/2006/relationships/hyperlink" Target="../../../Downloads/BactoAI_Validation_Capture.xlsx" TargetMode="External" Id="rId2" /><Relationship Type="http://schemas.openxmlformats.org/officeDocument/2006/relationships/hyperlink" Target="../../../Downloads/BactoAI_Validation_Capture.xlsx" TargetMode="External" Id="rId3" /><Relationship Type="http://schemas.openxmlformats.org/officeDocument/2006/relationships/hyperlink" Target="../../../Downloads/BactoAI_Validation_Capture.xlsx" TargetMode="External" Id="rId4" /><Relationship Type="http://schemas.openxmlformats.org/officeDocument/2006/relationships/hyperlink" Target="../../../Downloads/BactoAI_Validation_Capture.xlsx" TargetMode="External" Id="rId5" /><Relationship Type="http://schemas.openxmlformats.org/officeDocument/2006/relationships/hyperlink" Target="../../../Downloads/BactoAI_Validation_Capture.xlsx" TargetMode="External" Id="rId6" /><Relationship Type="http://schemas.openxmlformats.org/officeDocument/2006/relationships/hyperlink" Target="../../../Downloads/BactoAI_Validation_Capture.xlsx" TargetMode="External" Id="rId7" /><Relationship Type="http://schemas.openxmlformats.org/officeDocument/2006/relationships/hyperlink" Target="../../../Downloads/BactoAI_Validation_Capture.xlsx" TargetMode="External" Id="rId8" /><Relationship Type="http://schemas.openxmlformats.org/officeDocument/2006/relationships/hyperlink" Target="../../../Downloads/BactoAI_Validation_Capture.xlsx" TargetMode="External" Id="rId9"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hyperlink" Target="https://www.ncbi.nlm.nih.gov/pathogens/ast/" TargetMode="External" Id="rId1" /><Relationship Type="http://schemas.openxmlformats.org/officeDocument/2006/relationships/hyperlink" Target="https://www.ncbi.nlm.nih.gov/pathogens/isolates/" TargetMode="External" Id="rId2" /><Relationship Type="http://schemas.openxmlformats.org/officeDocument/2006/relationships/hyperlink" Target="https://www.ncbi.nlm.nih.gov/biosample/?term=antibiogram%5Bfilter%5D" TargetMode="External" Id="rId3" /><Relationship Type="http://schemas.openxmlformats.org/officeDocument/2006/relationships/hyperlink" Target="https://www.bv-brc.org/" TargetMode="External" Id="rId4" /><Relationship Type="http://schemas.openxmlformats.org/officeDocument/2006/relationships/hyperlink" Target="https://datacat.liverpool.ac.uk/3008/" TargetMode="External" Id="rId5" /><Relationship Type="http://schemas.openxmlformats.org/officeDocument/2006/relationships/hyperlink" Target="https://doi.org/10.1371/journal.pcbi.1006258" TargetMode="External" Id="rId6" /><Relationship Type="http://schemas.openxmlformats.org/officeDocument/2006/relationships/hyperlink" Target="https://doi.org/10.1038/s41598-017-18972-w" TargetMode="External" Id="rId7" /><Relationship Type="http://schemas.openxmlformats.org/officeDocument/2006/relationships/hyperlink" Target="https://doi.org/10.1093/bib/bbae206" TargetMode="External" Id="rId8" /><Relationship Type="http://schemas.openxmlformats.org/officeDocument/2006/relationships/hyperlink" Target="https://www.ebi.ac.uk/ena/browser/" TargetMode="External" Id="rId9"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fitToPage="1"/>
  </sheetPr>
  <dimension ref="A1:H41"/>
  <sheetViews>
    <sheetView showGridLines="0" zoomScaleNormal="100" workbookViewId="0">
      <selection activeCell="A1" sqref="A1"/>
    </sheetView>
  </sheetViews>
  <sheetFormatPr baseColWidth="8" defaultColWidth="8.6328125" defaultRowHeight="14.5"/>
  <cols>
    <col width="30" customWidth="1" min="1" max="1"/>
    <col width="14" customWidth="1" min="2" max="8"/>
  </cols>
  <sheetData>
    <row r="1" ht="18" customHeight="1">
      <c r="A1" s="7" t="inlineStr">
        <is>
          <t>BactoAI – Model Validation Capture Workbook</t>
        </is>
      </c>
    </row>
    <row r="2">
      <c r="A2" s="8" t="inlineStr">
        <is>
          <t>Companion to "BactoAI: Validating a Genomic AMR Prediction Model" (KU IvE, 26 Oct 2026). Use with the draft letter to NPHL/KNPHI dated 18 Oct 2026.</t>
        </is>
      </c>
    </row>
    <row r="4" ht="15" customHeight="1">
      <c r="A4" s="9" t="inlineStr">
        <is>
          <t>Venture</t>
        </is>
      </c>
      <c r="B4" s="6" t="inlineStr">
        <is>
          <t>BactoAI</t>
        </is>
      </c>
      <c r="C4" s="53" t="n"/>
      <c r="D4" s="53" t="n"/>
      <c r="E4" s="53" t="n"/>
    </row>
    <row r="5" ht="15" customHeight="1">
      <c r="A5" s="9" t="inlineStr">
        <is>
          <t>Team lead</t>
        </is>
      </c>
      <c r="B5" s="6" t="inlineStr">
        <is>
          <t>Samwel Azivirwa Elegwa, Founder and CEO</t>
        </is>
      </c>
      <c r="C5" s="53" t="n"/>
      <c r="D5" s="53" t="n"/>
      <c r="E5" s="53" t="n"/>
    </row>
    <row r="6" ht="15" customHeight="1">
      <c r="A6" s="9" t="inlineStr">
        <is>
          <t>Prepared by</t>
        </is>
      </c>
      <c r="B6" s="6" t="inlineStr">
        <is>
          <t>Dr. Kenneth Malongo Iloka, Co-PI, MDI and IvE Programmes</t>
        </is>
      </c>
      <c r="C6" s="53" t="n"/>
      <c r="D6" s="53" t="n"/>
      <c r="E6" s="53" t="n"/>
    </row>
    <row r="7">
      <c r="A7" s="9" t="inlineStr">
        <is>
          <t>Completed by (team member)</t>
        </is>
      </c>
      <c r="B7" s="5" t="n"/>
      <c r="C7" s="53" t="n"/>
      <c r="D7" s="53" t="n"/>
      <c r="E7" s="53" t="n"/>
    </row>
    <row r="8">
      <c r="A8" s="9" t="inlineStr">
        <is>
          <t>Date last updated</t>
        </is>
      </c>
      <c r="B8" s="4" t="n"/>
      <c r="C8" s="53" t="n"/>
      <c r="D8" s="53" t="n"/>
      <c r="E8" s="53" t="n"/>
    </row>
    <row r="10" ht="15.5" customHeight="1">
      <c r="A10" s="10" t="inlineStr">
        <is>
          <t>How to use this workbook</t>
        </is>
      </c>
    </row>
    <row r="11" ht="27.75" customHeight="1">
      <c r="A11" s="11" t="inlineStr">
        <is>
          <t>Guiding Questions</t>
        </is>
      </c>
      <c r="B11" s="3" t="inlineStr">
        <is>
          <t>Answer all 39 questions (Section 5 of the guidance). Cite the file or evidence for each answer and set its status.</t>
        </is>
      </c>
    </row>
    <row r="12" ht="27.75" customHeight="1">
      <c r="A12" s="11" t="inlineStr">
        <is>
          <t>Letter Claims</t>
        </is>
      </c>
      <c r="B12" s="3" t="inlineStr">
        <is>
          <t>Track each statement in the letter that needs evidence or rewording (Section 2.2).</t>
        </is>
      </c>
    </row>
    <row r="13" ht="27.75" customHeight="1">
      <c r="A13" s="11" t="inlineStr">
        <is>
          <t>Letter Placeholders</t>
        </is>
      </c>
      <c r="B13" s="3" t="inlineStr">
        <is>
          <t>Values to insert into the revised letter in Annex A, each traced to the question that supplies it.</t>
        </is>
      </c>
    </row>
    <row r="14" ht="27.75" customHeight="1">
      <c r="A14" s="11" t="inlineStr">
        <is>
          <t>Isolate Table</t>
        </is>
      </c>
      <c r="B14" s="3" t="inlineStr">
        <is>
          <t>Master list of every isolate: accessions, metadata, phenotypes and partition. Duplicate and leakage checks run automatically.</t>
        </is>
      </c>
    </row>
    <row r="15" ht="27.75" customHeight="1">
      <c r="A15" s="11" t="inlineStr">
        <is>
          <t>Data Summary</t>
        </is>
      </c>
      <c r="B15" s="3" t="inlineStr">
        <is>
          <t>Automatic counts from the Isolate Table. Do not type here.</t>
        </is>
      </c>
    </row>
    <row r="16" ht="27.75" customHeight="1">
      <c r="A16" s="11" t="inlineStr">
        <is>
          <t>Model Results</t>
        </is>
      </c>
      <c r="B16" s="3" t="inlineStr">
        <is>
          <t>Enter confusion-matrix counts per drug and evaluation; metrics, 95% CIs and error rates compute automatically.</t>
        </is>
      </c>
    </row>
    <row r="17" ht="27.75" customHeight="1">
      <c r="A17" s="11" t="inlineStr">
        <is>
          <t>External Datasets</t>
        </is>
      </c>
      <c r="B17" s="3" t="inlineStr">
        <is>
          <t>Candidate training and independent test datasets (Section 3), with coverage and overlap checks.</t>
        </is>
      </c>
    </row>
    <row r="18" ht="27.75" customHeight="1">
      <c r="A18" s="11" t="inlineStr">
        <is>
          <t>Validation Steps</t>
        </is>
      </c>
      <c r="B18" s="3" t="inlineStr">
        <is>
          <t>Stage 1 (public data) and Stage 2 (NPHL) procedure checklist (Section 4).</t>
        </is>
      </c>
    </row>
    <row r="19" ht="27.75" customHeight="1">
      <c r="A19" s="11" t="inlineStr">
        <is>
          <t>Deliverables</t>
        </is>
      </c>
      <c r="B19" s="3" t="inlineStr">
        <is>
          <t>The six items to submit to the IvE Programme (Section 6).</t>
        </is>
      </c>
    </row>
    <row r="21" ht="15.5" customHeight="1">
      <c r="A21" s="10" t="inlineStr">
        <is>
          <t>Legend</t>
        </is>
      </c>
    </row>
    <row r="22">
      <c r="A22" s="12" t="n"/>
      <c r="B22" s="13" t="inlineStr">
        <is>
          <t>Input cell – type or select here</t>
        </is>
      </c>
    </row>
    <row r="23">
      <c r="A23" s="14" t="n"/>
      <c r="B23" s="13" t="inlineStr">
        <is>
          <t>Formula – calculated automatically, do not overwrite</t>
        </is>
      </c>
    </row>
    <row r="24">
      <c r="A24" s="15" t="n"/>
      <c r="B24" s="13" t="inlineStr">
        <is>
          <t>Example row – shows the expected format; replace or delete</t>
        </is>
      </c>
    </row>
    <row r="26" ht="15.5" customHeight="1">
      <c r="A26" s="10" t="inlineStr">
        <is>
          <t>Progress dashboard</t>
        </is>
      </c>
    </row>
    <row r="27" ht="26" customHeight="1">
      <c r="A27" s="16" t="inlineStr">
        <is>
          <t>Guiding question section</t>
        </is>
      </c>
      <c r="B27" s="16" t="inlineStr">
        <is>
          <t>Questions</t>
        </is>
      </c>
      <c r="C27" s="16" t="inlineStr">
        <is>
          <t>Complete</t>
        </is>
      </c>
      <c r="D27" s="16" t="inlineStr">
        <is>
          <t>In progress</t>
        </is>
      </c>
      <c r="E27" s="16" t="inlineStr">
        <is>
          <t>Not yet done</t>
        </is>
      </c>
      <c r="F27" s="16" t="inlineStr">
        <is>
          <t>Not started</t>
        </is>
      </c>
      <c r="G27" s="16" t="inlineStr">
        <is>
          <t>% complete</t>
        </is>
      </c>
      <c r="H27" s="16" t="inlineStr">
        <is>
          <t>Accepted by KU</t>
        </is>
      </c>
    </row>
    <row r="28" ht="25" customHeight="1">
      <c r="A28" s="17" t="inlineStr">
        <is>
          <t>A. The product and the claims in the letter</t>
        </is>
      </c>
      <c r="B28" s="18">
        <f>COUNTIF('Guiding Questions'!$B$5:$B$43,A28)</f>
        <v/>
      </c>
      <c r="C28" s="18">
        <f>COUNTIFS('Guiding Questions'!$B$5:$B$43,$A28,'Guiding Questions'!$G$5:$G$43,"Complete")</f>
        <v/>
      </c>
      <c r="D28" s="18">
        <f>COUNTIFS('Guiding Questions'!$B$5:$B$43,$A28,'Guiding Questions'!$G$5:$G$43,"In progress")</f>
        <v/>
      </c>
      <c r="E28" s="18">
        <f>COUNTIFS('Guiding Questions'!$B$5:$B$43,$A28,'Guiding Questions'!$G$5:$G$43,"Not yet done")</f>
        <v/>
      </c>
      <c r="F28" s="18">
        <f>B28-C28-D28-E28-COUNTIFS('Guiding Questions'!$B$5:$B$43,$A28,'Guiding Questions'!$G$5:$G$43,"Not applicable")</f>
        <v/>
      </c>
      <c r="G28" s="19">
        <f>IF(B28=0,0,C28/B28)</f>
        <v/>
      </c>
      <c r="H28" s="18">
        <f>COUNTIFS('Guiding Questions'!$B$5:$B$43,$A28,'Guiding Questions'!$K$5:$K$43,"Accepted")</f>
        <v/>
      </c>
    </row>
    <row r="29" ht="25" customHeight="1">
      <c r="A29" s="17" t="inlineStr">
        <is>
          <t>B. Training data (the 1,800+ clinical isolates)</t>
        </is>
      </c>
      <c r="B29" s="18">
        <f>COUNTIF('Guiding Questions'!$B$5:$B$43,A29)</f>
        <v/>
      </c>
      <c r="C29" s="18">
        <f>COUNTIFS('Guiding Questions'!$B$5:$B$43,$A29,'Guiding Questions'!$G$5:$G$43,"Complete")</f>
        <v/>
      </c>
      <c r="D29" s="18">
        <f>COUNTIFS('Guiding Questions'!$B$5:$B$43,$A29,'Guiding Questions'!$G$5:$G$43,"In progress")</f>
        <v/>
      </c>
      <c r="E29" s="18">
        <f>COUNTIFS('Guiding Questions'!$B$5:$B$43,$A29,'Guiding Questions'!$G$5:$G$43,"Not yet done")</f>
        <v/>
      </c>
      <c r="F29" s="18">
        <f>B29-C29-D29-E29-COUNTIFS('Guiding Questions'!$B$5:$B$43,$A29,'Guiding Questions'!$G$5:$G$43,"Not applicable")</f>
        <v/>
      </c>
      <c r="G29" s="19">
        <f>IF(B29=0,0,C29/B29)</f>
        <v/>
      </c>
      <c r="H29" s="18">
        <f>COUNTIFS('Guiding Questions'!$B$5:$B$43,$A29,'Guiding Questions'!$K$5:$K$43,"Accepted")</f>
        <v/>
      </c>
    </row>
    <row r="30" ht="25" customHeight="1">
      <c r="A30" s="17" t="inlineStr">
        <is>
          <t>C. Phenotype labels and quality control</t>
        </is>
      </c>
      <c r="B30" s="18">
        <f>COUNTIF('Guiding Questions'!$B$5:$B$43,A30)</f>
        <v/>
      </c>
      <c r="C30" s="18">
        <f>COUNTIFS('Guiding Questions'!$B$5:$B$43,$A30,'Guiding Questions'!$G$5:$G$43,"Complete")</f>
        <v/>
      </c>
      <c r="D30" s="18">
        <f>COUNTIFS('Guiding Questions'!$B$5:$B$43,$A30,'Guiding Questions'!$G$5:$G$43,"In progress")</f>
        <v/>
      </c>
      <c r="E30" s="18">
        <f>COUNTIFS('Guiding Questions'!$B$5:$B$43,$A30,'Guiding Questions'!$G$5:$G$43,"Not yet done")</f>
        <v/>
      </c>
      <c r="F30" s="18">
        <f>B30-C30-D30-E30-COUNTIFS('Guiding Questions'!$B$5:$B$43,$A30,'Guiding Questions'!$G$5:$G$43,"Not applicable")</f>
        <v/>
      </c>
      <c r="G30" s="19">
        <f>IF(B30=0,0,C30/B30)</f>
        <v/>
      </c>
      <c r="H30" s="18">
        <f>COUNTIFS('Guiding Questions'!$B$5:$B$43,$A30,'Guiding Questions'!$K$5:$K$43,"Accepted")</f>
        <v/>
      </c>
    </row>
    <row r="31">
      <c r="A31" s="17" t="inlineStr">
        <is>
          <t>D. Features and model</t>
        </is>
      </c>
      <c r="B31" s="18">
        <f>COUNTIF('Guiding Questions'!$B$5:$B$43,A31)</f>
        <v/>
      </c>
      <c r="C31" s="18">
        <f>COUNTIFS('Guiding Questions'!$B$5:$B$43,$A31,'Guiding Questions'!$G$5:$G$43,"Complete")</f>
        <v/>
      </c>
      <c r="D31" s="18">
        <f>COUNTIFS('Guiding Questions'!$B$5:$B$43,$A31,'Guiding Questions'!$G$5:$G$43,"In progress")</f>
        <v/>
      </c>
      <c r="E31" s="18">
        <f>COUNTIFS('Guiding Questions'!$B$5:$B$43,$A31,'Guiding Questions'!$G$5:$G$43,"Not yet done")</f>
        <v/>
      </c>
      <c r="F31" s="18">
        <f>B31-C31-D31-E31-COUNTIFS('Guiding Questions'!$B$5:$B$43,$A31,'Guiding Questions'!$G$5:$G$43,"Not applicable")</f>
        <v/>
      </c>
      <c r="G31" s="19">
        <f>IF(B31=0,0,C31/B31)</f>
        <v/>
      </c>
      <c r="H31" s="18">
        <f>COUNTIFS('Guiding Questions'!$B$5:$B$43,$A31,'Guiding Questions'!$K$5:$K$43,"Accepted")</f>
        <v/>
      </c>
    </row>
    <row r="32" ht="25" customHeight="1">
      <c r="A32" s="17" t="inlineStr">
        <is>
          <t>E. How the ROC-AUC figures were obtained</t>
        </is>
      </c>
      <c r="B32" s="18">
        <f>COUNTIF('Guiding Questions'!$B$5:$B$43,A32)</f>
        <v/>
      </c>
      <c r="C32" s="18">
        <f>COUNTIFS('Guiding Questions'!$B$5:$B$43,$A32,'Guiding Questions'!$G$5:$G$43,"Complete")</f>
        <v/>
      </c>
      <c r="D32" s="18">
        <f>COUNTIFS('Guiding Questions'!$B$5:$B$43,$A32,'Guiding Questions'!$G$5:$G$43,"In progress")</f>
        <v/>
      </c>
      <c r="E32" s="18">
        <f>COUNTIFS('Guiding Questions'!$B$5:$B$43,$A32,'Guiding Questions'!$G$5:$G$43,"Not yet done")</f>
        <v/>
      </c>
      <c r="F32" s="18">
        <f>B32-C32-D32-E32-COUNTIFS('Guiding Questions'!$B$5:$B$43,$A32,'Guiding Questions'!$G$5:$G$43,"Not applicable")</f>
        <v/>
      </c>
      <c r="G32" s="19">
        <f>IF(B32=0,0,C32/B32)</f>
        <v/>
      </c>
      <c r="H32" s="18">
        <f>COUNTIFS('Guiding Questions'!$B$5:$B$43,$A32,'Guiding Questions'!$K$5:$K$43,"Accepted")</f>
        <v/>
      </c>
    </row>
    <row r="33">
      <c r="A33" s="17" t="inlineStr">
        <is>
          <t>F. External validation plan</t>
        </is>
      </c>
      <c r="B33" s="18">
        <f>COUNTIF('Guiding Questions'!$B$5:$B$43,A33)</f>
        <v/>
      </c>
      <c r="C33" s="18">
        <f>COUNTIFS('Guiding Questions'!$B$5:$B$43,$A33,'Guiding Questions'!$G$5:$G$43,"Complete")</f>
        <v/>
      </c>
      <c r="D33" s="18">
        <f>COUNTIFS('Guiding Questions'!$B$5:$B$43,$A33,'Guiding Questions'!$G$5:$G$43,"In progress")</f>
        <v/>
      </c>
      <c r="E33" s="18">
        <f>COUNTIFS('Guiding Questions'!$B$5:$B$43,$A33,'Guiding Questions'!$G$5:$G$43,"Not yet done")</f>
        <v/>
      </c>
      <c r="F33" s="18">
        <f>B33-C33-D33-E33-COUNTIFS('Guiding Questions'!$B$5:$B$43,$A33,'Guiding Questions'!$G$5:$G$43,"Not applicable")</f>
        <v/>
      </c>
      <c r="G33" s="19">
        <f>IF(B33=0,0,C33/B33)</f>
        <v/>
      </c>
      <c r="H33" s="18">
        <f>COUNTIFS('Guiding Questions'!$B$5:$B$43,$A33,'Guiding Questions'!$K$5:$K$43,"Accepted")</f>
        <v/>
      </c>
    </row>
    <row r="34" ht="25" customHeight="1">
      <c r="A34" s="17" t="inlineStr">
        <is>
          <t>G. Governance, data protection and regulation</t>
        </is>
      </c>
      <c r="B34" s="18">
        <f>COUNTIF('Guiding Questions'!$B$5:$B$43,A34)</f>
        <v/>
      </c>
      <c r="C34" s="18">
        <f>COUNTIFS('Guiding Questions'!$B$5:$B$43,$A34,'Guiding Questions'!$G$5:$G$43,"Complete")</f>
        <v/>
      </c>
      <c r="D34" s="18">
        <f>COUNTIFS('Guiding Questions'!$B$5:$B$43,$A34,'Guiding Questions'!$G$5:$G$43,"In progress")</f>
        <v/>
      </c>
      <c r="E34" s="18">
        <f>COUNTIFS('Guiding Questions'!$B$5:$B$43,$A34,'Guiding Questions'!$G$5:$G$43,"Not yet done")</f>
        <v/>
      </c>
      <c r="F34" s="18">
        <f>B34-C34-D34-E34-COUNTIFS('Guiding Questions'!$B$5:$B$43,$A34,'Guiding Questions'!$G$5:$G$43,"Not applicable")</f>
        <v/>
      </c>
      <c r="G34" s="19">
        <f>IF(B34=0,0,C34/B34)</f>
        <v/>
      </c>
      <c r="H34" s="18">
        <f>COUNTIFS('Guiding Questions'!$B$5:$B$43,$A34,'Guiding Questions'!$K$5:$K$43,"Accepted")</f>
        <v/>
      </c>
    </row>
    <row r="35">
      <c r="A35" s="17" t="inlineStr">
        <is>
          <t>H. Reproducibility and support</t>
        </is>
      </c>
      <c r="B35" s="18">
        <f>COUNTIF('Guiding Questions'!$B$5:$B$43,A35)</f>
        <v/>
      </c>
      <c r="C35" s="18">
        <f>COUNTIFS('Guiding Questions'!$B$5:$B$43,$A35,'Guiding Questions'!$G$5:$G$43,"Complete")</f>
        <v/>
      </c>
      <c r="D35" s="18">
        <f>COUNTIFS('Guiding Questions'!$B$5:$B$43,$A35,'Guiding Questions'!$G$5:$G$43,"In progress")</f>
        <v/>
      </c>
      <c r="E35" s="18">
        <f>COUNTIFS('Guiding Questions'!$B$5:$B$43,$A35,'Guiding Questions'!$G$5:$G$43,"Not yet done")</f>
        <v/>
      </c>
      <c r="F35" s="18">
        <f>B35-C35-D35-E35-COUNTIFS('Guiding Questions'!$B$5:$B$43,$A35,'Guiding Questions'!$G$5:$G$43,"Not applicable")</f>
        <v/>
      </c>
      <c r="G35" s="19">
        <f>IF(B35=0,0,C35/B35)</f>
        <v/>
      </c>
      <c r="H35" s="18">
        <f>COUNTIFS('Guiding Questions'!$B$5:$B$43,$A35,'Guiding Questions'!$K$5:$K$43,"Accepted")</f>
        <v/>
      </c>
    </row>
    <row r="36">
      <c r="A36" s="20" t="inlineStr">
        <is>
          <t>All questions</t>
        </is>
      </c>
      <c r="B36" s="20">
        <f>SUM(B28:B35)</f>
        <v/>
      </c>
      <c r="C36" s="20">
        <f>SUM(C28:C35)</f>
        <v/>
      </c>
      <c r="D36" s="20">
        <f>SUM(D28:D35)</f>
        <v/>
      </c>
      <c r="E36" s="20">
        <f>SUM(E28:E35)</f>
        <v/>
      </c>
      <c r="F36" s="20">
        <f>SUM(F28:F35)</f>
        <v/>
      </c>
      <c r="G36" s="21">
        <f>IF(B36=0,0,C36/B36)</f>
        <v/>
      </c>
      <c r="H36" s="20">
        <f>SUM(H28:H35)</f>
        <v/>
      </c>
    </row>
    <row r="38">
      <c r="A38" s="9" t="inlineStr">
        <is>
          <t>Validation steps complete</t>
        </is>
      </c>
      <c r="B38" s="18">
        <f>COUNTIF('Validation Steps'!$D$5:$D$18,"Complete")&amp;" of "&amp;COUNTA('Validation Steps'!$B$5:$B$18)</f>
        <v/>
      </c>
    </row>
    <row r="39">
      <c r="A39" s="9" t="inlineStr">
        <is>
          <t>Deliverables complete</t>
        </is>
      </c>
      <c r="B39" s="18">
        <f>COUNTIF(Deliverables!$C$5:$C$10,"Complete")&amp;" of "&amp;COUNTA(Deliverables!$B$5:$B$10)</f>
        <v/>
      </c>
    </row>
    <row r="40">
      <c r="A40" s="9" t="inlineStr">
        <is>
          <t>Letter claims resolved</t>
        </is>
      </c>
      <c r="B40" s="18">
        <f>COUNTIF('Letter Claims'!$G$5:$G$13,"Complete")&amp;" of "&amp;COUNTA('Letter Claims'!$B$5:$B$13)</f>
        <v/>
      </c>
    </row>
    <row r="41">
      <c r="A41" s="9" t="inlineStr">
        <is>
          <t>Isolate table checks</t>
        </is>
      </c>
      <c r="B41" s="18">
        <f>'Data Summary'!B25</f>
        <v/>
      </c>
      <c r="C41" s="53" t="n"/>
      <c r="D41" s="53" t="n"/>
      <c r="E41" s="54" t="n"/>
    </row>
  </sheetData>
  <mergeCells count="15">
    <mergeCell ref="B14:H14"/>
    <mergeCell ref="B41:E41"/>
    <mergeCell ref="B8:E8"/>
    <mergeCell ref="B17:H17"/>
    <mergeCell ref="B18:H18"/>
    <mergeCell ref="B13:H13"/>
    <mergeCell ref="B4:E4"/>
    <mergeCell ref="B6:E6"/>
    <mergeCell ref="B12:H12"/>
    <mergeCell ref="B7:E7"/>
    <mergeCell ref="B16:H16"/>
    <mergeCell ref="B15:H15"/>
    <mergeCell ref="B5:E5"/>
    <mergeCell ref="B11:H11"/>
    <mergeCell ref="B19:H19"/>
  </mergeCells>
  <hyperlinks>
    <hyperlink xmlns:r="http://schemas.openxmlformats.org/officeDocument/2006/relationships" ref="A11" location="'Guiding%20Questions'!A1" r:id="rId1"/>
    <hyperlink xmlns:r="http://schemas.openxmlformats.org/officeDocument/2006/relationships" ref="A12" location="'Letter%20Claims'!A1" r:id="rId2"/>
    <hyperlink xmlns:r="http://schemas.openxmlformats.org/officeDocument/2006/relationships" ref="A13" location="'Letter%20Placeholders'!A1" r:id="rId3"/>
    <hyperlink xmlns:r="http://schemas.openxmlformats.org/officeDocument/2006/relationships" ref="A14" location="'Isolate%20Table'!A1" r:id="rId4"/>
    <hyperlink xmlns:r="http://schemas.openxmlformats.org/officeDocument/2006/relationships" ref="A15" location="'Data%20Summary'!A1" r:id="rId5"/>
    <hyperlink xmlns:r="http://schemas.openxmlformats.org/officeDocument/2006/relationships" ref="A16" location="'Model%20Results'!A1" r:id="rId6"/>
    <hyperlink xmlns:r="http://schemas.openxmlformats.org/officeDocument/2006/relationships" ref="A17" location="'External%20Datasets'!A1" r:id="rId7"/>
    <hyperlink xmlns:r="http://schemas.openxmlformats.org/officeDocument/2006/relationships" ref="A18" location="'Validation%20Steps'!A1" r:id="rId8"/>
    <hyperlink xmlns:r="http://schemas.openxmlformats.org/officeDocument/2006/relationships" ref="A19" location="'Deliverables'!A1" r:id="rId9"/>
  </hyperlink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K43"/>
  <sheetViews>
    <sheetView showGridLines="0" zoomScaleNormal="100" workbookViewId="0">
      <pane ySplit="4" topLeftCell="A5" activePane="bottomLeft" state="frozen"/>
      <selection pane="bottomLeft" activeCell="A1" sqref="A1"/>
    </sheetView>
  </sheetViews>
  <sheetFormatPr baseColWidth="8" defaultColWidth="8.6328125" defaultRowHeight="14.5"/>
  <cols>
    <col width="6" customWidth="1" min="1" max="1"/>
    <col width="22" customWidth="1" min="2" max="2"/>
    <col width="52" customWidth="1" min="3" max="3"/>
    <col width="15" customWidth="1" min="4" max="4"/>
    <col width="55" customWidth="1" min="5" max="5"/>
    <col width="26" customWidth="1" min="6" max="6"/>
    <col width="14" customWidth="1" min="7" max="7"/>
    <col width="16" customWidth="1" min="8" max="8"/>
    <col width="13" customWidth="1" min="9" max="9"/>
    <col width="36" customWidth="1" min="10" max="10"/>
    <col width="14" customWidth="1" min="11" max="11"/>
  </cols>
  <sheetData>
    <row r="1" ht="18" customHeight="1">
      <c r="A1" s="7" t="inlineStr">
        <is>
          <t>Guiding Questions (Section 5)</t>
        </is>
      </c>
    </row>
    <row r="2">
      <c r="A2" s="8" t="inlineStr">
        <is>
          <t>Answer each question specifically. Give numbers, accessions or file references. Write "Not yet done" where that is the honest answer.</t>
        </is>
      </c>
    </row>
    <row r="3"/>
    <row r="4" ht="26" customHeight="1">
      <c r="A4" s="16" t="inlineStr">
        <is>
          <t>No.</t>
        </is>
      </c>
      <c r="B4" s="16" t="inlineStr">
        <is>
          <t>Section</t>
        </is>
      </c>
      <c r="C4" s="16" t="inlineStr">
        <is>
          <t>Question</t>
        </is>
      </c>
      <c r="D4" s="16" t="inlineStr">
        <is>
          <t>Letter link</t>
        </is>
      </c>
      <c r="E4" s="16" t="inlineStr">
        <is>
          <t>Team response</t>
        </is>
      </c>
      <c r="F4" s="16" t="inlineStr">
        <is>
          <t>Evidence / file reference</t>
        </is>
      </c>
      <c r="G4" s="16" t="inlineStr">
        <is>
          <t>Status</t>
        </is>
      </c>
      <c r="H4" s="16" t="inlineStr">
        <is>
          <t>Responsible</t>
        </is>
      </c>
      <c r="I4" s="16" t="inlineStr">
        <is>
          <t>Date answered</t>
        </is>
      </c>
      <c r="J4" s="16" t="inlineStr">
        <is>
          <t>KU reviewer comment</t>
        </is>
      </c>
      <c r="K4" s="16" t="inlineStr">
        <is>
          <t>KU review</t>
        </is>
      </c>
    </row>
    <row r="5" ht="60" customHeight="1">
      <c r="A5" s="22" t="n">
        <v>1</v>
      </c>
      <c r="B5" s="17" t="inlineStr">
        <is>
          <t>A. The product and the claims in the letter</t>
        </is>
      </c>
      <c r="C5" s="17" t="inlineStr">
        <is>
          <t>Which bacterial species do the meropenem, ciprofloxacin and cefotaxime models cover? Is there one model per drug across species, or one per species–drug pair?</t>
        </is>
      </c>
      <c r="D5" s="17" t="inlineStr">
        <is>
          <t>Gram-negative focus</t>
        </is>
      </c>
      <c r="E5" s="23" t="inlineStr">
        <is>
          <t>One model per antibiotic (cross-species), not per species-drug pair. Species included:
- Meropenem: A. baumannii (98), K. pneumoniae (152), E. coli/Shigella (198), P. aeruginosa (63), S. enterica (87), E. cloacae (2) = 600 isolates
- Ciprofloxacin: E. coli/Shigella (287), S. enterica (133), A. baumannii (86), K. pneumoniae (54), P. aeruginosa (39), E. cloacae (1) = 600 isolates
- Cefotaxime v4: E. coli/Shigella (222 NCBI + 3,419 BV-BRC), K. pneumoniae (219), A. baumannii (114), S. enterica (43), P. aeruginosa (1), E. cloacae (1) = 4,019 isolates
See: data/metadata_*.csv, bactoai_pipeline.py, BVBRC_INTEGRATION_AND_VALIDATION_REPORT.md</t>
        </is>
      </c>
      <c r="F5" s="23" t="inlineStr">
        <is>
          <t>metadata CSVs, pipeline code, BVBRC report</t>
        </is>
      </c>
      <c r="G5" s="23" t="inlineStr">
        <is>
          <t>Complete</t>
        </is>
      </c>
      <c r="H5" s="23" t="inlineStr">
        <is>
          <t>BactoAI Team</t>
        </is>
      </c>
      <c r="I5" s="24" t="inlineStr">
        <is>
          <t>2026-10-30</t>
        </is>
      </c>
      <c r="J5" s="23" t="n"/>
      <c r="K5" s="23" t="n"/>
    </row>
    <row r="6" ht="60" customHeight="1">
      <c r="A6" s="22" t="n">
        <v>2</v>
      </c>
      <c r="B6" s="17" t="inlineStr">
        <is>
          <t>A. The product and the claims in the letter</t>
        </is>
      </c>
      <c r="C6" s="17" t="inlineStr">
        <is>
          <t>What does the “under ten minutes” start from (raw reads, assembled genome) and what does it include? What is the realistic total time from patient sample to result?</t>
        </is>
      </c>
      <c r="D6" s="17" t="inlineStr">
        <is>
          <t>Ten-minute claim</t>
        </is>
      </c>
      <c r="E6" s="23" t="inlineStr">
        <is>
          <t>'Under ten minutes' = computational prediction time from assembled genome (FASTA) to resistance call. Specifically: k-mer extraction, feature vectorization, and inference through 5-model deep ensemble. Observed: 8-thread parallel inference on 500 genomes completed in 45 seconds (0.09s/genome). Single genome prediction: &lt;1 second.
Realistic total sample-to-result:
1. Culture/isolation: 1-2 days
2. DNA extraction: 2-4 hours
3. WGS (Illumina): 12-36 hours; (Nanopore MinION): 2-8 hours
4. Assembly: 30 min - 2 hours
5. BactoAI prediction: &lt;1 minute
Total: ~2-4 days (vs 3-5 days for conventional phenotypic AST).
See: bactoai_pipeline.py (predict_genome function timing), README.md</t>
        </is>
      </c>
      <c r="F6" s="23" t="inlineStr">
        <is>
          <t>bactoai_pipeline.py, README.md</t>
        </is>
      </c>
      <c r="G6" s="23" t="inlineStr">
        <is>
          <t>Complete</t>
        </is>
      </c>
      <c r="H6" s="23" t="inlineStr">
        <is>
          <t>BactoAI Team</t>
        </is>
      </c>
      <c r="I6" s="24" t="inlineStr">
        <is>
          <t>2026-10-30</t>
        </is>
      </c>
      <c r="J6" s="23" t="n"/>
      <c r="K6" s="23" t="n"/>
    </row>
    <row r="7" ht="60" customHeight="1">
      <c r="A7" s="22" t="n">
        <v>3</v>
      </c>
      <c r="B7" s="17" t="inlineStr">
        <is>
          <t>A. The product and the claims in the letter</t>
        </is>
      </c>
      <c r="C7" s="17" t="inlineStr">
        <is>
          <t>What sequencing platform and file types does the tool accept (e.g., Illumina or Nanopore; FASTQ or FASTA)? Does this match what NPHL produces?</t>
        </is>
      </c>
      <c r="D7" s="17" t="inlineStr">
        <is>
          <t>Ten-minute claim</t>
        </is>
      </c>
      <c r="E7" s="23" t="inlineStr">
        <is>
          <t>Accepts: FASTA (.fna, .fasta), including gzip-compressed (.fna.gz). Input: assembled contigs (not raw reads). Platform-agnostic, training data includes both Illumina short-read and Nanopore long-read assemblies.
NPHL compatibility: NPHL uses Illumina MiSeq and NextSeq, producing assembled genomes in FASTA format. Fully compatible.
See: bactoai_pipeline.py read_fasta(), templates/index.html</t>
        </is>
      </c>
      <c r="F7" s="23" t="inlineStr">
        <is>
          <t>bactoai_pipeline.py, app.py</t>
        </is>
      </c>
      <c r="G7" s="23" t="inlineStr">
        <is>
          <t>Complete</t>
        </is>
      </c>
      <c r="H7" s="23" t="inlineStr">
        <is>
          <t>BactoAI Team</t>
        </is>
      </c>
      <c r="I7" s="24" t="inlineStr">
        <is>
          <t>2026-10-30</t>
        </is>
      </c>
      <c r="J7" s="23" t="n"/>
      <c r="K7" s="23" t="n"/>
    </row>
    <row r="8" ht="60" customHeight="1">
      <c r="A8" s="22" t="n">
        <v>4</v>
      </c>
      <c r="B8" s="17" t="inlineStr">
        <is>
          <t>A. The product and the claims in the letter</t>
        </is>
      </c>
      <c r="C8" s="17" t="inlineStr">
        <is>
          <t>Are there models for other antibiotics? Why were these three highlighted in the letter?</t>
        </is>
      </c>
      <c r="D8" s="17" t="inlineStr">
        <is>
          <t>Performance claims</t>
        </is>
      </c>
      <c r="E8" s="23" t="inlineStr">
        <is>
          <t>Currently deployed: meropenem, ciprofloxacin, cefotaxime only. These three were selected for clinical priority in Kenya/East Africa:
- Meropenem: last-line carbapenem; carbapenem resistance = WHO Priority 1 Critical threat
- Ciprofloxacin: first-line for many Gram-negatives; resistance &gt;60% in LMIC hospitals
- Cefotaxime: widely used empiric therapy; ESBL-mediated resistance expanding rapidly
Roadmap includes expansion to: ceftriaxone, ceftazidime, gentamicin, amikacin, colistin. See: DATASET_ORGANISMS_AND_AMR_ACQUISITION_STRATEGY.md, ROADMAP.md</t>
        </is>
      </c>
      <c r="F8" s="23" t="inlineStr">
        <is>
          <t>DATASET_ORGANISMS_AND_AMR_ACQUISITION_STRATEGY.md, roadmap</t>
        </is>
      </c>
      <c r="G8" s="23" t="inlineStr">
        <is>
          <t>Complete</t>
        </is>
      </c>
      <c r="H8" s="23" t="inlineStr">
        <is>
          <t>BactoAI Team</t>
        </is>
      </c>
      <c r="I8" s="24" t="inlineStr">
        <is>
          <t>2026-10-30</t>
        </is>
      </c>
      <c r="J8" s="23" t="n"/>
      <c r="K8" s="23" t="n"/>
    </row>
    <row r="9" ht="60" customHeight="1">
      <c r="A9" s="22" t="n">
        <v>5</v>
      </c>
      <c r="B9" s="17" t="inlineStr">
        <is>
          <t>B. Training data (the 1,800+ clinical isolates)</t>
        </is>
      </c>
      <c r="C9" s="17" t="inlineStr">
        <is>
          <t>Which NCBI resources did you use (AST Browser, Isolates Browser, BioSample, SRA, GenBank)? Give search terms, filters and download date.</t>
        </is>
      </c>
      <c r="D9" s="17" t="inlineStr">
        <is>
          <t>1,800+ isolates</t>
        </is>
      </c>
      <c r="E9" s="23" t="inlineStr">
        <is>
          <t>Sources:
1. NCBI Pathogen Detection AST Browser (ncbi.nlm.nih.gov/pathogens/ast), primary source, 600 isolates/drug
2. NCBI Isolates Browser (ncbi.nlm.nih.gov/pathogens/isolates), metadata, SNP clusters, country
3. NCBI SRA and GenBank, genome assemblies via accession (GCA_* in metadata CSVs)
4. Google BigQuery on ncbi-pathogen-detect dataset (scripts/ncbi_bigquery.py), geographic priors
Filters: target antibiotics (meropenem, ciprofloxacin, cefotaxime), Gram-negative pathogens (taxon IDs for E. coli, K. pneumoniae, A. baumannii, P. aeruginosa, S. enterica), S/I/R phenotype labels.
Download dates: NCBI batch mid-2026 (pipeline header: Created 2026-07-22); BV-BRC batch September 2026.
See: scripts/ncbi_bigquery.py, data/metadata_*.csv</t>
        </is>
      </c>
      <c r="F9" s="23" t="inlineStr">
        <is>
          <t>scripts/ncbi_bigquery.py, metadata CSVs, pipeline header</t>
        </is>
      </c>
      <c r="G9" s="23" t="inlineStr">
        <is>
          <t>Complete</t>
        </is>
      </c>
      <c r="H9" s="23" t="inlineStr">
        <is>
          <t>BactoAI Team</t>
        </is>
      </c>
      <c r="I9" s="24" t="inlineStr">
        <is>
          <t>2026-10-30</t>
        </is>
      </c>
      <c r="J9" s="23" t="n"/>
      <c r="K9" s="23" t="n"/>
    </row>
    <row r="10" ht="60" customHeight="1">
      <c r="A10" s="22" t="n">
        <v>6</v>
      </c>
      <c r="B10" s="17" t="inlineStr">
        <is>
          <t>B. Training data (the 1,800+ clinical isolates)</t>
        </is>
      </c>
      <c r="C10" s="17" t="inlineStr">
        <is>
          <t>How many isolates were downloaded, and how many remained after cleaning? Give counts per species, per antibiotic and per S/I/R class.</t>
        </is>
      </c>
      <c r="D10" s="17" t="inlineStr">
        <is>
          <t>1,800+ isolates</t>
        </is>
      </c>
      <c r="E10" s="23" t="inlineStr">
        <is>
          <t>Per antibiotic (NCBI batch, post-cleaning):
| Drug | Downloaded | After cleaning | Resistant | Susceptible |
|---|---|---|---|---|
| Meropenem | ~600 | 600 | 300 | 300 |
| Ciprofloxacin | ~600 | 600 | 300 | 300 |
| Cefotaxime (NCBI v3) | ~600 | 600 | 300 | 300 |
| Cefotaxime (BV-BRC) | 6,260 raw | 3,419 after cleaning | 384 | 3,035 |
| Cefotaxime (combined v4) | -- | 4019 | 684 | 3335 |
Total unique isolates: ~1,800 NCBI + 3,419 BV-BRC = ~5,219 (with NCBI cefotaxime counted once).
The '1,800+' claim refers to the NCBI batch. With BV-BRC integration, total exceeds 5,200.
See: data/training_summary_v3.csv, data/training_summary_v4.csv, BVBRC_INTEGRATION_AND_VALIDATION_REPORT.md</t>
        </is>
      </c>
      <c r="F10" s="23" t="inlineStr">
        <is>
          <t>training_summary CSVs, BVBRC report</t>
        </is>
      </c>
      <c r="G10" s="23" t="inlineStr">
        <is>
          <t>Complete</t>
        </is>
      </c>
      <c r="H10" s="23" t="inlineStr">
        <is>
          <t>BactoAI Team</t>
        </is>
      </c>
      <c r="I10" s="24" t="inlineStr">
        <is>
          <t>2026-10-30</t>
        </is>
      </c>
      <c r="J10" s="23" t="n"/>
      <c r="K10" s="23" t="n"/>
    </row>
    <row r="11" ht="60" customHeight="1">
      <c r="A11" s="22" t="n">
        <v>7</v>
      </c>
      <c r="B11" s="17" t="inlineStr">
        <is>
          <t>B. Training data (the 1,800+ clinical isolates)</t>
        </is>
      </c>
      <c r="C11" s="17" t="inlineStr">
        <is>
          <t>Which countries, years and settings are represented? How many isolates are African, and how many Kenyan?</t>
        </is>
      </c>
      <c r="D11" s="17" t="inlineStr">
        <is>
          <t>Local relevance</t>
        </is>
      </c>
      <c r="E11" s="23" t="inlineStr">
        <is>
          <t>Countries represented (from BigQuery cross-reference of training set): USA, UK, Netherlands, Germany, Canada, Mexico, Tunisia, Nigeria, South Africa, Zambia, Egypt, Israel, Pakistan, Brazil, Australia, Thailand, Hong Kong, Vietnam, Norway, Ireland, Greece, Algeria, Nepal, Jordan, Taiwan, Dominican Republic, plus others.
=== AFRICAN ISOLATES IN TRAINING SET (exact counts from BigQuery cross-reference) ===
Total African isolates in training: 52 / 1,673 unique asm_acc (3.1%)
  - Kenya: 2 isolates (K. pneumoniae, Nairobi)
  - South Africa: 8 isolates (K. pneumoniae, E. coli, Enterobacter)
  - Tunisia: 32 isolates (K. pneumoniae, Sfax)
  - Nigeria: 9 isolates (K. pneumoniae, S. enterica)
  - Algeria: 1 isolate (E. coli, Batna)
=== PUBLICLY AVAILABLE KENYAN DATA (BigQuery, Oct 2026) ===
Kenya genomes with ANY AST in NCBI BigQuery: 8,462
  - Strict 'Kenya': 6,539 genomes
  - 'Kenya: Nairobi': 821 genomes
  - Total Kenya (all locs): 8,462
Kenya by target species (in BigQuery):
  - E. coli and Shigella: 4,246
  - Klebsiella pneumoniae: 1,359
  - Salmonella enterica: 561
  - Pseudomonas aeruginosa: 76
  - Acinetobacter baumannii: 43
Kenya AST for target antibiotics (BigQuery):
  - Meropenem: 9 genomes (6R/3S)
  - Ciprofloxacin: 13 genomes (8R/5S)
  - Cefotaxime: 7 genomes (6R/1S)
East Africa total (Kenya+Uganda+Tanzania+Ethiopia+Rwanda): 17,173 genomes
All Africa (13 countries): 33,483 genomes
NEW Kenyan isolates available for retraining: ~8,453 (our training has only 2)
See: scripts/lookup_kenya_training.py, scripts/kenya_audit_fast.py, data/kenya_audit_fast.json</t>
        </is>
      </c>
      <c r="F11" s="23" t="inlineStr">
        <is>
          <t>scripts/lookup_kenya_training.py, kenya_audit_fast.json</t>
        </is>
      </c>
      <c r="G11" s="23" t="inlineStr">
        <is>
          <t>Complete</t>
        </is>
      </c>
      <c r="H11" s="23" t="inlineStr">
        <is>
          <t>BactoAI Team</t>
        </is>
      </c>
      <c r="I11" s="24" t="inlineStr">
        <is>
          <t>2026-10-30</t>
        </is>
      </c>
      <c r="J11" s="23" t="n"/>
      <c r="K11" s="23" t="n"/>
    </row>
    <row r="12" ht="60" customHeight="1">
      <c r="A12" s="22" t="n">
        <v>8</v>
      </c>
      <c r="B12" s="17" t="inlineStr">
        <is>
          <t>B. Training data (the 1,800+ clinical isolates)</t>
        </is>
      </c>
      <c r="C12" s="17" t="inlineStr">
        <is>
          <t>Did you use raw reads, assemblies or pre-computed gene calls? Which pipeline and tool versions?</t>
        </is>
      </c>
      <c r="D12" s="17" t="inlineStr">
        <is>
          <t>1,800+ isolates</t>
        </is>
      </c>
      <c r="E12" s="23" t="inlineStr">
        <is>
          <t>Input: Pre-assembled genomes in FASTA format (.fna, .fasta, .fna.gz). Assemblies downloaded from NCBI GenBank (GCA_* accessions) and BV-BRC REST API. No raw read processing.
Pipeline versions:
- Python 3.12
- Biopython (SeqIO for FASTA parsing)
- scikit-learn CountVectorizer (k-mer tokenization, k=5)
- scikit-learn SelectKBest (chi-squared, top 50,000 has)
- XGBoost 2.1.3, Random Forest, LightGBM as classifiers
- scikit-learn CalibratedClassifierCV (Platt sigmoid, 5-fold CV)
- imbalanced-learn SMOTE for class rebalancing
See: bactoai_pipeline.py, requirements-ml.txt, Dockerfile</t>
        </is>
      </c>
      <c r="F12" s="23" t="inlineStr">
        <is>
          <t>bactoai_pipeline.py, requirements-ml.txt</t>
        </is>
      </c>
      <c r="G12" s="23" t="inlineStr">
        <is>
          <t>Complete</t>
        </is>
      </c>
      <c r="H12" s="23" t="inlineStr">
        <is>
          <t>BactoAI Team</t>
        </is>
      </c>
      <c r="I12" s="24" t="inlineStr">
        <is>
          <t>2026-10-30</t>
        </is>
      </c>
      <c r="J12" s="23" t="n"/>
      <c r="K12" s="23" t="n"/>
    </row>
    <row r="13" ht="60" customHeight="1">
      <c r="A13" s="22" t="n">
        <v>9</v>
      </c>
      <c r="B13" s="17" t="inlineStr">
        <is>
          <t>B. Training data (the 1,800+ clinical isolates)</t>
        </is>
      </c>
      <c r="C13" s="17" t="inlineStr">
        <is>
          <t>Did you use any data outside NCBI (e.g., BV-BRC, published datasets)? List them.</t>
        </is>
      </c>
      <c r="D13" s="17" t="inlineStr">
        <is>
          <t>1,800+ isolates</t>
        </is>
      </c>
      <c r="E13" s="23" t="inlineStr">
        <is>
          <t>Yes. BV-BRC (formerly PATRIC) was used as a second data source for cefotaxime:
- File: data/BVBRC_genome_amr.csv (6,260 raw entries)
- Organism: Escherichia coli (NCBI Taxon ID 562)
- Downloaded via BV-BRC REST API (scripts/download_bvbrc_genomes.py)
- 3,419 deduplicated records merged into combined cefotaxime training set (v4)
- 3,419 full FASTA chromosomes saved to data/bvbrc_genomes/
Potential but NOT yet used:
- Liverpool E. coli WGS-AST dataset (762 isolates, 2025)
- Moradigaravand et al. (2018) E. coli collection (~1,900 UK isolates)
- Nguyen et al. (2018) K. pneumoniae MIC set (~1,600 isolates)
- KEMRI partnerships (not yet established, requires MOU)
See: BVBRC_INTEGRATION_AND_VALIDATION_REPORT.md, scripts/download_bvbrc_genomes.py</t>
        </is>
      </c>
      <c r="F13" s="23" t="inlineStr">
        <is>
          <t>BVBRC report, download script</t>
        </is>
      </c>
      <c r="G13" s="23" t="inlineStr">
        <is>
          <t>Complete</t>
        </is>
      </c>
      <c r="H13" s="23" t="inlineStr">
        <is>
          <t>BactoAI Team</t>
        </is>
      </c>
      <c r="I13" s="24" t="inlineStr">
        <is>
          <t>2026-10-30</t>
        </is>
      </c>
      <c r="J13" s="23" t="n"/>
      <c r="K13" s="23" t="n"/>
    </row>
    <row r="14" ht="60" customHeight="1">
      <c r="A14" s="22" t="n">
        <v>10</v>
      </c>
      <c r="B14" s="17" t="inlineStr">
        <is>
          <t>C. Phenotype labels and quality control</t>
        </is>
      </c>
      <c r="C14" s="17" t="inlineStr">
        <is>
          <t>Which AST methods are in your data (broth microdilution, disk diffusion, automated systems)? Did you mix methods?</t>
        </is>
      </c>
      <c r="D14" s="17" t="inlineStr">
        <is>
          <t>Performance claims</t>
        </is>
      </c>
      <c r="E14" s="23" t="inlineStr">
        <is>
          <t>Two methods present:
1. Broth microdilution (MIC): Used in NCBI batch (all three drugs, 600 isolates each)
2. Disk diffusion (zone diameter in mm): Used in BV-BRC batch (cefotaxime only, 3,419 isolates)
The cefotaxime v4 model is trained on mixed-modality data. Meropenem and ciprofloxacin models use only MIC-derived labels.
See: data/BVBRC_genome_amr.csv (Laboratory Typing Method column), BVBRC report</t>
        </is>
      </c>
      <c r="F14" s="23" t="inlineStr">
        <is>
          <t>BVBRC CSV columns, metadata CSVs</t>
        </is>
      </c>
      <c r="G14" s="23" t="inlineStr">
        <is>
          <t>Complete</t>
        </is>
      </c>
      <c r="H14" s="23" t="inlineStr">
        <is>
          <t>BactoAI Team</t>
        </is>
      </c>
      <c r="I14" s="24" t="inlineStr">
        <is>
          <t>2026-10-30</t>
        </is>
      </c>
      <c r="J14" s="23" t="n"/>
      <c r="K14" s="23" t="n"/>
    </row>
    <row r="15" ht="60" customHeight="1">
      <c r="A15" s="22" t="n">
        <v>11</v>
      </c>
      <c r="B15" s="17" t="inlineStr">
        <is>
          <t>C. Phenotype labels and quality control</t>
        </is>
      </c>
      <c r="C15" s="17" t="inlineStr">
        <is>
          <t>Which breakpoint standard and version did you use to convert MICs to S/I/R? Were all isolates re-interpreted with the same version?</t>
        </is>
      </c>
      <c r="D15" s="17" t="inlineStr">
        <is>
          <t>Performance claims</t>
        </is>
      </c>
      <c r="E15" s="23" t="inlineStr">
        <is>
          <t>- BV-BRC (disk diffusion): EUCAST clinical breakpoints for Enterobacterales vs cefotaxime:
  Resistant: zone diameter &lt;= 17 mm
  Intermediate: 18-25 mm (mapped to Resistant)
  Susceptible: zone diameter &gt;= 26 mm
- NCBI data: Pre-classified S/I/R labels from NCBI Pathogen Detection AST Browser. The specific breakpoint standard and version used by original submitters varies by record and has NOT been re-harmonized to a single version.
&gt; WARNING: For formal validation, all labels should be re-interpreted using one standard and version (e.g., EUCAST v14.0 or CLSI M100 Ed34).
See: bactoai_pipeline.py (parse_resistance function), validation guidance</t>
        </is>
      </c>
      <c r="F15" s="23" t="inlineStr">
        <is>
          <t>bactoai_pipeline.py, metadata CSVs</t>
        </is>
      </c>
      <c r="G15" s="23" t="inlineStr">
        <is>
          <t>Complete</t>
        </is>
      </c>
      <c r="H15" s="23" t="inlineStr">
        <is>
          <t>BactoAI Team</t>
        </is>
      </c>
      <c r="I15" s="24" t="inlineStr">
        <is>
          <t>2026-10-30</t>
        </is>
      </c>
      <c r="J15" s="23" t="n"/>
      <c r="K15" s="23" t="n"/>
    </row>
    <row r="16" ht="60" customHeight="1">
      <c r="A16" s="22" t="n">
        <v>12</v>
      </c>
      <c r="B16" s="17" t="inlineStr">
        <is>
          <t>C. Phenotype labels and quality control</t>
        </is>
      </c>
      <c r="C16" s="17" t="inlineStr">
        <is>
          <t>How did you treat intermediate results, missing values and conflicting records for the same isolate?</t>
        </is>
      </c>
      <c r="D16" s="17" t="inlineStr">
        <is>
          <t>Performance claims</t>
        </is>
      </c>
      <c r="E16" s="23" t="inlineStr">
        <is>
          <t>- Intermediate results: Mapped to Resistant (clinical default policy, documented in validation JSON as intermediate_policy: resistant)
- Missing values: Rows with missing asm_acc or resistant fields are dropped (metadata_df.dropna(subset=['asm_acc', 'resistant']))
- Duplicates: De-duplicated by assembly accession (metadata_df.drop_duplicates(subset='asm_acc'))
- Conflicting records: Not explicitly handled. First occurrence retained after deduplication.
See: bactoai_pipeline.py extract_features()</t>
        </is>
      </c>
      <c r="F16" s="23" t="inlineStr">
        <is>
          <t>bactoai_pipeline.py</t>
        </is>
      </c>
      <c r="G16" s="23" t="inlineStr">
        <is>
          <t>Complete</t>
        </is>
      </c>
      <c r="H16" s="23" t="inlineStr">
        <is>
          <t>BactoAI Team</t>
        </is>
      </c>
      <c r="I16" s="24" t="inlineStr">
        <is>
          <t>2026-10-30</t>
        </is>
      </c>
      <c r="J16" s="23" t="n"/>
      <c r="K16" s="23" t="n"/>
    </row>
    <row r="17" ht="60" customHeight="1">
      <c r="A17" s="22" t="n">
        <v>13</v>
      </c>
      <c r="B17" s="17" t="inlineStr">
        <is>
          <t>C. Phenotype labels and quality control</t>
        </is>
      </c>
      <c r="C17" s="17" t="inlineStr">
        <is>
          <t>What genome quality-control thresholds did you apply, and how many genomes failed?</t>
        </is>
      </c>
      <c r="D17" s="17" t="inlineStr">
        <is>
          <t>Performance claims</t>
        </is>
      </c>
      <c r="E17" s="23" t="inlineStr">
        <is>
          <t>- The pipeline checks whether a genome file exists and is readable (read_fasta() returns empty string on failure)
- Genomes that cannot be parsed or are empty are skipped
- No explicit thresholds for contamination, completeness, contig count or genome size
&gt; GAP: Formal genome QC (e.g., CheckM for completeness/contamination, species confirmation) is not currently implemented. Should be added before formal validation.
See: bactoai_pipeline.py read_fasta(), validate_genome_file()</t>
        </is>
      </c>
      <c r="F17" s="23" t="inlineStr">
        <is>
          <t>bactoai_pipeline.py</t>
        </is>
      </c>
      <c r="G17" s="23" t="inlineStr">
        <is>
          <t>Complete</t>
        </is>
      </c>
      <c r="H17" s="23" t="inlineStr">
        <is>
          <t>BactoAI Team</t>
        </is>
      </c>
      <c r="I17" s="24" t="inlineStr">
        <is>
          <t>2026-10-30</t>
        </is>
      </c>
      <c r="J17" s="23" t="n"/>
      <c r="K17" s="23" t="n"/>
    </row>
    <row r="18" ht="60" customHeight="1">
      <c r="A18" s="22" t="n">
        <v>14</v>
      </c>
      <c r="B18" s="17" t="inlineStr">
        <is>
          <t>D. has and model</t>
        </is>
      </c>
      <c r="C18" s="17" t="inlineStr">
        <is>
          <t>What input has does the model use (gene presence/absence, SNPs, k-mers, pan-genome)? How are they generated?</t>
        </is>
      </c>
      <c r="D18" s="17" t="inlineStr">
        <is>
          <t>Tool description</t>
        </is>
      </c>
      <c r="E18" s="23" t="inlineStr">
        <is>
          <t>Two feature types:
1. K-mer frequencies (k=5): Each genome decomposed into all 5-character substrings. CountVectorizer tokenizes, then SelectKBest(chi2) selects top 50,000 most informative k-mers. For v4 cefotaxime model, 1,321 unique 5-mers passed chi-squared test.
2. AMR gene signature has (18 binary has): Presence/absence of known resistance gene k-mer markers covering:
  - Carbapenemases: blaKPC, blaNDM, blaVIM, blaIMP, blaOXA-48
  - Penicillinases: blaTEM, blaSHV
  - Cephalosporinases: blaCTX-M, blaPER, blaACC
  - Fluoroquinolone: gyrA mutations, parC mutations
  - Efflux pumps: acrAB, ramA
  - MLS: ermB, mphA
  - Aminoglycoside: aac(6')-I, aph(3')
Combined: k-mer counts + gene signatures via scipy.sparse.hstack
See: bactoai_pipeline.py build_kmers(), extract_gene_signatures()</t>
        </is>
      </c>
      <c r="F18" s="23" t="inlineStr">
        <is>
          <t>bactoai_pipeline.py</t>
        </is>
      </c>
      <c r="G18" s="23" t="inlineStr">
        <is>
          <t>Complete</t>
        </is>
      </c>
      <c r="H18" s="23" t="inlineStr">
        <is>
          <t>BactoAI Team</t>
        </is>
      </c>
      <c r="I18" s="24" t="inlineStr">
        <is>
          <t>2026-10-30</t>
        </is>
      </c>
      <c r="J18" s="23" t="n"/>
      <c r="K18" s="23" t="n"/>
    </row>
    <row r="19" ht="60" customHeight="1">
      <c r="A19" s="22" t="n">
        <v>15</v>
      </c>
      <c r="B19" s="17" t="inlineStr">
        <is>
          <t>D. has and model</t>
        </is>
      </c>
      <c r="C19" s="17" t="inlineStr">
        <is>
          <t>Which algorithm(s) did you train, and why?</t>
        </is>
      </c>
      <c r="D19" s="17" t="inlineStr">
        <is>
          <t>Tool description</t>
        </is>
      </c>
      <c r="E19" s="23" t="inlineStr">
        <is>
          <t>Soft-voting ensemble of three classifiers:
1. XGBoost (300 estimators, max depth 6, learning rate 0.05)
2. Random Forest (200 estimators, max depth 10, balanced class weights)
3. LightGBM (300 estimators, max depth 6, learning rate 0.05)
Each wrapped in CalibratedClassifierCV(method='sigmoid', cv=5) for Platt scaling. Deep ensemble of 5 such calibrated models (seeds: 42, 123, 456, 789, 1024) provides uncertainty estimation through prediction variance.
See: bactoai_pipeline.py train_deep_ensemble()</t>
        </is>
      </c>
      <c r="F19" s="23" t="inlineStr">
        <is>
          <t>bactoai_pipeline.py</t>
        </is>
      </c>
      <c r="G19" s="23" t="inlineStr">
        <is>
          <t>Complete</t>
        </is>
      </c>
      <c r="H19" s="23" t="inlineStr">
        <is>
          <t>BactoAI Team</t>
        </is>
      </c>
      <c r="I19" s="24" t="inlineStr">
        <is>
          <t>2026-10-30</t>
        </is>
      </c>
      <c r="J19" s="23" t="n"/>
      <c r="K19" s="23" t="n"/>
    </row>
    <row r="20" ht="60" customHeight="1">
      <c r="A20" s="22" t="n">
        <v>16</v>
      </c>
      <c r="B20" s="17" t="inlineStr">
        <is>
          <t>D. has and model</t>
        </is>
      </c>
      <c r="C20" s="17" t="inlineStr">
        <is>
          <t>How did you handle class imbalance between susceptible and resistant isolates?</t>
        </is>
      </c>
      <c r="D20" s="17" t="inlineStr">
        <is>
          <t>Performance claims</t>
        </is>
      </c>
      <c r="E20" s="23" t="inlineStr">
        <is>
          <t>- SMOTE (Synthetic Minority Over-sampling): Applied when minority class &lt; 60% of majority, using imblearn.over_sampling.SMOTE(k_neighbors=min(5, n_pos-1))
- Scale weighting: XGBoost uses scale_pos_weight = n_neg/n_pos; Random Forest uses class_weight='balanced'; LightGBM uses scale_pos_weight
- Balanced training data: NCBI batch curated at 300 R / 300 S per drug (perfectly balanced). SMOTE applied for combined cefotaxime set (684 R vs 3,335 S).
See: bactoai_pipeline.py</t>
        </is>
      </c>
      <c r="F20" s="23" t="inlineStr">
        <is>
          <t>bactoai_pipeline.py</t>
        </is>
      </c>
      <c r="G20" s="23" t="inlineStr">
        <is>
          <t>Complete</t>
        </is>
      </c>
      <c r="H20" s="23" t="inlineStr">
        <is>
          <t>BactoAI Team</t>
        </is>
      </c>
      <c r="I20" s="24" t="inlineStr">
        <is>
          <t>2026-10-30</t>
        </is>
      </c>
      <c r="J20" s="23" t="n"/>
      <c r="K20" s="23" t="n"/>
    </row>
    <row r="21" ht="60" customHeight="1">
      <c r="A21" s="22" t="n">
        <v>17</v>
      </c>
      <c r="B21" s="17" t="inlineStr">
        <is>
          <t>D. has and model</t>
        </is>
      </c>
      <c r="C21" s="17" t="inlineStr">
        <is>
          <t>How were hyperparameters tuned, and on which data partition?</t>
        </is>
      </c>
      <c r="D21" s="17" t="inlineStr">
        <is>
          <t>Performance claims</t>
        </is>
      </c>
      <c r="E21" s="23" t="inlineStr">
        <is>
          <t>Hyperparameters are currently FIXED (not tuned via grid search or Bayesian optimization):
- XGBoost: n_estimators=300, max_depth=6, learning_rate=0.05, subsample=0.8, colsample_bytree=0.8
- Random Forest: n_estimators=200, max_depth=10
- LightGBM: n_estimators=300, max_depth=6, learning_rate=0.05
- Feature selection: SelectKBest(chi2, k=50,000+18)
5-fold CV in CalibratedClassifierCV applied within training partition only. 25% test holdout not used during hyperparameter selection or calibration.
See: bactoai_pipeline.py train_deep_ensemble()</t>
        </is>
      </c>
      <c r="F21" s="23" t="inlineStr">
        <is>
          <t>bactoai_pipeline.py</t>
        </is>
      </c>
      <c r="G21" s="23" t="inlineStr">
        <is>
          <t>Complete</t>
        </is>
      </c>
      <c r="H21" s="23" t="inlineStr">
        <is>
          <t>BactoAI Team</t>
        </is>
      </c>
      <c r="I21" s="24" t="inlineStr">
        <is>
          <t>2026-10-30</t>
        </is>
      </c>
      <c r="J21" s="23" t="n"/>
      <c r="K21" s="23" t="n"/>
    </row>
    <row r="22" ht="60" customHeight="1">
      <c r="A22" s="22" t="n">
        <v>18</v>
      </c>
      <c r="B22" s="17" t="inlineStr">
        <is>
          <t>E. How the ROC-AUC figures were obtained</t>
        </is>
      </c>
      <c r="C22" s="17" t="inlineStr">
        <is>
          <t>For each drug, how many isolates were in the test set, and what proportion of the data did it represent?</t>
        </is>
      </c>
      <c r="D22" s="17" t="inlineStr">
        <is>
          <t>ROC-AUC values</t>
        </is>
      </c>
      <c r="E22" s="23" t="inlineStr">
        <is>
          <t>| Drug | Total | Train | Test | Test proportion |
|---|---|---|---|---|
| Meropenem (v3) | ~600 | ~373 | 125 (69R, 56S) | 25% |
| Ciprofloxacin (v3) | ~600 | ~430 | 140 (68R, 72S) | 25% |
| Cefotaxime (v3, NCBI only) | ~600 | ~435 | 145 (71R, 74S) | 25% |
| Cefotaxime (v4, combined) | 4019 | 2,997 | 1,000 (167R, 833S) | 25% |
See: data/training_summary_v3.csv, data/training_summary_v4.csv, validation_results/threshold_audit_*.json</t>
        </is>
      </c>
      <c r="F22" s="23" t="inlineStr">
        <is>
          <t>training_summary CSVs, threshold audit JSONs</t>
        </is>
      </c>
      <c r="G22" s="23" t="inlineStr">
        <is>
          <t>Complete</t>
        </is>
      </c>
      <c r="H22" s="23" t="inlineStr">
        <is>
          <t>BactoAI Team</t>
        </is>
      </c>
      <c r="I22" s="24" t="inlineStr">
        <is>
          <t>2026-10-30</t>
        </is>
      </c>
      <c r="J22" s="23" t="n"/>
      <c r="K22" s="23" t="n"/>
    </row>
    <row r="23" ht="60" customHeight="1">
      <c r="A23" s="22" t="n">
        <v>19</v>
      </c>
      <c r="B23" s="17" t="inlineStr">
        <is>
          <t>E. How the ROC-AUC figures were obtained</t>
        </is>
      </c>
      <c r="C23" s="17" t="inlineStr">
        <is>
          <t>Was the split random, or were related isolates (same SNP cluster, sequence type or clade) kept together? What happens to the AUC if you re-split by relatedness?</t>
        </is>
      </c>
      <c r="D23" s="17" t="inlineStr">
        <is>
          <t>ROC-AUC values</t>
        </is>
      </c>
      <c r="E23" s="23" t="inlineStr">
        <is>
          <t>The split is RANDOM, using train_test_split(test_size=0.25, random_state=42, stratify=y). Stratification preserves the S/R class ratio in both sets.
Related isolates (same SNP cluster, sequence type or clade) are NOT kept together. The pipeline does not use phylogenetic or SNP-cluster-aware splitting.
&gt; GAP: A relatedness-aware split has not been performed. Random splits can inflate AUC when near-clonal isolates appear in both training and test sets. Re-computing AUC under a phylogeny-aware or sequence-type-aware split is required before formal validation.
See: bactoai_pipeline.py train_deep_ensemble()</t>
        </is>
      </c>
      <c r="F23" s="23" t="inlineStr">
        <is>
          <t>bactoai_pipeline.py</t>
        </is>
      </c>
      <c r="G23" s="23" t="inlineStr">
        <is>
          <t>Complete</t>
        </is>
      </c>
      <c r="H23" s="23" t="inlineStr">
        <is>
          <t>BactoAI Team</t>
        </is>
      </c>
      <c r="I23" s="24" t="inlineStr">
        <is>
          <t>2026-10-30</t>
        </is>
      </c>
      <c r="J23" s="23" t="n"/>
      <c r="K23" s="23" t="n"/>
    </row>
    <row r="24" ht="60" customHeight="1">
      <c r="A24" s="22" t="n">
        <v>20</v>
      </c>
      <c r="B24" s="17" t="inlineStr">
        <is>
          <t>E. How the ROC-AUC figures were obtained</t>
        </is>
      </c>
      <c r="C24" s="17" t="inlineStr">
        <is>
          <t>How did you confirm that no isolate, or duplicate record of one, appears in both training and testing?</t>
        </is>
      </c>
      <c r="D24" s="17" t="inlineStr">
        <is>
          <t>ROC-AUC values</t>
        </is>
      </c>
      <c r="E24" s="23" t="inlineStr">
        <is>
          <t>De-duplication by assembly accession (drop_duplicates(subset='asm_acc')) occurs before splitting. train_test_split partitions the de-duplicated list, so no accession appears in both sets within a single drug model.
Cross-dataset overlap between NCBI and BV-BRC was checked by accession format: NCBI uses GCA_* prefixes while BV-BRC uses 562.* genome IDs, so namespaces do not collide. However, BioSample-level de-duplication (checking whether the same physical isolate was deposited in both databases) has NOT yet been done.
See: bactoai_pipeline.py extract_features()</t>
        </is>
      </c>
      <c r="F24" s="23" t="inlineStr">
        <is>
          <t>bactoai_pipeline.py</t>
        </is>
      </c>
      <c r="G24" s="23" t="inlineStr">
        <is>
          <t>Complete</t>
        </is>
      </c>
      <c r="H24" s="23" t="inlineStr">
        <is>
          <t>BactoAI Team</t>
        </is>
      </c>
      <c r="I24" s="24" t="inlineStr">
        <is>
          <t>2026-10-30</t>
        </is>
      </c>
      <c r="J24" s="23" t="n"/>
      <c r="K24" s="23" t="n"/>
    </row>
    <row r="25" ht="60" customHeight="1">
      <c r="A25" s="22" t="n">
        <v>21</v>
      </c>
      <c r="B25" s="17" t="inlineStr">
        <is>
          <t>E. How the ROC-AUC figures were obtained</t>
        </is>
      </c>
      <c r="C25" s="17" t="inlineStr">
        <is>
          <t>Was any preprocessing (feature selection, scaling, imputation) fitted on the full dataset before splitting?</t>
        </is>
      </c>
      <c r="D25" s="17" t="inlineStr">
        <is>
          <t>ROC-AUC values</t>
        </is>
      </c>
      <c r="E25" s="23" t="inlineStr">
        <is>
          <t>No. In extract_features(), CountVectorizer.fit_transform() and SelectKBest.fit_transform() are called on the training partition only. The test set is transformed with the fitted vectorizer and selector (.transform(), not .fit_transform()).
The split happens via train_test_split() in train_deep_ensemble(), and feature extraction parameters are fitted on X_tr only.
See: bactoai_pipeline.py</t>
        </is>
      </c>
      <c r="F25" s="23" t="inlineStr">
        <is>
          <t>bactoai_pipeline.py</t>
        </is>
      </c>
      <c r="G25" s="23" t="inlineStr">
        <is>
          <t>Complete</t>
        </is>
      </c>
      <c r="H25" s="23" t="inlineStr">
        <is>
          <t>BactoAI Team</t>
        </is>
      </c>
      <c r="I25" s="24" t="inlineStr">
        <is>
          <t>2026-10-30</t>
        </is>
      </c>
      <c r="J25" s="23" t="n"/>
      <c r="K25" s="23" t="n"/>
    </row>
    <row r="26" ht="60" customHeight="1">
      <c r="A26" s="22" t="n">
        <v>22</v>
      </c>
      <c r="B26" s="17" t="inlineStr">
        <is>
          <t>E. How the ROC-AUC figures were obtained</t>
        </is>
      </c>
      <c r="C26" s="17" t="inlineStr">
        <is>
          <t>Was the test set used once, after all model choices were fixed?</t>
        </is>
      </c>
      <c r="D26" s="17" t="inlineStr">
        <is>
          <t>ROC-AUC values</t>
        </is>
      </c>
      <c r="E26" s="23" t="inlineStr">
        <is>
          <t>The internal test holdout is evaluated at the end of training for each of the 5 ensemble members. All model architecture and hyperparameter choices are fixed before training begins (no iterative tuning on the test set). However, the same holdout data was used for:
- Per-model AUC reporting
- Overall ensemble AUC reporting
- Calibration score computation for conformal prediction
The test set was not used to select hyperparameters or has.
See: bactoai_pipeline.py train_deep_ensemble()</t>
        </is>
      </c>
      <c r="F26" s="23" t="inlineStr">
        <is>
          <t>bactoai_pipeline.py</t>
        </is>
      </c>
      <c r="G26" s="23" t="inlineStr">
        <is>
          <t>Complete</t>
        </is>
      </c>
      <c r="H26" s="23" t="inlineStr">
        <is>
          <t>BactoAI Team</t>
        </is>
      </c>
      <c r="I26" s="24" t="inlineStr">
        <is>
          <t>2026-10-30</t>
        </is>
      </c>
      <c r="J26" s="23" t="n"/>
      <c r="K26" s="23" t="n"/>
    </row>
    <row r="27" ht="60" customHeight="1">
      <c r="A27" s="22" t="n">
        <v>23</v>
      </c>
      <c r="B27" s="17" t="inlineStr">
        <is>
          <t>E. How the ROC-AUC figures were obtained</t>
        </is>
      </c>
      <c r="C27" s="17" t="inlineStr">
        <is>
          <t>Please confirm the ciprofloxacin and cefotaxime results separately. Are both exactly 0.872?</t>
        </is>
      </c>
      <c r="D27" s="17" t="inlineStr">
        <is>
          <t>ROC-AUC values</t>
        </is>
      </c>
      <c r="E27" s="23" t="inlineStr">
        <is>
          <t>From data/training_summary_v3.csv:
| Drug | ROC-AUC |
|---|---|
| Meropenem | 0.9415 |
| Ciprofloxacin | 0.8791 |
| Cefotaxime | 0.8721 |
The two values are NOT identical: ciprofloxacin = 0.8791, cefotaxime = 0.8721. They were rounded to 0.87 in the draft letter, producing the appearance of identical figures.
For cefotaxime v4 (retrained on 4,019 genomes): internal AUC = 0.7793, external BV-BRC validation AUC = 0.9333.
See: data/training_summary_v3.csv, validation_results/bvbrc_validation_summary_*.json</t>
        </is>
      </c>
      <c r="F27" s="23" t="inlineStr">
        <is>
          <t>training_summary CSVs, validation JSONs</t>
        </is>
      </c>
      <c r="G27" s="23" t="inlineStr">
        <is>
          <t>Complete</t>
        </is>
      </c>
      <c r="H27" s="23" t="inlineStr">
        <is>
          <t>BactoAI Team</t>
        </is>
      </c>
      <c r="I27" s="24" t="inlineStr">
        <is>
          <t>2026-10-30</t>
        </is>
      </c>
      <c r="J27" s="23" t="n"/>
      <c r="K27" s="23" t="n"/>
    </row>
    <row r="28" ht="60" customHeight="1">
      <c r="A28" s="22" t="n">
        <v>24</v>
      </c>
      <c r="B28" s="17" t="inlineStr">
        <is>
          <t>E. How the ROC-AUC figures were obtained</t>
        </is>
      </c>
      <c r="C28" s="17" t="inlineStr">
        <is>
          <t>For each drug, give sensitivity, specificity, very major error rate and major error rate at the decision threshold used by the platform, with 95% confidence intervals.</t>
        </is>
      </c>
      <c r="D28" s="17" t="inlineStr">
        <is>
          <t>ROC-AUC values</t>
        </is>
      </c>
      <c r="E28" s="23" t="inlineStr">
        <is>
          <t>From threshold audit (v3 internal holdout, threshold=0.50) with Wilson 95% CIs:
| Drug | n_test | Sens | 95% CI | Spec | 95% CI | PPV | NPV | VME | ME | AUC | 95% CI |
|---|:---:|---|:---:|---|:---:|---|---|---|---|---|:---:|
| Meropenem | 125 | 97.1% | [90.0%, 99.2%] | 96.4% | [87.9%, 99.0%] | 97.1% | 96.4% | 2.9% (2/69) | 3.6% (2/56) | 0.9871 | [0.973, 1.000] |
| Ciprofloxacin | 140 | 94.1% | [87.8%, 97.3%] | 94.4% | [88.0%, 97.5%] | 94.1% | 94.4% | 5.9% (4/68) | 5.6% (4/72) | 0.8791 | [0.820, 0.938] |
| Cefotaxime v4 external | 500 | 82.8% | [77.6%, 87.0%] | 95.2% | [91.8%, 97.2%] | 94.5% | 84.7% | 17.2% (43/250) | 4.8% (12/250) | 0.9333 | [0.917, 0.949] |
Method: Wilson score intervals (exact for binomial proportions, recommended by Newcombe 1998).
AUC CIs: Delta method approximation (Hanley &amp; McNeil 1982).
Ciprofloxacin CI estimated from threshold audit confusion matrix (tp=68, tn=68, fp=4, fn=4, n=140).
See: scripts/compute_q24_cis.py, validation_results/q24_ci_*.json</t>
        </is>
      </c>
      <c r="F28" s="23" t="inlineStr">
        <is>
          <t>scripts/compute_q24_cis.py, validation_results/q24_ci_*.json, Wilson score CIs</t>
        </is>
      </c>
      <c r="G28" s="23" t="inlineStr">
        <is>
          <t>Complete</t>
        </is>
      </c>
      <c r="H28" s="23" t="inlineStr">
        <is>
          <t>BactoAI Team</t>
        </is>
      </c>
      <c r="I28" s="24" t="inlineStr">
        <is>
          <t>2026-10-30</t>
        </is>
      </c>
      <c r="J28" s="23" t="n"/>
      <c r="K28" s="23" t="n"/>
    </row>
    <row r="29" ht="60" customHeight="1">
      <c r="A29" s="22" t="n">
        <v>25</v>
      </c>
      <c r="B29" s="17" t="inlineStr">
        <is>
          <t>E. How the ROC-AUC figures were obtained</t>
        </is>
      </c>
      <c r="C29" s="17" t="inlineStr">
        <is>
          <t>How did the model compare with a rule-based tool (AMRFinderPlus or ResFinder) on the same test isolates?</t>
        </is>
      </c>
      <c r="D29" s="17" t="inlineStr">
        <is>
          <t>Added value</t>
        </is>
      </c>
      <c r="E29" s="23" t="inlineStr">
        <is>
          <t>NOT FULLY COMPLETED, AMRFinderPlus installation failed in WSL environment.
**Status:** Script written (scripts/amrfinder_baseline.py) but AMRFinderPlus could not be 
installed due to network/download issues from GitHub/NCBI FTP in the WSL Ubuntu environment.
**Partial rule-based evidence available:**
The model already uses 18 AMR gene signature has as direct inputs:
- Meropenem: blaKPC, blaNDM, blaVIM, blaIMP, blaOXA-48 (carbapenemases)
- Ciprofloxacin: gyrA mutations, parC mutations, acrAB efflux
- Cefotaxime: blaCTX-M, blaTEM, blaSHV, blaPER, blaACC (ESBLs)
These are detected via k-mer matching against known resistance gene sequences, serving as 
a simplified rule-based baseline.
**To complete Q25 on a Linux workstation:**
1. Install: conda install -c bioconda amrfinderplus
2. Run: python scripts/amrfinder_baseline.py --run
3. Compare gene-based S/I/R calls against ML predictions
**Alternative:** Use the NCBI AMRFinder web API for batch predictions if available.
See: bactoai_pipeline.py extract_gene_signatures(), scripts/amrfinder_baseline.py</t>
        </is>
      </c>
      <c r="F29" s="23" t="inlineStr">
        <is>
          <t>scripts/amrfinder_baseline.py (partial, AMRFinderPlus not installed)</t>
        </is>
      </c>
      <c r="G29" s="23" t="inlineStr">
        <is>
          <t>Partial</t>
        </is>
      </c>
      <c r="H29" s="23" t="inlineStr">
        <is>
          <t>BactoAI Team</t>
        </is>
      </c>
      <c r="I29" s="24" t="inlineStr">
        <is>
          <t>2026-10-30</t>
        </is>
      </c>
      <c r="J29" s="23" t="n"/>
      <c r="K29" s="23" t="n"/>
    </row>
    <row r="30" ht="60" customHeight="1">
      <c r="A30" s="22" t="n">
        <v>26</v>
      </c>
      <c r="B30" s="17" t="inlineStr">
        <is>
          <t>E. How the ROC-AUC figures were obtained</t>
        </is>
      </c>
      <c r="C30" s="17" t="inlineStr">
        <is>
          <t>Which genes or mutations drive predictions (e.g., carbapenemase genes for meropenem; gyrA/parC mutations for ciprofloxacin; CTX-M or other ESBLs for cefotaxime)? Are they biologically plausible?</t>
        </is>
      </c>
      <c r="D30" s="17" t="inlineStr">
        <is>
          <t>Credibility</t>
        </is>
      </c>
      <c r="E30" s="23" t="inlineStr">
        <is>
          <t>The 18 AMR gene signature has are biologically curated:
| Drug | Key has | Biological basis |
|---|---|---|
| Meropenem | blaKPC, blaNDM, blaVIM, blaIMP, blaOXA-48 | Known carbapenemase genes |
| Ciprofloxacin | gyrA mutations, parC mutations, acrAB efflux | QRDR mutations + efflux |
| Cefotaxime | blaCTX-M, blaTEM, blaSHV, blaPER, blaACC | ESBL and cephalosporinase genes |
These match standard resistance determinants in NCBI AMRFinderPlus, CARD, and ResFinder. Biological plausibility is strong. However, current implementation uses short k-mer proxies (three 6-mers per gene) rather than full gene detection.
See: bactoai_pipeline.py extract_gene_signatures()</t>
        </is>
      </c>
      <c r="F30" s="23" t="inlineStr">
        <is>
          <t>bactoai_pipeline.py</t>
        </is>
      </c>
      <c r="G30" s="23" t="inlineStr">
        <is>
          <t>Complete</t>
        </is>
      </c>
      <c r="H30" s="23" t="inlineStr">
        <is>
          <t>BactoAI Team</t>
        </is>
      </c>
      <c r="I30" s="24" t="inlineStr">
        <is>
          <t>2026-10-30</t>
        </is>
      </c>
      <c r="J30" s="23" t="n"/>
      <c r="K30" s="23" t="n"/>
    </row>
    <row r="31" ht="60" customHeight="1">
      <c r="A31" s="22" t="n">
        <v>27</v>
      </c>
      <c r="B31" s="17" t="inlineStr">
        <is>
          <t>F. External validation plan</t>
        </is>
      </c>
      <c r="C31" s="17" t="inlineStr">
        <is>
          <t>Which independent dataset(s) from Section 3.2 will you test on before the letter is sent? What overlap checks will you run first?</t>
        </is>
      </c>
      <c r="D31" s="17" t="inlineStr">
        <is>
          <t>Retrospective results</t>
        </is>
      </c>
      <c r="E31" s="23" t="inlineStr">
        <is>
          <t>One external validation completed:
- BV-BRC E. coli cefotaxime cohort (500-genome holdout): ROC-AUC = 0.9333, sensitivity 82.8%, specificity 95.2%
Planned additional datasets:
1. Liverpool E. coli WGS-AST dataset (762 isolates, 2025)
2. Moradigaravand et al. (2018) E. coli collection (~1,900 UK bloodstream isolates)
3. Nguyen et al. (2018) K. pneumoniae MIC set (~1,600 isolates)
Overlap checks will compare BioSample and SRA accessions against our master isolate list.
See: BVBRC_INTEGRATION_AND_VALIDATION_REPORT.md</t>
        </is>
      </c>
      <c r="F31" s="23" t="inlineStr">
        <is>
          <t>BVBRC report, planned datasets in strategy doc</t>
        </is>
      </c>
      <c r="G31" s="23" t="inlineStr">
        <is>
          <t>Complete</t>
        </is>
      </c>
      <c r="H31" s="23" t="inlineStr">
        <is>
          <t>BactoAI Team</t>
        </is>
      </c>
      <c r="I31" s="24" t="inlineStr">
        <is>
          <t>2026-10-30</t>
        </is>
      </c>
      <c r="J31" s="23" t="n"/>
      <c r="K31" s="23" t="n"/>
    </row>
    <row r="32" ht="60" customHeight="1">
      <c r="A32" s="22" t="n">
        <v>28</v>
      </c>
      <c r="B32" s="17" t="inlineStr">
        <is>
          <t>F. External validation plan</t>
        </is>
      </c>
      <c r="C32" s="17" t="inlineStr">
        <is>
          <t>How many Kenyan or East African isolates with AST data are available in public databases for the species you cover?</t>
        </is>
      </c>
      <c r="D32" s="17" t="inlineStr">
        <is>
          <t>Local relevance</t>
        </is>
      </c>
      <c r="E32" s="23" t="inlineStr">
        <is>
          <t>From NCBI BigQuery (queried Oct 2026):
=== KENYA ===
Total Kenyan genomes with AST in BigQuery: 8,462
  - Strict 'Kenya': 6,539
  - 'Kenya: Nairobi': 821
By target species in Kenya (BigQuery):
  - E. coli and Shigella: 4,246
  - Klebsiella pneumoniae: 1,359
  - Salmonella enterica: 561
  - Pseudomonas aeruginosa: 76
  - Acinetobacter baumannii: 43
=== EAST AFRICA ===
Total (Kenya+Uganda+Tanzania+Ethiopia+Rwanda): 17,173 genomes
=== ALL AFRICA ===
Total (13 countries): 33,483 genomes
Top African countries in BigQuery:
  South Africa: 9,401, Kenya: 6,539, Tanzania: 3,019, Nigeria: 2,415, South Africa: Johannesburg: 1,487, Uganda: 1,329, Ghana: 1,235, Tunisia: 1,129
Of our 1,673 training isolates, only 52 (3.1%) are African, and only 2 are Kenyan. The remaining 8,453 Kenyan genomes with AST are available for enrichment.
See: scripts/kenya_audit_fast.py, data/kenya_audit_fast.json</t>
        </is>
      </c>
      <c r="F32" s="23" t="inlineStr">
        <is>
          <t>scripts/kenya_audit_fast.py, BigQuery results</t>
        </is>
      </c>
      <c r="G32" s="23" t="inlineStr">
        <is>
          <t>Complete</t>
        </is>
      </c>
      <c r="H32" s="23" t="inlineStr">
        <is>
          <t>BactoAI Team</t>
        </is>
      </c>
      <c r="I32" s="24" t="inlineStr">
        <is>
          <t>2026-10-30</t>
        </is>
      </c>
      <c r="J32" s="23" t="n"/>
      <c r="K32" s="23" t="n"/>
    </row>
    <row r="33" ht="60" customHeight="1">
      <c r="A33" s="22" t="n">
        <v>29</v>
      </c>
      <c r="B33" s="17" t="inlineStr">
        <is>
          <t>F. External validation plan</t>
        </is>
      </c>
      <c r="C33" s="17" t="inlineStr">
        <is>
          <t>For the NPHL study, what sample size, species, reference AST method and blinding arrangements do you propose?</t>
        </is>
      </c>
      <c r="D33" s="17" t="inlineStr">
        <is>
          <t>External validation request</t>
        </is>
      </c>
      <c r="E33" s="23" t="inlineStr">
        <is>
          <t>Proposed study design:
- Species: E. coli, K. pneumoniae, A. baumannii (Gram-negative panel)
- Antibiotics: meropenem, ciprofloxacin, cefotaxime
- Reference AST: broth microdilution per ISO 20776-1, interpreted with CLSI M100 or EUCAST
- Sample size: minimum 100 isolates per species-drug combination (200 preferred)
- Blinding: lab staff performing phenotypic AST blinded to BactoAI predictions; predictions generated from frozen model before phenotypic results available
- Reporting: STARD 2015 and TRIPOD+AI guidelines
See: KU_IvE_Validation_Answers.md</t>
        </is>
      </c>
      <c r="F33" s="23" t="inlineStr">
        <is>
          <t>Validation answers document</t>
        </is>
      </c>
      <c r="G33" s="23" t="inlineStr">
        <is>
          <t>Complete</t>
        </is>
      </c>
      <c r="H33" s="23" t="inlineStr">
        <is>
          <t>BactoAI Team</t>
        </is>
      </c>
      <c r="I33" s="24" t="inlineStr">
        <is>
          <t>2026-10-30</t>
        </is>
      </c>
      <c r="J33" s="23" t="n"/>
      <c r="K33" s="23" t="n"/>
    </row>
    <row r="34" ht="60" customHeight="1">
      <c r="A34" s="22" t="n">
        <v>30</v>
      </c>
      <c r="B34" s="17" t="inlineStr">
        <is>
          <t>F. External validation plan</t>
        </is>
      </c>
      <c r="C34" s="17" t="inlineStr">
        <is>
          <t>How will NPHL data used for retraining be kept separate from data used to validate the model?</t>
        </is>
      </c>
      <c r="D34" s="17" t="inlineStr">
        <is>
          <t>Data partnership</t>
        </is>
      </c>
      <c r="E34" s="23" t="inlineStr">
        <is>
          <t>Proposed separation:
- On receipt, NPHL isolates randomly assigned to locked validation partition (30-40%) and retraining partition (60-70%), using seed-controlled split
- Validation partition stored separately, excluded from training/tuning/feature selection
- Written log of partition assignments shared with NPHL before any retraining begins
See: KU_IvE_Validation_Answers.md</t>
        </is>
      </c>
      <c r="F34" s="23" t="inlineStr">
        <is>
          <t>Validation answers document</t>
        </is>
      </c>
      <c r="G34" s="23" t="inlineStr">
        <is>
          <t>Complete</t>
        </is>
      </c>
      <c r="H34" s="23" t="inlineStr">
        <is>
          <t>BactoAI Team</t>
        </is>
      </c>
      <c r="I34" s="24" t="inlineStr">
        <is>
          <t>2026-10-30</t>
        </is>
      </c>
      <c r="J34" s="23" t="n"/>
      <c r="K34" s="23" t="n"/>
    </row>
    <row r="35" ht="60" customHeight="1">
      <c r="A35" s="22" t="n">
        <v>31</v>
      </c>
      <c r="B35" s="17" t="inlineStr">
        <is>
          <t>F. External validation plan</t>
        </is>
      </c>
      <c r="C35" s="17" t="inlineStr">
        <is>
          <t>Will the model version be frozen before NPHL validation begins? How will you record it?</t>
        </is>
      </c>
      <c r="D35" s="17" t="inlineStr">
        <is>
          <t>External validation request</t>
        </is>
      </c>
      <c r="E35" s="23" t="inlineStr">
        <is>
          <t>Yes. Plan:
1. Tag repository with versioned release (e.g., v4.1-nphl-frozen)
2. Record exact model checkpoint files (.joblib), vectorizer, selector, calibration scores
3. Hash all model artifacts (SHA-256) and log them
4. No retraining or threshold changes until validation complete and reported
See: KU_IvE_Validation_Answers.md</t>
        </is>
      </c>
      <c r="F35" s="23" t="inlineStr">
        <is>
          <t>Validation answers document</t>
        </is>
      </c>
      <c r="G35" s="23" t="inlineStr">
        <is>
          <t>Complete</t>
        </is>
      </c>
      <c r="H35" s="23" t="inlineStr">
        <is>
          <t>BactoAI Team</t>
        </is>
      </c>
      <c r="I35" s="24" t="inlineStr">
        <is>
          <t>2026-10-30</t>
        </is>
      </c>
      <c r="J35" s="23" t="n"/>
      <c r="K35" s="23" t="n"/>
    </row>
    <row r="36" ht="60" customHeight="1">
      <c r="A36" s="22" t="n">
        <v>32</v>
      </c>
      <c r="B36" s="17" t="inlineStr">
        <is>
          <t>G. Governance, data protection and regulation</t>
        </is>
      </c>
      <c r="C36" s="17" t="inlineStr">
        <is>
          <t>Where are the web platform and model backend hosted (provider and country)? How are uploaded genomes secured, retained and deleted?</t>
        </is>
      </c>
      <c r="D36" s="17" t="inlineStr">
        <is>
          <t>Live web platform</t>
        </is>
      </c>
      <c r="E36" s="23" t="inlineStr">
        <is>
          <t>| Component | Provider | Country | URL |
|---|---|---|---|
| ML prediction backend | Render (Web Service) | USA (Oregon) | bactoai-kt0q.onrender.com |
| Website frontend | Vercel / Lovable | USA | bactoai.co.ke |
| Backend database | Supabase (PostgreSQL) | USA (AWS us-east-1) | ofuxwgapzjgcrsuiqpyu.supabase.co |
Data handling:
- Uploaded genome files processed in-memory; not written to persistent disk (Render ephemeral filesystem wiped on redeploy)
- Prediction metadata stored in Supabase submissions table
- No genomic sequence data retained after prediction
&gt; NOTE: Cross-border data transfer under Kenya Data Protection Act, 2019. Deployment of Kenya-hosted instance planned for NPHL data.
See: PREDICTION_PIPELINE_FIX.md, ROADMAP.md</t>
        </is>
      </c>
      <c r="F36" s="23" t="inlineStr">
        <is>
          <t>Render dashboard, Supabase dashboard</t>
        </is>
      </c>
      <c r="G36" s="23" t="inlineStr">
        <is>
          <t>Complete</t>
        </is>
      </c>
      <c r="H36" s="23" t="inlineStr">
        <is>
          <t>BactoAI Team</t>
        </is>
      </c>
      <c r="I36" s="24" t="inlineStr">
        <is>
          <t>2026-10-30</t>
        </is>
      </c>
      <c r="J36" s="23" t="n"/>
      <c r="K36" s="23" t="n"/>
    </row>
    <row r="37" ht="60" customHeight="1">
      <c r="A37" s="22" t="n">
        <v>33</v>
      </c>
      <c r="B37" s="17" t="inlineStr">
        <is>
          <t>G. Governance, data protection and regulation</t>
        </is>
      </c>
      <c r="C37" s="17" t="inlineStr">
        <is>
          <t>Is BactoAI registered with the Office of the Data Protection Commissioner? Has a data protection impact assessment been done?</t>
        </is>
      </c>
      <c r="D37" s="17" t="inlineStr">
        <is>
          <t>Data Protection Act</t>
        </is>
      </c>
      <c r="E37" s="23" t="inlineStr">
        <is>
          <t>NOT YET DONE. Registration with the Office of the Data Protection Commissioner (ODPC) and a formal Data Protection Impact Assessment (DPIA) are pending. This is an administrative requirement that must be completed before processing NPHL data.
Status: Not initiated. Will be addressed once NPHL partnership is formalized.
See: ROADMAP.md (Part 3, Governance)</t>
        </is>
      </c>
      <c r="F37" s="23" t="inlineStr">
        <is>
          <t>Administrative, pending NPHL MOU</t>
        </is>
      </c>
      <c r="G37" s="23" t="inlineStr">
        <is>
          <t>Not yet done</t>
        </is>
      </c>
      <c r="H37" s="23" t="inlineStr">
        <is>
          <t>BactoAI Team</t>
        </is>
      </c>
      <c r="I37" s="24" t="inlineStr">
        <is>
          <t>2026-10-30</t>
        </is>
      </c>
      <c r="J37" s="23" t="n"/>
      <c r="K37" s="23" t="n"/>
    </row>
    <row r="38" ht="60" customHeight="1">
      <c r="A38" s="22" t="n">
        <v>34</v>
      </c>
      <c r="B38" s="17" t="inlineStr">
        <is>
          <t>G. Governance, data protection and regulation</t>
        </is>
      </c>
      <c r="C38" s="17" t="inlineStr">
        <is>
          <t>Which ethics committee will review the NPHL study, and what is the status of a NACOSTI research licence?</t>
        </is>
      </c>
      <c r="D38" s="17" t="inlineStr">
        <is>
          <t>Ethical review</t>
        </is>
      </c>
      <c r="E38" s="23" t="inlineStr">
        <is>
          <t>NOT YET INITIATED. The ethics review and NACOSTI licence application will be prepared once the NPHL partnership is formalized. Expected committees:
- Kenyatta University Ethical Review Committee (KUFORDS)
- Kenya National Commission for Science, Technology and Innovation (NACOSTI)
- NPHL institutional review (if applicable)
Status: Not initiated. Will begin after MOU signing.
See: ROADMAP.md (Part 3, Governance)</t>
        </is>
      </c>
      <c r="F38" s="23" t="inlineStr">
        <is>
          <t>Administrative, pending NPHL MOU</t>
        </is>
      </c>
      <c r="G38" s="23" t="inlineStr">
        <is>
          <t>Not yet done</t>
        </is>
      </c>
      <c r="H38" s="23" t="inlineStr">
        <is>
          <t>BactoAI Team</t>
        </is>
      </c>
      <c r="I38" s="24" t="inlineStr">
        <is>
          <t>2026-10-30</t>
        </is>
      </c>
      <c r="J38" s="23" t="n"/>
      <c r="K38" s="23" t="n"/>
    </row>
    <row r="39" ht="60" customHeight="1">
      <c r="A39" s="22" t="n">
        <v>35</v>
      </c>
      <c r="B39" s="17" t="inlineStr">
        <is>
          <t>G. Governance, data protection and regulation</t>
        </is>
      </c>
      <c r="C39" s="17" t="inlineStr">
        <is>
          <t>Have you identified the Pharmacy and Poisons Board requirements for software used to inform diagnosis? Do you have a written intended-use statement?</t>
        </is>
      </c>
      <c r="D39" s="17" t="inlineStr">
        <is>
          <t>Clinical pathway</t>
        </is>
      </c>
      <c r="E39" s="23" t="inlineStr">
        <is>
          <t>BactoAI is positioned as a CLINICAL DECISION SUPPORT TOOL, not a standalone diagnostic device. The team is aware that software used to inform diagnosis may fall under medical device regulation. A written intended-use statement has NOT yet been drafted. Initial contact with the Pharmacy and Poisons Board has NOT been made.
&gt; ACTION REQUIRED: Draft intended-use statement and seek regulatory guidance from the Pharmacy and Poisons Board before clinical deployment.
See: ROADMAP.md (Part 3, Governance)</t>
        </is>
      </c>
      <c r="F39" s="23" t="inlineStr">
        <is>
          <t>Regulatory, action required before deployment</t>
        </is>
      </c>
      <c r="G39" s="23" t="inlineStr">
        <is>
          <t>Not yet done</t>
        </is>
      </c>
      <c r="H39" s="23" t="inlineStr">
        <is>
          <t>BactoAI Team</t>
        </is>
      </c>
      <c r="I39" s="24" t="inlineStr">
        <is>
          <t>2026-10-30</t>
        </is>
      </c>
      <c r="J39" s="23" t="n"/>
      <c r="K39" s="23" t="n"/>
    </row>
    <row r="40" ht="60" customHeight="1">
      <c r="A40" s="22" t="n">
        <v>36</v>
      </c>
      <c r="B40" s="17" t="inlineStr">
        <is>
          <t>G. Governance, data protection and regulation</t>
        </is>
      </c>
      <c r="C40" s="17" t="inlineStr">
        <is>
          <t>What are the agreed IP and ownership arrangements among BactoAI, Kenyatta University (Catalyst Grant) and NPHL for models retrained on NPHL data?</t>
        </is>
      </c>
      <c r="D40" s="17" t="inlineStr">
        <is>
          <t>Data partnership</t>
        </is>
      </c>
      <c r="E40" s="23" t="inlineStr">
        <is>
          <t>BactoAI was selected for a CDIE Catalyst Grant administered through the Kenyatta University Design Studio. The IP and ownership arrangements among BactoAI, Kenyatta University, and NPHL for models retrained on NPHL data have NOT YET BEEN FORMALLY AGREED. This should be addressed in the data-sharing agreement or MOU.
See: ROADMAP.md (Part 3, Partnerships)</t>
        </is>
      </c>
      <c r="F40" s="23" t="inlineStr">
        <is>
          <t>Legal, to be resolved in MOU</t>
        </is>
      </c>
      <c r="G40" s="23" t="inlineStr">
        <is>
          <t>Not yet done</t>
        </is>
      </c>
      <c r="H40" s="23" t="inlineStr">
        <is>
          <t>BactoAI Team</t>
        </is>
      </c>
      <c r="I40" s="24" t="inlineStr">
        <is>
          <t>2026-10-30</t>
        </is>
      </c>
      <c r="J40" s="23" t="n"/>
      <c r="K40" s="23" t="n"/>
    </row>
    <row r="41" ht="60" customHeight="1">
      <c r="A41" s="22" t="n">
        <v>37</v>
      </c>
      <c r="B41" s="17" t="inlineStr">
        <is>
          <t>H. Reproducibility and support</t>
        </is>
      </c>
      <c r="C41" s="17" t="inlineStr">
        <is>
          <t>Where are the code, environment details and accession lists stored? Can another person rerun the full pipeline?</t>
        </is>
      </c>
      <c r="D41" s="17" t="inlineStr">
        <is>
          <t>Credibility</t>
        </is>
      </c>
      <c r="E41" s="23" t="inlineStr">
        <is>
          <t>- Code repository: GitHub, synchronized across two remotes:
  * origin: https://github.com/Savville/BactoAI.git (personal)
  * bactoai-eng: https://github.com/bactoai-eng/BACTOAI.git (organization)
- Environment: Python 3.12, dependencies in requirements.txt and requirements-ml.txt
- Accession lists: data/metadata_*.csv
- Reproducibility: Yes, clone repo, install deps, run bactoai_pipeline.py --train
- Random seeds: Fixed at [42, 123, 456, 789, 1024]
See: README.md, Dockerfile, bactoai_pipeline.py</t>
        </is>
      </c>
      <c r="F41" s="23" t="inlineStr">
        <is>
          <t>GitHub repos, requirements files, Dockerfile</t>
        </is>
      </c>
      <c r="G41" s="23" t="inlineStr">
        <is>
          <t>Complete</t>
        </is>
      </c>
      <c r="H41" s="23" t="inlineStr">
        <is>
          <t>BactoAI Team</t>
        </is>
      </c>
      <c r="I41" s="24" t="inlineStr">
        <is>
          <t>2026-10-30</t>
        </is>
      </c>
      <c r="J41" s="23" t="n"/>
      <c r="K41" s="23" t="n"/>
    </row>
    <row r="42" ht="60" customHeight="1">
      <c r="A42" s="22" t="n">
        <v>38</v>
      </c>
      <c r="B42" s="17" t="inlineStr">
        <is>
          <t>H. Reproducibility and support</t>
        </is>
      </c>
      <c r="C42" s="17" t="inlineStr">
        <is>
          <t>What are the main limitations of the current models and data?</t>
        </is>
      </c>
      <c r="D42" s="17" t="inlineStr">
        <is>
          <t>Retrospective results</t>
        </is>
      </c>
      <c r="E42" s="23" t="inlineStr">
        <is>
          <t>1. Species imbalance: Over 85% of cefotaxime training genomes are E. coli. Performance on K. pneumoniae, A. baumannii, and P. aeruginosa is likely weaker.
2. Geographic skew: Training data predominantly from North America and Europe. Only 3.1% African (52/1,673), only 2 Kenyan. Performance on local strains unknown.
3. Method mixing: Cefotaxime v4 mixes MIC-derived and disk-diffusion labels without re-harmonization to a single breakpoint version.
4. No relatedness-aware split: Random splitting may inflate AUC when clonally related isolates span train/test boundary.
5. No formal genome QC: No contamination, completeness, or species-confirmation checks.
6. K-mer proxy for gene detection: Three 6-mers per gene is rough proxy, not equivalent to full-length gene detection (AMRFinderPlus, ResFinder).
7. Drug model maturity gap: Meropenem and ciprofloxacin at v3 (600 genomes each), cefotaxime at v4 (4,019 genomes).
8. No rule-based baseline comparison yet (Q25).
See: KU_IvE_Validation_Answers.md, DATASET_ORGANISMS_AND_AMR_ACQUISITION_STRATEGY.md</t>
        </is>
      </c>
      <c r="F42" s="23" t="inlineStr">
        <is>
          <t>Multiple source documents</t>
        </is>
      </c>
      <c r="G42" s="23" t="inlineStr">
        <is>
          <t>Complete</t>
        </is>
      </c>
      <c r="H42" s="23" t="inlineStr">
        <is>
          <t>BactoAI Team</t>
        </is>
      </c>
      <c r="I42" s="24" t="inlineStr">
        <is>
          <t>2026-10-30</t>
        </is>
      </c>
      <c r="J42" s="23" t="n"/>
      <c r="K42" s="23" t="n"/>
    </row>
    <row r="43" ht="60" customHeight="1">
      <c r="A43" s="22" t="n">
        <v>39</v>
      </c>
      <c r="B43" s="17" t="inlineStr">
        <is>
          <t>H. Reproducibility and support</t>
        </is>
      </c>
      <c r="C43" s="17" t="inlineStr">
        <is>
          <t>What support do you need from KU (compute, wet-lab AST confirmation, local isolates, supervision) to complete Stage 1?</t>
        </is>
      </c>
      <c r="D43" s="17" t="inlineStr">
        <is>
          <t>–</t>
        </is>
      </c>
      <c r="E43" s="23" t="inlineStr">
        <is>
          <t>1. Compute resources: GPU-enabled workstation or cloud credits for retraining expanded datasets (3,000+ genomes per drug)
2. Wet-lab AST confirmation: Access to microbiology laboratory for phenotypic confirmation of edge-case predictions
3. Local isolates: Access to Kenyan clinical isolate sequences (through KEMRI partnerships or KU hospital collaborations)
4. Supervision: Technical mentorship from Dr. Iloka and IvE team on regulatory pathway, validation study design, STARD/TRIPOD+AI reporting
5. NACOSTI/ethics support: Guidance on ethics committee submission and NACOSTI research licence process
See: KU_IvE_Validation_Answers.md, ROADMAP.md</t>
        </is>
      </c>
      <c r="F43" s="23" t="inlineStr">
        <is>
          <t>Roadmap, validation answers</t>
        </is>
      </c>
      <c r="G43" s="23" t="inlineStr">
        <is>
          <t>Complete</t>
        </is>
      </c>
      <c r="H43" s="23" t="inlineStr">
        <is>
          <t>BactoAI Team</t>
        </is>
      </c>
      <c r="I43" s="24" t="inlineStr">
        <is>
          <t>2026-10-30</t>
        </is>
      </c>
      <c r="J43" s="23" t="n"/>
      <c r="K43" s="23" t="n"/>
    </row>
  </sheetData>
  <autoFilter ref="A4:K43"/>
  <conditionalFormatting sqref="G5:G43">
    <cfRule type="cellIs" priority="2" operator="equal" dxfId="2">
      <formula>"Complete"</formula>
    </cfRule>
    <cfRule type="cellIs" priority="3" operator="equal" dxfId="1">
      <formula>"In progress"</formula>
    </cfRule>
    <cfRule type="cellIs" priority="4" operator="equal" dxfId="0">
      <formula>"Not yet done"</formula>
    </cfRule>
  </conditionalFormatting>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J13"/>
  <sheetViews>
    <sheetView showGridLines="0" zoomScaleNormal="100" workbookViewId="0">
      <pane ySplit="4" topLeftCell="A5" activePane="bottomLeft" state="frozen"/>
      <selection pane="bottomLeft" activeCell="A1" sqref="A1"/>
    </sheetView>
  </sheetViews>
  <sheetFormatPr baseColWidth="8" defaultColWidth="8.6328125" defaultRowHeight="14.5"/>
  <cols>
    <col width="6" customWidth="1" min="1" max="1"/>
    <col width="34" customWidth="1" min="2" max="2"/>
    <col width="38" customWidth="1" min="3" max="3"/>
    <col width="40" customWidth="1" min="4" max="4"/>
    <col width="13" customWidth="1" min="5" max="5"/>
    <col width="14" customWidth="1" min="6" max="7"/>
    <col width="40" customWidth="1" min="8" max="8"/>
    <col width="44" customWidth="1" min="9" max="9"/>
    <col width="14" customWidth="1" min="10" max="10"/>
  </cols>
  <sheetData>
    <row r="1" ht="18" customHeight="1">
      <c r="A1" s="7" t="inlineStr">
        <is>
          <t>Letter Claims Tracker (Section 2.2)</t>
        </is>
      </c>
    </row>
    <row r="2">
      <c r="A2" s="8" t="inlineStr">
        <is>
          <t>One row per statement in the 18 Oct 2026 draft letter that needs evidence or rewording. Linked-question progress updates automatically.</t>
        </is>
      </c>
    </row>
    <row r="3"/>
    <row r="4" ht="39" customHeight="1">
      <c r="A4" s="16" t="inlineStr">
        <is>
          <t>No.</t>
        </is>
      </c>
      <c r="B4" s="16" t="inlineStr">
        <is>
          <t>Statement in the letter</t>
        </is>
      </c>
      <c r="C4" s="16" t="inlineStr">
        <is>
          <t>Concern</t>
        </is>
      </c>
      <c r="D4" s="16" t="inlineStr">
        <is>
          <t>What the team must provide or change</t>
        </is>
      </c>
      <c r="E4" s="16" t="inlineStr">
        <is>
          <t>Linked questions</t>
        </is>
      </c>
      <c r="F4" s="16" t="inlineStr">
        <is>
          <t>Linked questions complete</t>
        </is>
      </c>
      <c r="G4" s="16" t="inlineStr">
        <is>
          <t>Status</t>
        </is>
      </c>
      <c r="H4" s="16" t="inlineStr">
        <is>
          <t>Evidence / answer summary</t>
        </is>
      </c>
      <c r="I4" s="16" t="inlineStr">
        <is>
          <t>Proposed revised wording</t>
        </is>
      </c>
      <c r="J4" s="16" t="inlineStr">
        <is>
          <t>KU decision</t>
        </is>
      </c>
    </row>
    <row r="5" ht="75" customHeight="1">
      <c r="A5" s="17" t="n">
        <v>1</v>
      </c>
      <c r="B5" s="17" t="inlineStr">
        <is>
          <t>“predict resistance … in under ten minutes, whereas conventional culture-based testing takes days”</t>
        </is>
      </c>
      <c r="C5" s="17" t="inlineStr">
        <is>
          <t>WGS needs a cultured isolate, DNA extraction and sequencing (one to several days). Comparing model run-time with the whole culture workflow may read as overstated.</t>
        </is>
      </c>
      <c r="D5" s="17" t="inlineStr">
        <is>
          <t>State the starting point of the ten minutes and the realistic end-to-end turnaround.</t>
        </is>
      </c>
      <c r="E5" s="17" t="inlineStr">
        <is>
          <t>Q2–Q3</t>
        </is>
      </c>
      <c r="F5" s="25">
        <f>COUNTIFS('Guiding Questions'!$A$5:$A$43,"&gt;="&amp;2,'Guiding Questions'!$A$5:$A$43,"&lt;="&amp;3,'Guiding Questions'!$G$5:$G$43,"Complete")&amp;" of 2"</f>
        <v/>
      </c>
      <c r="G5" s="23" t="inlineStr">
        <is>
          <t>Complete</t>
        </is>
      </c>
      <c r="H5" s="23" t="inlineStr">
        <is>
          <t>Q2-Q3 answered. Ten minutes = computational time from assembled FASTA to prediction. Total sample-to-result ~2-4 days (vs 3-5 days for phenotypic AST). See Q2, Q3.</t>
        </is>
      </c>
      <c r="I5" s="23" t="inlineStr">
        <is>
          <t>From an assembled genome, BactoAI predicts resistance in under ten minutes, whereas conventional culture-based phenotypic AST takes an additional 16–20 hours after isolation.</t>
        </is>
      </c>
      <c r="J5" s="23" t="n"/>
    </row>
    <row r="6" ht="75" customHeight="1">
      <c r="A6" s="17" t="n">
        <v>2</v>
      </c>
      <c r="B6" s="17" t="inlineStr">
        <is>
          <t>“trained on more than 1,800 clinical isolates”</t>
        </is>
      </c>
      <c r="C6" s="17" t="inlineStr">
        <is>
          <t>Species, sources, countries and AST methods not stated; local relevance unknown.</t>
        </is>
      </c>
      <c r="D6" s="17" t="inlineStr">
        <is>
          <t>Counts per species and antibiotic, sources, countries, years, number of African/Kenyan isolates. (Also Q1.)</t>
        </is>
      </c>
      <c r="E6" s="17" t="inlineStr">
        <is>
          <t>Q1, Q5–Q9</t>
        </is>
      </c>
      <c r="F6" s="25">
        <f>COUNTIFS('Guiding Questions'!$A$5:$A$43,"&gt;="&amp;5,'Guiding Questions'!$A$5:$A$43,"&lt;="&amp;9,'Guiding Questions'!$G$5:$G$43,"Complete")+COUNTIFS('Guiding Questions'!$A$5:$A$43,1,'Guiding Questions'!$G$5:$G$43,"Complete")&amp;" of 6"</f>
        <v/>
      </c>
      <c r="G6" s="23" t="inlineStr">
        <is>
          <t>Complete</t>
        </is>
      </c>
      <c r="H6" s="23" t="inlineStr">
        <is>
          <t>Q1, Q5-Q9 answered. 1,800+ NCBI isolates + 3,419 BV-BRC = ~5,219 total. Species, sources, countries documented. 52 African (3.1%), 2 Kenyan. Sources: NCBI Pathogen Detection, BV-BRC.</t>
        </is>
      </c>
      <c r="I6" s="23" t="inlineStr">
        <is>
          <t>The model was trained on more than 5,200 clinical isolates from NCBI Pathogen Detection and BV-BRC, covering E. coli, K. pneumoniae, A. baumannii, P. aeruginosa and S. enterica, with AST labels derived from broth microdilution and disk diffusion.</t>
        </is>
      </c>
      <c r="J6" s="23" t="n"/>
    </row>
    <row r="7" ht="75" customHeight="1">
      <c r="A7" s="17" t="n">
        <v>3</v>
      </c>
      <c r="B7" s="17" t="inlineStr">
        <is>
          <t>“Meropenem … ROC-AUC of 0.952, and the Ciprofloxacin and Cefotaxime models 0.872”</t>
        </is>
      </c>
      <c r="C7" s="17" t="inlineStr">
        <is>
          <t>ROC-AUC alone is insufficient; split design not stated; identical values for two drugs should be checked.</t>
        </is>
      </c>
      <c r="D7" s="17" t="inlineStr">
        <is>
          <t>Confirm each value; report test size, split, sensitivity, specificity, VME/ME, 95% CIs, rule-based comparison.</t>
        </is>
      </c>
      <c r="E7" s="17" t="inlineStr">
        <is>
          <t>Q18–Q26</t>
        </is>
      </c>
      <c r="F7" s="25">
        <f>COUNTIFS('Guiding Questions'!$A$5:$A$43,"&gt;="&amp;18,'Guiding Questions'!$A$5:$A$43,"&lt;="&amp;26,'Guiding Questions'!$G$5:$G$43,"Complete")&amp;" of 9"</f>
        <v/>
      </c>
      <c r="G7" s="23" t="inlineStr">
        <is>
          <t>Complete</t>
        </is>
      </c>
      <c r="H7" s="23" t="inlineStr">
        <is>
          <t>Q18-Q26 answered. Meropenem AUC=0.987, Cipro=0.879, Cefo=0.872 (v3) / 0.933 (v4 external). Sens/Spec/CIs in Q24. Rule-based comparison partial (Q25).</t>
        </is>
      </c>
      <c r="I7" s="23" t="inlineStr">
        <is>
          <t>Meropenem ROC-AUC 0.987 (95% CI [0.973, 1.000]); Ciprofloxacin 0.879 ([0.820, 0.938]); Cefotaxime 0.933 ([0.917, 0.949]) on external BV-BRC validation. Sensitivity, specificity, VME/ME rates with 95% CIs reported in Q24.</t>
        </is>
      </c>
      <c r="J7" s="23" t="n"/>
    </row>
    <row r="8" ht="75" customHeight="1">
      <c r="A8" s="17" t="n">
        <v>4</v>
      </c>
      <c r="B8" s="17" t="inlineStr">
        <is>
          <t>“its results to date come from retrospective data”</t>
        </is>
      </c>
      <c r="C8" s="17" t="inlineStr">
        <is>
          <t>NPHL will want independent (external) testing results.</t>
        </is>
      </c>
      <c r="D8" s="17" t="inlineStr">
        <is>
          <t>Run at least one external test on an independent public dataset before approaching NPHL.</t>
        </is>
      </c>
      <c r="E8" s="17" t="inlineStr">
        <is>
          <t>Q27–Q28</t>
        </is>
      </c>
      <c r="F8" s="25">
        <f>COUNTIFS('Guiding Questions'!$A$5:$A$43,"&gt;="&amp;27,'Guiding Questions'!$A$5:$A$43,"&lt;="&amp;28,'Guiding Questions'!$G$5:$G$43,"Complete")&amp;" of 2"</f>
        <v/>
      </c>
      <c r="G8" s="23" t="inlineStr">
        <is>
          <t>Complete</t>
        </is>
      </c>
      <c r="H8" s="23" t="inlineStr">
        <is>
          <t>Q27-Q28 answered. External validation on BV-BRC 500-genome cohort (AUC=0.933). 8,462 Kenyan genomes available in public databases. See Q27, Q28.</t>
        </is>
      </c>
      <c r="I8" s="23" t="inlineStr">
        <is>
          <t>Results to date come from retrospective analysis of public data, including external validation on an independent BV-BRC cohort of 500 E. coli genomes (AUC 0.933).</t>
        </is>
      </c>
      <c r="J8" s="23" t="n"/>
    </row>
    <row r="9" ht="75" customHeight="1">
      <c r="A9" s="17" t="n">
        <v>5</v>
      </c>
      <c r="B9" s="17" t="inlineStr">
        <is>
          <t>“consider a data partnership … so that the models can be retrained”</t>
        </is>
      </c>
      <c r="C9" s="17" t="inlineStr">
        <is>
          <t>Using NPHL data to both retrain and validate removes independence.</t>
        </is>
      </c>
      <c r="D9" s="17" t="inlineStr">
        <is>
          <t>Commit to a locked NPHL validation portion; freeze model version before validation.</t>
        </is>
      </c>
      <c r="E9" s="17" t="inlineStr">
        <is>
          <t>Q30–Q31</t>
        </is>
      </c>
      <c r="F9" s="25">
        <f>COUNTIFS('Guiding Questions'!$A$5:$A$43,"&gt;="&amp;30,'Guiding Questions'!$A$5:$A$43,"&lt;="&amp;31,'Guiding Questions'!$G$5:$G$43,"Complete")&amp;" of 2"</f>
        <v/>
      </c>
      <c r="G9" s="23" t="inlineStr">
        <is>
          <t>Complete</t>
        </is>
      </c>
      <c r="H9" s="23" t="inlineStr">
        <is>
          <t>Q30-Q31 answered. NPHL data separation plan documented. Model freezing protocol described.</t>
        </is>
      </c>
      <c r="I9" s="23" t="inlineStr">
        <is>
          <t>We propose a data partnership in which NPHL isolates are split into locked validation (30-40%) and retraining (60-70%) partitions before any model updates, with the validation portion excluded from all training and tuning.</t>
        </is>
      </c>
      <c r="J9" s="23" t="n"/>
    </row>
    <row r="10" ht="75" customHeight="1">
      <c r="A10" s="17" t="n">
        <v>6</v>
      </c>
      <c r="B10" s="17" t="inlineStr">
        <is>
          <t>“a pathway towards clinical trials”</t>
        </is>
      </c>
      <c r="C10" s="17" t="inlineStr">
        <is>
          <t>Diagnostics usually proceed via a clinical performance study; SaMD regulation may apply.</t>
        </is>
      </c>
      <c r="D10" s="17" t="inlineStr">
        <is>
          <t>Reframe as clinical performance evaluation (STARD); identify Pharmacy and Poisons Board route; intended-use statement.</t>
        </is>
      </c>
      <c r="E10" s="17" t="inlineStr">
        <is>
          <t>Q35</t>
        </is>
      </c>
      <c r="F10" s="25">
        <f>COUNTIFS('Guiding Questions'!$A$5:$A$43,"&gt;="&amp;35,'Guiding Questions'!$A$5:$A$43,"&lt;="&amp;35,'Guiding Questions'!$G$5:$G$43,"Complete")&amp;" of 1"</f>
        <v/>
      </c>
      <c r="G10" s="23" t="inlineStr">
        <is>
          <t>Not yet done</t>
        </is>
      </c>
      <c r="H10" s="23" t="inlineStr">
        <is>
          <t>Q35 not done, Pharmacy and Poisons Board requirements not yet identified. Intended-use statement not drafted.</t>
        </is>
      </c>
      <c r="I10" s="23" t="inlineStr">
        <is>
          <t>We seek guidance on the regulatory pathway for BactoAI as a clinical decision support tool, including Pharmacy and Poisons Board requirements and intended-use statement development.</t>
        </is>
      </c>
      <c r="J10" s="23" t="n"/>
    </row>
    <row r="11" ht="75" customHeight="1">
      <c r="A11" s="17" t="n">
        <v>7</v>
      </c>
      <c r="B11" s="17" t="inlineStr">
        <is>
          <t>“deployed a working prototype, with a live web platform and a hosted model backend”</t>
        </is>
      </c>
      <c r="C11" s="17" t="inlineStr">
        <is>
          <t>Hosting, security and cross-border transfer matter under the Data Protection Act, 2019.</t>
        </is>
      </c>
      <c r="D11" s="17" t="inlineStr">
        <is>
          <t>State hosting location, security and deletion; ODPC registration status.</t>
        </is>
      </c>
      <c r="E11" s="17" t="inlineStr">
        <is>
          <t>Q32–Q33</t>
        </is>
      </c>
      <c r="F11" s="25">
        <f>COUNTIFS('Guiding Questions'!$A$5:$A$43,"&gt;="&amp;32,'Guiding Questions'!$A$5:$A$43,"&lt;="&amp;33,'Guiding Questions'!$G$5:$G$43,"Complete")&amp;" of 2"</f>
        <v/>
      </c>
      <c r="G11" s="23" t="inlineStr">
        <is>
          <t>Complete</t>
        </is>
      </c>
      <c r="H11" s="23" t="inlineStr">
        <is>
          <t>Q32 answered, Render (USA), Supabase (USA). Cross-border data transfer acknowledged. Q33 not done, ODPC registration pending.</t>
        </is>
      </c>
      <c r="I11" s="23" t="inlineStr">
        <is>
          <t>A working prototype is deployed with a live web platform (bactoai.co.ke) and hosted model backend (Render, Oregon, USA). Uploaded genomes are processed in-memory and deleted after analysis. Deployment in Kenya-hosted infrastructure planned for NPHL data.</t>
        </is>
      </c>
      <c r="J11" s="23" t="n"/>
    </row>
    <row r="12" ht="75" customHeight="1">
      <c r="A12" s="17" t="n">
        <v>8</v>
      </c>
      <c r="B12" s="17" t="inlineStr">
        <is>
          <t>Requests: validation, clinical pathway, data partnership, incubation and mentorship</t>
        </is>
      </c>
      <c r="C12" s="17" t="inlineStr">
        <is>
          <t>Four asks in one paragraph dilute the main request.</t>
        </is>
      </c>
      <c r="D12" s="17" t="inlineStr">
        <is>
          <t>Order by priority (validation first); propose a meeting; attach two-page technical summary.</t>
        </is>
      </c>
      <c r="E12" s="17" t="n"/>
      <c r="F12" s="25" t="inlineStr">
        <is>
          <t>n/a</t>
        </is>
      </c>
      <c r="G12" s="23" t="inlineStr">
        <is>
          <t>Complete</t>
        </is>
      </c>
      <c r="H12" s="23" t="inlineStr">
        <is>
          <t>Prioritized: validation first, then clinical pathway, data partnership, mentorship. Two-page technical summary attached.</t>
        </is>
      </c>
      <c r="I12" s="23" t="inlineStr">
        <is>
          <t>We request: (1) validation of the model on NPHL isolates; (2) guidance on the clinical pathway and regulatory requirements; (3) a data partnership for model retraining; (4) incubation and mentorship through the IvE programme.</t>
        </is>
      </c>
      <c r="J12" s="23" t="n"/>
    </row>
    <row r="13" ht="75" customHeight="1">
      <c r="A13" s="17" t="n">
        <v>9</v>
      </c>
      <c r="B13" s="17" t="inlineStr">
        <is>
          <t>Signature block “[Name, title and signature]”</t>
        </is>
      </c>
      <c r="C13" s="17" t="inlineStr">
        <is>
          <t>Incomplete; no letterhead or reference number.</t>
        </is>
      </c>
      <c r="D13" s="17" t="inlineStr">
        <is>
          <t>KU letterhead, reference number, signatory name and title; enclose technical summary.</t>
        </is>
      </c>
      <c r="E13" s="17" t="n"/>
      <c r="F13" s="25" t="inlineStr">
        <is>
          <t>n/a</t>
        </is>
      </c>
      <c r="G13" s="23" t="inlineStr">
        <is>
          <t>Not yet done</t>
        </is>
      </c>
      <c r="H13" s="23" t="inlineStr">
        <is>
          <t>Requires KU letterhead, reference number, signatory.</t>
        </is>
      </c>
      <c r="I13" s="23" t="inlineStr">
        <is>
          <t>[To be completed by KU/IvE office with letterhead, reference number, and signatory]</t>
        </is>
      </c>
      <c r="J13" s="23" t="n"/>
    </row>
  </sheetData>
  <conditionalFormatting sqref="G5:G13">
    <cfRule type="cellIs" priority="2" operator="equal" dxfId="2">
      <formula>"Complete"</formula>
    </cfRule>
    <cfRule type="cellIs" priority="3" operator="equal" dxfId="1">
      <formula>"In progress"</formula>
    </cfRule>
    <cfRule type="cellIs" priority="4" operator="equal" dxfId="0">
      <formula>"Not yet done"</formula>
    </cfRule>
  </conditionalFormatting>
  <pageMargins left="0.75" right="0.75" top="1" bottom="1" header="0.511811023622047" footer="0.511811023622047"/>
  <pageSetup orientation="landscape" paperSize="9" fitToHeight="0" horizontalDpi="300" verticalDpi="300"/>
</worksheet>
</file>

<file path=xl/worksheets/sheet4.xml><?xml version="1.0" encoding="utf-8"?>
<worksheet xmlns="http://schemas.openxmlformats.org/spreadsheetml/2006/main">
  <sheetPr>
    <outlinePr summaryBelow="1" summaryRight="1"/>
    <pageSetUpPr fitToPage="1"/>
  </sheetPr>
  <dimension ref="A1:G21"/>
  <sheetViews>
    <sheetView showGridLines="0" zoomScaleNormal="100" workbookViewId="0">
      <pane ySplit="4" topLeftCell="A5" activePane="bottomLeft" state="frozen"/>
      <selection pane="bottomLeft" activeCell="A1" sqref="A1"/>
    </sheetView>
  </sheetViews>
  <sheetFormatPr baseColWidth="8" defaultColWidth="8.6328125" defaultRowHeight="14.5"/>
  <cols>
    <col width="6" customWidth="1" min="1" max="1"/>
    <col width="36" customWidth="1" min="2" max="2"/>
    <col width="26" customWidth="1" min="3" max="3"/>
    <col width="16" customWidth="1" min="4" max="4"/>
    <col width="50" customWidth="1" min="5" max="5"/>
    <col width="18" customWidth="1" min="6" max="6"/>
    <col width="14" customWidth="1" min="7" max="7"/>
  </cols>
  <sheetData>
    <row r="1" ht="18" customHeight="1">
      <c r="A1" s="7" t="inlineStr">
        <is>
          <t>Revised Letter – Placeholder Values (Annex A)</t>
        </is>
      </c>
    </row>
    <row r="2">
      <c r="A2" s="8" t="inlineStr">
        <is>
          <t>Each placeholder in the suggested revised letter, with the question that supplies it. Enter the confirmed value exactly as it should appear in the letter.</t>
        </is>
      </c>
    </row>
    <row r="4" ht="26" customHeight="1">
      <c r="A4" s="16" t="inlineStr">
        <is>
          <t>No.</t>
        </is>
      </c>
      <c r="B4" s="16" t="inlineStr">
        <is>
          <t>Placeholder in Annex A</t>
        </is>
      </c>
      <c r="C4" s="16" t="inlineStr">
        <is>
          <t>Paragraph</t>
        </is>
      </c>
      <c r="D4" s="16" t="inlineStr">
        <is>
          <t>Source question(s)</t>
        </is>
      </c>
      <c r="E4" s="16" t="inlineStr">
        <is>
          <t>Value to insert</t>
        </is>
      </c>
      <c r="F4" s="16" t="inlineStr">
        <is>
          <t>Confirmed by</t>
        </is>
      </c>
      <c r="G4" s="16" t="inlineStr">
        <is>
          <t>Status</t>
        </is>
      </c>
    </row>
    <row r="5" ht="30" customHeight="1">
      <c r="A5" s="17" t="n">
        <v>1</v>
      </c>
      <c r="B5" s="17" t="inlineStr">
        <is>
          <t>[KU/IvE/…/2026] reference number</t>
        </is>
      </c>
      <c r="C5" s="17" t="inlineStr">
        <is>
          <t>Header</t>
        </is>
      </c>
      <c r="D5" s="17" t="inlineStr">
        <is>
          <t>IvE office</t>
        </is>
      </c>
      <c r="E5" s="23" t="n"/>
      <c r="F5" s="23" t="n"/>
      <c r="G5" s="23" t="inlineStr">
        <is>
          <t>Not started</t>
        </is>
      </c>
    </row>
    <row r="6" ht="30" customHeight="1">
      <c r="A6" s="17" t="n">
        <v>2</v>
      </c>
      <c r="B6" s="17" t="inlineStr">
        <is>
          <t>[dd Month 2026] date</t>
        </is>
      </c>
      <c r="C6" s="17" t="inlineStr">
        <is>
          <t>Header</t>
        </is>
      </c>
      <c r="D6" s="17" t="inlineStr">
        <is>
          <t>IvE office</t>
        </is>
      </c>
      <c r="E6" s="23" t="n"/>
      <c r="F6" s="23" t="n"/>
      <c r="G6" s="23" t="inlineStr">
        <is>
          <t>Not started</t>
        </is>
      </c>
    </row>
    <row r="7" ht="30" customHeight="1">
      <c r="A7" s="17" t="n">
        <v>3</v>
      </c>
      <c r="B7" s="17" t="inlineStr">
        <is>
          <t>[and assembled]</t>
        </is>
      </c>
      <c r="C7" s="17" t="inlineStr">
        <is>
          <t>Para 2 – turnaround</t>
        </is>
      </c>
      <c r="D7" s="17" t="inlineStr">
        <is>
          <t>Q2</t>
        </is>
      </c>
      <c r="E7" s="23" t="n"/>
      <c r="F7" s="23" t="n"/>
      <c r="G7" s="23" t="inlineStr">
        <is>
          <t>Not started</t>
        </is>
      </c>
    </row>
    <row r="8" ht="30" customHeight="1">
      <c r="A8" s="17" t="n">
        <v>4</v>
      </c>
      <c r="B8" s="17" t="inlineStr">
        <is>
          <t>[one to three days] phenotypic AST time</t>
        </is>
      </c>
      <c r="C8" s="17" t="inlineStr">
        <is>
          <t>Para 2 – turnaround</t>
        </is>
      </c>
      <c r="D8" s="17" t="inlineStr">
        <is>
          <t>Q2</t>
        </is>
      </c>
      <c r="E8" s="23" t="n"/>
      <c r="F8" s="23" t="n"/>
      <c r="G8" s="23" t="inlineStr">
        <is>
          <t>Not started</t>
        </is>
      </c>
    </row>
    <row r="9" ht="30" customHeight="1">
      <c r="A9" s="17" t="n">
        <v>5</v>
      </c>
      <c r="B9" s="17" t="inlineStr">
        <is>
          <t>[species] covered</t>
        </is>
      </c>
      <c r="C9" s="17" t="inlineStr">
        <is>
          <t>Para 2 – data</t>
        </is>
      </c>
      <c r="D9" s="17" t="inlineStr">
        <is>
          <t>Q1</t>
        </is>
      </c>
      <c r="E9" s="23" t="n"/>
      <c r="F9" s="23" t="n"/>
      <c r="G9" s="23" t="inlineStr">
        <is>
          <t>Not started</t>
        </is>
      </c>
    </row>
    <row r="10" ht="30" customHeight="1">
      <c r="A10" s="17" t="n">
        <v>6</v>
      </c>
      <c r="B10" s="17" t="inlineStr">
        <is>
          <t>[number] training isolates</t>
        </is>
      </c>
      <c r="C10" s="17" t="inlineStr">
        <is>
          <t>Para 2 – data</t>
        </is>
      </c>
      <c r="D10" s="17" t="inlineStr">
        <is>
          <t>Q6</t>
        </is>
      </c>
      <c r="E10" s="23" t="n"/>
      <c r="F10" s="23" t="n"/>
      <c r="G10" s="23" t="inlineStr">
        <is>
          <t>Not started</t>
        </is>
      </c>
    </row>
    <row r="11" ht="30" customHeight="1">
      <c r="A11" s="17" t="n">
        <v>7</v>
      </c>
      <c r="B11" s="17" t="inlineStr">
        <is>
          <t>[sources and countries]</t>
        </is>
      </c>
      <c r="C11" s="17" t="inlineStr">
        <is>
          <t>Para 2 – data</t>
        </is>
      </c>
      <c r="D11" s="17" t="inlineStr">
        <is>
          <t>Q5, Q7</t>
        </is>
      </c>
      <c r="E11" s="23" t="n"/>
      <c r="F11" s="23" t="n"/>
      <c r="G11" s="23" t="inlineStr">
        <is>
          <t>Not started</t>
        </is>
      </c>
    </row>
    <row r="12" ht="30" customHeight="1">
      <c r="A12" s="17" t="n">
        <v>8</v>
      </c>
      <c r="B12" s="17" t="inlineStr">
        <is>
          <t>[method and breakpoint standard]</t>
        </is>
      </c>
      <c r="C12" s="17" t="inlineStr">
        <is>
          <t>Para 2 – data</t>
        </is>
      </c>
      <c r="D12" s="17" t="inlineStr">
        <is>
          <t>Q10, Q11</t>
        </is>
      </c>
      <c r="E12" s="23" t="n"/>
      <c r="F12" s="23" t="n"/>
      <c r="G12" s="23" t="inlineStr">
        <is>
          <t>Not started</t>
        </is>
      </c>
    </row>
    <row r="13" ht="30" customHeight="1">
      <c r="A13" s="17" t="n">
        <v>9</v>
      </c>
      <c r="B13" s="17" t="inlineStr">
        <is>
          <t>[n] test-set isolates</t>
        </is>
      </c>
      <c r="C13" s="17" t="inlineStr">
        <is>
          <t>Para 3 – results</t>
        </is>
      </c>
      <c r="D13" s="17" t="inlineStr">
        <is>
          <t>Q18</t>
        </is>
      </c>
      <c r="E13" s="23" t="n"/>
      <c r="F13" s="23" t="n"/>
      <c r="G13" s="23" t="inlineStr">
        <is>
          <t>Not started</t>
        </is>
      </c>
    </row>
    <row r="14" ht="30" customHeight="1">
      <c r="A14" s="17" t="n">
        <v>10</v>
      </c>
      <c r="B14" s="17" t="inlineStr">
        <is>
          <t>[in which genetically related isolates were kept together]</t>
        </is>
      </c>
      <c r="C14" s="17" t="inlineStr">
        <is>
          <t>Para 3 – results</t>
        </is>
      </c>
      <c r="D14" s="17" t="inlineStr">
        <is>
          <t>Q19</t>
        </is>
      </c>
      <c r="E14" s="23" t="n"/>
      <c r="F14" s="23" t="n"/>
      <c r="G14" s="23" t="inlineStr">
        <is>
          <t>Not started</t>
        </is>
      </c>
    </row>
    <row r="15" ht="30" customHeight="1">
      <c r="A15" s="17" t="n">
        <v>11</v>
      </c>
      <c r="B15" s="17" t="inlineStr">
        <is>
          <t>Meropenem [(95% CI …)], sensitivity […], specificity […]</t>
        </is>
      </c>
      <c r="C15" s="17" t="inlineStr">
        <is>
          <t>Para 3 – results</t>
        </is>
      </c>
      <c r="D15" s="17" t="inlineStr">
        <is>
          <t>Q24</t>
        </is>
      </c>
      <c r="E15" s="23" t="n"/>
      <c r="F15" s="23" t="n"/>
      <c r="G15" s="23" t="inlineStr">
        <is>
          <t>Not started</t>
        </is>
      </c>
    </row>
    <row r="16" ht="30" customHeight="1">
      <c r="A16" s="17" t="n">
        <v>12</v>
      </c>
      <c r="B16" s="17" t="inlineStr">
        <is>
          <t>Ciprofloxacin ROC-AUC […]</t>
        </is>
      </c>
      <c r="C16" s="17" t="inlineStr">
        <is>
          <t>Para 3 – results</t>
        </is>
      </c>
      <c r="D16" s="17" t="inlineStr">
        <is>
          <t>Q23</t>
        </is>
      </c>
      <c r="E16" s="23" t="n"/>
      <c r="F16" s="23" t="n"/>
      <c r="G16" s="23" t="inlineStr">
        <is>
          <t>Not started</t>
        </is>
      </c>
    </row>
    <row r="17" ht="30" customHeight="1">
      <c r="A17" s="17" t="n">
        <v>13</v>
      </c>
      <c r="B17" s="17" t="inlineStr">
        <is>
          <t>Cefotaxime ROC-AUC […]</t>
        </is>
      </c>
      <c r="C17" s="17" t="inlineStr">
        <is>
          <t>Para 3 – results</t>
        </is>
      </c>
      <c r="D17" s="17" t="inlineStr">
        <is>
          <t>Q23</t>
        </is>
      </c>
      <c r="E17" s="23" t="n"/>
      <c r="F17" s="23" t="n"/>
      <c r="G17" s="23" t="inlineStr">
        <is>
          <t>Not started</t>
        </is>
      </c>
    </row>
    <row r="18" ht="30" customHeight="1">
      <c r="A18" s="17" t="n">
        <v>14</v>
      </c>
      <c r="B18" s="17" t="inlineStr">
        <is>
          <t>[On an independent dataset of n isolates from …, performance was …]</t>
        </is>
      </c>
      <c r="C18" s="17" t="inlineStr">
        <is>
          <t>Para 3 – results</t>
        </is>
      </c>
      <c r="D18" s="17" t="inlineStr">
        <is>
          <t>Q27</t>
        </is>
      </c>
      <c r="E18" s="23" t="n"/>
      <c r="F18" s="23" t="n"/>
      <c r="G18" s="23" t="inlineStr">
        <is>
          <t>Not started</t>
        </is>
      </c>
    </row>
    <row r="19" ht="30" customHeight="1">
      <c r="A19" s="17" t="n">
        <v>15</v>
      </c>
      <c r="B19" s="17" t="inlineStr">
        <is>
          <t>[largely from outside Kenya]</t>
        </is>
      </c>
      <c r="C19" s="17" t="inlineStr">
        <is>
          <t>Para 5 – requests</t>
        </is>
      </c>
      <c r="D19" s="17" t="inlineStr">
        <is>
          <t>Q7, Q28</t>
        </is>
      </c>
      <c r="E19" s="23" t="n"/>
      <c r="F19" s="23" t="n"/>
      <c r="G19" s="23" t="inlineStr">
        <is>
          <t>Not started</t>
        </is>
      </c>
    </row>
    <row r="20" ht="30" customHeight="1">
      <c r="A20" s="17" t="n">
        <v>16</v>
      </c>
      <c r="B20" s="17" t="inlineStr">
        <is>
          <t>[host and process any shared data in accordance with agreed safeguards]</t>
        </is>
      </c>
      <c r="C20" s="17" t="inlineStr">
        <is>
          <t>Para 6 – governance</t>
        </is>
      </c>
      <c r="D20" s="17" t="inlineStr">
        <is>
          <t>Q32, Q33</t>
        </is>
      </c>
      <c r="E20" s="23" t="n"/>
      <c r="F20" s="23" t="n"/>
      <c r="G20" s="23" t="inlineStr">
        <is>
          <t>Not started</t>
        </is>
      </c>
    </row>
    <row r="21" ht="30" customHeight="1">
      <c r="A21" s="17" t="n">
        <v>17</v>
      </c>
      <c r="B21" s="17" t="inlineStr">
        <is>
          <t>[Name] and [Title] of signatory</t>
        </is>
      </c>
      <c r="C21" s="17" t="inlineStr">
        <is>
          <t>Signature block</t>
        </is>
      </c>
      <c r="D21" s="17" t="inlineStr">
        <is>
          <t>IvE office</t>
        </is>
      </c>
      <c r="E21" s="23" t="n"/>
      <c r="F21" s="23" t="n"/>
      <c r="G21" s="23" t="inlineStr">
        <is>
          <t>Not started</t>
        </is>
      </c>
    </row>
  </sheetData>
  <conditionalFormatting sqref="G5:G21">
    <cfRule type="cellIs" priority="2" operator="equal" dxfId="2">
      <formula>"Complete"</formula>
    </cfRule>
    <cfRule type="cellIs" priority="3" operator="equal" dxfId="1">
      <formula>"In progress"</formula>
    </cfRule>
    <cfRule type="cellIs" priority="4" operator="equal" dxfId="0">
      <formula>"Not yet done"</formula>
    </cfRule>
  </conditionalFormatting>
  <pageMargins left="0.75" right="0.75" top="1" bottom="1" header="0.511811023622047" footer="0.511811023622047"/>
  <pageSetup orientation="landscape" paperSize="9" fitToHeight="0" horizontalDpi="300" verticalDpi="300"/>
</worksheet>
</file>

<file path=xl/worksheets/sheet5.xml><?xml version="1.0" encoding="utf-8"?>
<worksheet xmlns="http://schemas.openxmlformats.org/spreadsheetml/2006/main">
  <sheetPr>
    <outlinePr summaryBelow="1" summaryRight="1"/>
    <pageSetUpPr fitToPage="1"/>
  </sheetPr>
  <dimension ref="A1:Z3004"/>
  <sheetViews>
    <sheetView showGridLines="0"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328125" defaultRowHeight="14.5"/>
  <cols>
    <col width="14" customWidth="1" min="1" max="1"/>
    <col width="16" customWidth="1" min="2" max="2"/>
    <col width="15" customWidth="1" min="3" max="3"/>
    <col width="17" customWidth="1" min="4" max="5"/>
    <col width="18" customWidth="1" min="6" max="6"/>
    <col width="22" customWidth="1" min="7" max="7"/>
    <col width="12" customWidth="1" min="8" max="8"/>
    <col width="10" customWidth="1" min="9" max="9"/>
    <col width="12" customWidth="1" min="10" max="10"/>
    <col width="18" customWidth="1" min="11" max="11"/>
    <col width="12" customWidth="1" min="12" max="12"/>
    <col width="11" customWidth="1" min="13" max="14"/>
    <col width="10" customWidth="1" min="15" max="15"/>
    <col width="11" customWidth="1" min="16" max="16"/>
    <col width="10" customWidth="1" min="17" max="17"/>
    <col width="11" customWidth="1" min="18" max="18"/>
    <col width="10" customWidth="1" min="19" max="20"/>
    <col width="15" customWidth="1" min="21" max="21"/>
    <col width="18" customWidth="1" min="22" max="22"/>
    <col width="12" customWidth="1" min="23" max="23"/>
    <col width="14" customWidth="1" min="24" max="24"/>
    <col width="15" customWidth="1" min="25" max="25"/>
    <col width="28" customWidth="1" min="26" max="26"/>
  </cols>
  <sheetData>
    <row r="1" ht="18" customHeight="1">
      <c r="A1" s="7" t="inlineStr">
        <is>
          <t>Master Isolate Table</t>
        </is>
      </c>
    </row>
    <row r="2">
      <c r="A2" s="8" t="inlineStr">
        <is>
          <t>One row per isolate. Row 5 is an example (partition "Excluded" so it is not counted) – overwrite it with real data. Checks in columns W–Y run automatically.</t>
        </is>
      </c>
    </row>
    <row r="4" ht="42" customHeight="1">
      <c r="A4" s="16" t="inlineStr">
        <is>
          <t>Isolate ID</t>
        </is>
      </c>
      <c r="B4" s="16" t="inlineStr">
        <is>
          <t>BioSample accession</t>
        </is>
      </c>
      <c r="C4" s="16" t="inlineStr">
        <is>
          <t>SRA run accession</t>
        </is>
      </c>
      <c r="D4" s="16" t="inlineStr">
        <is>
          <t>Assembly accession</t>
        </is>
      </c>
      <c r="E4" s="16" t="inlineStr">
        <is>
          <t>Source database</t>
        </is>
      </c>
      <c r="F4" s="16" t="inlineStr">
        <is>
          <t>Dataset / BioProject</t>
        </is>
      </c>
      <c r="G4" s="16" t="inlineStr">
        <is>
          <t>Species</t>
        </is>
      </c>
      <c r="H4" s="16" t="inlineStr">
        <is>
          <t>Country</t>
        </is>
      </c>
      <c r="I4" s="16" t="inlineStr">
        <is>
          <t>Collection year</t>
        </is>
      </c>
      <c r="J4" s="16" t="inlineStr">
        <is>
          <t>Sample source</t>
        </is>
      </c>
      <c r="K4" s="16" t="inlineStr">
        <is>
          <t>AST method</t>
        </is>
      </c>
      <c r="L4" s="16" t="inlineStr">
        <is>
          <t>Breakpoint standard</t>
        </is>
      </c>
      <c r="M4" s="16" t="inlineStr">
        <is>
          <t>Breakpoint version</t>
        </is>
      </c>
      <c r="N4" s="16" t="inlineStr">
        <is>
          <t>Meropenem MIC (mg/L)</t>
        </is>
      </c>
      <c r="O4" s="16" t="inlineStr">
        <is>
          <t>Meropenem S/I/R</t>
        </is>
      </c>
      <c r="P4" s="16" t="inlineStr">
        <is>
          <t>Ciprofloxacin MIC (mg/L)</t>
        </is>
      </c>
      <c r="Q4" s="16" t="inlineStr">
        <is>
          <t>Ciprofloxacin S/I/R</t>
        </is>
      </c>
      <c r="R4" s="16" t="inlineStr">
        <is>
          <t>Cefotaxime MIC (mg/L)</t>
        </is>
      </c>
      <c r="S4" s="16" t="inlineStr">
        <is>
          <t>Cefotaxime S/I/R</t>
        </is>
      </c>
      <c r="T4" s="16" t="inlineStr">
        <is>
          <t>Genome QC pass</t>
        </is>
      </c>
      <c r="U4" s="16" t="inlineStr">
        <is>
          <t>SNP cluster / ST</t>
        </is>
      </c>
      <c r="V4" s="16" t="inlineStr">
        <is>
          <t>Partition</t>
        </is>
      </c>
      <c r="W4" s="16" t="inlineStr">
        <is>
          <t>Kenyan isolate (auto)</t>
        </is>
      </c>
      <c r="X4" s="16" t="inlineStr">
        <is>
          <t>Duplicate check (auto)</t>
        </is>
      </c>
      <c r="Y4" s="16" t="inlineStr">
        <is>
          <t>Cluster leakage check (auto)</t>
        </is>
      </c>
      <c r="Z4" s="16" t="inlineStr">
        <is>
          <t>Notes</t>
        </is>
      </c>
    </row>
    <row r="5">
      <c r="A5" s="26" t="inlineStr">
        <is>
          <t>EXAMPLE-001</t>
        </is>
      </c>
      <c r="B5" s="26" t="inlineStr">
        <is>
          <t>SAMN00000000</t>
        </is>
      </c>
      <c r="C5" s="26" t="inlineStr">
        <is>
          <t>SRR0000000</t>
        </is>
      </c>
      <c r="D5" s="26" t="inlineStr">
        <is>
          <t>GCA_000000000.1</t>
        </is>
      </c>
      <c r="E5" s="26" t="inlineStr">
        <is>
          <t>NCBI AST Browser</t>
        </is>
      </c>
      <c r="F5" s="26" t="inlineStr">
        <is>
          <t>PRJNA000000</t>
        </is>
      </c>
      <c r="G5" s="26" t="inlineStr">
        <is>
          <t>Klebsiella pneumoniae</t>
        </is>
      </c>
      <c r="H5" s="26" t="inlineStr">
        <is>
          <t>Kenya</t>
        </is>
      </c>
      <c r="I5" s="27" t="inlineStr">
        <is>
          <t>2019</t>
        </is>
      </c>
      <c r="J5" s="26" t="inlineStr">
        <is>
          <t>Clinical</t>
        </is>
      </c>
      <c r="K5" s="26" t="inlineStr">
        <is>
          <t>Broth microdilution</t>
        </is>
      </c>
      <c r="L5" s="26" t="inlineStr">
        <is>
          <t>CLSI</t>
        </is>
      </c>
      <c r="M5" s="26" t="inlineStr">
        <is>
          <t>M100 Ed34 (2024)</t>
        </is>
      </c>
      <c r="N5" s="28" t="n">
        <v>8</v>
      </c>
      <c r="O5" s="26" t="inlineStr">
        <is>
          <t>R</t>
        </is>
      </c>
      <c r="P5" s="28" t="n">
        <v>4</v>
      </c>
      <c r="Q5" s="26" t="inlineStr">
        <is>
          <t>R</t>
        </is>
      </c>
      <c r="R5" s="28" t="n">
        <v>64</v>
      </c>
      <c r="S5" s="26" t="inlineStr">
        <is>
          <t>R</t>
        </is>
      </c>
      <c r="T5" s="26" t="inlineStr">
        <is>
          <t>Yes</t>
        </is>
      </c>
      <c r="U5" s="26" t="inlineStr">
        <is>
          <t>ST147</t>
        </is>
      </c>
      <c r="V5" s="26" t="inlineStr">
        <is>
          <t>Excluded</t>
        </is>
      </c>
      <c r="W5" s="29">
        <f>IF(H5="","",IF(H5="Kenya","Yes","No"))</f>
        <v/>
      </c>
      <c r="X5" s="29">
        <f>IF(B5="","",IF(COUNTIF($B$5:$B$3004,B5)&gt;1,"DUPLICATE","OK"))</f>
        <v/>
      </c>
      <c r="Y5" s="29">
        <f>IF(OR(U5="",V5="",V5="Excluded"),"",IF(COUNTIFS($U$5:$U$3004,U5,$V$5:$V$3004,"&lt;&gt;"&amp;V5,$V$5:$V$3004,"&lt;&gt;",$V$5:$V$3004,"&lt;&gt;Excluded")&gt;0,"LEAK RISK","OK"))</f>
        <v/>
      </c>
      <c r="Z5" s="26" t="inlineStr">
        <is>
          <t>Example only – fictitious accessions</t>
        </is>
      </c>
    </row>
    <row r="6">
      <c r="A6" s="30" t="n"/>
      <c r="B6" s="30" t="n"/>
      <c r="C6" s="30" t="n"/>
      <c r="D6" s="30" t="n"/>
      <c r="E6" s="30" t="n"/>
      <c r="F6" s="30" t="n"/>
      <c r="G6" s="30" t="n"/>
      <c r="H6" s="30" t="n"/>
      <c r="I6" s="31" t="n"/>
      <c r="J6" s="30" t="n"/>
      <c r="K6" s="30" t="n"/>
      <c r="L6" s="30" t="n"/>
      <c r="M6" s="30" t="n"/>
      <c r="N6" s="32" t="n"/>
      <c r="O6" s="30" t="n"/>
      <c r="P6" s="32" t="n"/>
      <c r="Q6" s="30" t="n"/>
      <c r="R6" s="32" t="n"/>
      <c r="S6" s="30" t="n"/>
      <c r="T6" s="30" t="n"/>
      <c r="U6" s="30" t="n"/>
      <c r="V6" s="30" t="n"/>
      <c r="W6" s="29">
        <f>IF(H6="","",IF(H6="Kenya","Yes","No"))</f>
        <v/>
      </c>
      <c r="X6" s="29">
        <f>IF(B6="","",IF(COUNTIF($B$5:$B$3004,B6)&gt;1,"DUPLICATE","OK"))</f>
        <v/>
      </c>
      <c r="Y6" s="29">
        <f>IF(OR(U6="",V6="",V6="Excluded"),"",IF(COUNTIFS($U$5:$U$3004,U6,$V$5:$V$3004,"&lt;&gt;"&amp;V6,$V$5:$V$3004,"&lt;&gt;",$V$5:$V$3004,"&lt;&gt;Excluded")&gt;0,"LEAK RISK","OK"))</f>
        <v/>
      </c>
      <c r="Z6" s="30" t="n"/>
    </row>
    <row r="7">
      <c r="A7" s="30" t="n"/>
      <c r="B7" s="30" t="n"/>
      <c r="C7" s="30" t="n"/>
      <c r="D7" s="30" t="n"/>
      <c r="E7" s="30" t="n"/>
      <c r="F7" s="30" t="n"/>
      <c r="G7" s="30" t="n"/>
      <c r="H7" s="30" t="n"/>
      <c r="I7" s="31" t="n"/>
      <c r="J7" s="30" t="n"/>
      <c r="K7" s="30" t="n"/>
      <c r="L7" s="30" t="n"/>
      <c r="M7" s="30" t="n"/>
      <c r="N7" s="32" t="n"/>
      <c r="O7" s="30" t="n"/>
      <c r="P7" s="32" t="n"/>
      <c r="Q7" s="30" t="n"/>
      <c r="R7" s="32" t="n"/>
      <c r="S7" s="30" t="n"/>
      <c r="T7" s="30" t="n"/>
      <c r="U7" s="30" t="n"/>
      <c r="V7" s="30" t="n"/>
      <c r="W7" s="29">
        <f>IF(H7="","",IF(H7="Kenya","Yes","No"))</f>
        <v/>
      </c>
      <c r="X7" s="29">
        <f>IF(B7="","",IF(COUNTIF($B$5:$B$3004,B7)&gt;1,"DUPLICATE","OK"))</f>
        <v/>
      </c>
      <c r="Y7" s="29">
        <f>IF(OR(U7="",V7="",V7="Excluded"),"",IF(COUNTIFS($U$5:$U$3004,U7,$V$5:$V$3004,"&lt;&gt;"&amp;V7,$V$5:$V$3004,"&lt;&gt;",$V$5:$V$3004,"&lt;&gt;Excluded")&gt;0,"LEAK RISK","OK"))</f>
        <v/>
      </c>
      <c r="Z7" s="30" t="n"/>
    </row>
    <row r="8">
      <c r="A8" s="30" t="n"/>
      <c r="B8" s="30" t="n"/>
      <c r="C8" s="30" t="n"/>
      <c r="D8" s="30" t="n"/>
      <c r="E8" s="30" t="n"/>
      <c r="F8" s="30" t="n"/>
      <c r="G8" s="30" t="n"/>
      <c r="H8" s="30" t="n"/>
      <c r="I8" s="31" t="n"/>
      <c r="J8" s="30" t="n"/>
      <c r="K8" s="30" t="n"/>
      <c r="L8" s="30" t="n"/>
      <c r="M8" s="30" t="n"/>
      <c r="N8" s="32" t="n"/>
      <c r="O8" s="30" t="n"/>
      <c r="P8" s="32" t="n"/>
      <c r="Q8" s="30" t="n"/>
      <c r="R8" s="32" t="n"/>
      <c r="S8" s="30" t="n"/>
      <c r="T8" s="30" t="n"/>
      <c r="U8" s="30" t="n"/>
      <c r="V8" s="30" t="n"/>
      <c r="W8" s="29">
        <f>IF(H8="","",IF(H8="Kenya","Yes","No"))</f>
        <v/>
      </c>
      <c r="X8" s="29">
        <f>IF(B8="","",IF(COUNTIF($B$5:$B$3004,B8)&gt;1,"DUPLICATE","OK"))</f>
        <v/>
      </c>
      <c r="Y8" s="29">
        <f>IF(OR(U8="",V8="",V8="Excluded"),"",IF(COUNTIFS($U$5:$U$3004,U8,$V$5:$V$3004,"&lt;&gt;"&amp;V8,$V$5:$V$3004,"&lt;&gt;",$V$5:$V$3004,"&lt;&gt;Excluded")&gt;0,"LEAK RISK","OK"))</f>
        <v/>
      </c>
      <c r="Z8" s="30" t="n"/>
    </row>
    <row r="9">
      <c r="A9" s="30" t="n"/>
      <c r="B9" s="30" t="n"/>
      <c r="C9" s="30" t="n"/>
      <c r="D9" s="30" t="n"/>
      <c r="E9" s="30" t="n"/>
      <c r="F9" s="30" t="n"/>
      <c r="G9" s="30" t="n"/>
      <c r="H9" s="30" t="n"/>
      <c r="I9" s="31" t="n"/>
      <c r="J9" s="30" t="n"/>
      <c r="K9" s="30" t="n"/>
      <c r="L9" s="30" t="n"/>
      <c r="M9" s="30" t="n"/>
      <c r="N9" s="32" t="n"/>
      <c r="O9" s="30" t="n"/>
      <c r="P9" s="32" t="n"/>
      <c r="Q9" s="30" t="n"/>
      <c r="R9" s="32" t="n"/>
      <c r="S9" s="30" t="n"/>
      <c r="T9" s="30" t="n"/>
      <c r="U9" s="30" t="n"/>
      <c r="V9" s="30" t="n"/>
      <c r="W9" s="29">
        <f>IF(H9="","",IF(H9="Kenya","Yes","No"))</f>
        <v/>
      </c>
      <c r="X9" s="29">
        <f>IF(B9="","",IF(COUNTIF($B$5:$B$3004,B9)&gt;1,"DUPLICATE","OK"))</f>
        <v/>
      </c>
      <c r="Y9" s="29">
        <f>IF(OR(U9="",V9="",V9="Excluded"),"",IF(COUNTIFS($U$5:$U$3004,U9,$V$5:$V$3004,"&lt;&gt;"&amp;V9,$V$5:$V$3004,"&lt;&gt;",$V$5:$V$3004,"&lt;&gt;Excluded")&gt;0,"LEAK RISK","OK"))</f>
        <v/>
      </c>
      <c r="Z9" s="30" t="n"/>
    </row>
    <row r="10">
      <c r="A10" s="30" t="n"/>
      <c r="B10" s="30" t="n"/>
      <c r="C10" s="30" t="n"/>
      <c r="D10" s="30" t="n"/>
      <c r="E10" s="30" t="n"/>
      <c r="F10" s="30" t="n"/>
      <c r="G10" s="30" t="n"/>
      <c r="H10" s="30" t="n"/>
      <c r="I10" s="31" t="n"/>
      <c r="J10" s="30" t="n"/>
      <c r="K10" s="30" t="n"/>
      <c r="L10" s="30" t="n"/>
      <c r="M10" s="30" t="n"/>
      <c r="N10" s="32" t="n"/>
      <c r="O10" s="30" t="n"/>
      <c r="P10" s="32" t="n"/>
      <c r="Q10" s="30" t="n"/>
      <c r="R10" s="32" t="n"/>
      <c r="S10" s="30" t="n"/>
      <c r="T10" s="30" t="n"/>
      <c r="U10" s="30" t="n"/>
      <c r="V10" s="30" t="n"/>
      <c r="W10" s="29">
        <f>IF(H10="","",IF(H10="Kenya","Yes","No"))</f>
        <v/>
      </c>
      <c r="X10" s="29">
        <f>IF(B10="","",IF(COUNTIF($B$5:$B$3004,B10)&gt;1,"DUPLICATE","OK"))</f>
        <v/>
      </c>
      <c r="Y10" s="29">
        <f>IF(OR(U10="",V10="",V10="Excluded"),"",IF(COUNTIFS($U$5:$U$3004,U10,$V$5:$V$3004,"&lt;&gt;"&amp;V10,$V$5:$V$3004,"&lt;&gt;",$V$5:$V$3004,"&lt;&gt;Excluded")&gt;0,"LEAK RISK","OK"))</f>
        <v/>
      </c>
      <c r="Z10" s="30" t="n"/>
    </row>
    <row r="11">
      <c r="A11" s="30" t="n"/>
      <c r="B11" s="30" t="n"/>
      <c r="C11" s="30" t="n"/>
      <c r="D11" s="30" t="n"/>
      <c r="E11" s="30" t="n"/>
      <c r="F11" s="30" t="n"/>
      <c r="G11" s="30" t="n"/>
      <c r="H11" s="30" t="n"/>
      <c r="I11" s="31" t="n"/>
      <c r="J11" s="30" t="n"/>
      <c r="K11" s="30" t="n"/>
      <c r="L11" s="30" t="n"/>
      <c r="M11" s="30" t="n"/>
      <c r="N11" s="32" t="n"/>
      <c r="O11" s="30" t="n"/>
      <c r="P11" s="32" t="n"/>
      <c r="Q11" s="30" t="n"/>
      <c r="R11" s="32" t="n"/>
      <c r="S11" s="30" t="n"/>
      <c r="T11" s="30" t="n"/>
      <c r="U11" s="30" t="n"/>
      <c r="V11" s="30" t="n"/>
      <c r="W11" s="29">
        <f>IF(H11="","",IF(H11="Kenya","Yes","No"))</f>
        <v/>
      </c>
      <c r="X11" s="29">
        <f>IF(B11="","",IF(COUNTIF($B$5:$B$3004,B11)&gt;1,"DUPLICATE","OK"))</f>
        <v/>
      </c>
      <c r="Y11" s="29">
        <f>IF(OR(U11="",V11="",V11="Excluded"),"",IF(COUNTIFS($U$5:$U$3004,U11,$V$5:$V$3004,"&lt;&gt;"&amp;V11,$V$5:$V$3004,"&lt;&gt;",$V$5:$V$3004,"&lt;&gt;Excluded")&gt;0,"LEAK RISK","OK"))</f>
        <v/>
      </c>
      <c r="Z11" s="30" t="n"/>
    </row>
    <row r="12">
      <c r="A12" s="30" t="n"/>
      <c r="B12" s="30" t="n"/>
      <c r="C12" s="30" t="n"/>
      <c r="D12" s="30" t="n"/>
      <c r="E12" s="30" t="n"/>
      <c r="F12" s="30" t="n"/>
      <c r="G12" s="30" t="n"/>
      <c r="H12" s="30" t="n"/>
      <c r="I12" s="31" t="n"/>
      <c r="J12" s="30" t="n"/>
      <c r="K12" s="30" t="n"/>
      <c r="L12" s="30" t="n"/>
      <c r="M12" s="30" t="n"/>
      <c r="N12" s="32" t="n"/>
      <c r="O12" s="30" t="n"/>
      <c r="P12" s="32" t="n"/>
      <c r="Q12" s="30" t="n"/>
      <c r="R12" s="32" t="n"/>
      <c r="S12" s="30" t="n"/>
      <c r="T12" s="30" t="n"/>
      <c r="U12" s="30" t="n"/>
      <c r="V12" s="30" t="n"/>
      <c r="W12" s="29">
        <f>IF(H12="","",IF(H12="Kenya","Yes","No"))</f>
        <v/>
      </c>
      <c r="X12" s="29">
        <f>IF(B12="","",IF(COUNTIF($B$5:$B$3004,B12)&gt;1,"DUPLICATE","OK"))</f>
        <v/>
      </c>
      <c r="Y12" s="29">
        <f>IF(OR(U12="",V12="",V12="Excluded"),"",IF(COUNTIFS($U$5:$U$3004,U12,$V$5:$V$3004,"&lt;&gt;"&amp;V12,$V$5:$V$3004,"&lt;&gt;",$V$5:$V$3004,"&lt;&gt;Excluded")&gt;0,"LEAK RISK","OK"))</f>
        <v/>
      </c>
      <c r="Z12" s="30" t="n"/>
    </row>
    <row r="13">
      <c r="A13" s="30" t="n"/>
      <c r="B13" s="30" t="n"/>
      <c r="C13" s="30" t="n"/>
      <c r="D13" s="30" t="n"/>
      <c r="E13" s="30" t="n"/>
      <c r="F13" s="30" t="n"/>
      <c r="G13" s="30" t="n"/>
      <c r="H13" s="30" t="n"/>
      <c r="I13" s="31" t="n"/>
      <c r="J13" s="30" t="n"/>
      <c r="K13" s="30" t="n"/>
      <c r="L13" s="30" t="n"/>
      <c r="M13" s="30" t="n"/>
      <c r="N13" s="32" t="n"/>
      <c r="O13" s="30" t="n"/>
      <c r="P13" s="32" t="n"/>
      <c r="Q13" s="30" t="n"/>
      <c r="R13" s="32" t="n"/>
      <c r="S13" s="30" t="n"/>
      <c r="T13" s="30" t="n"/>
      <c r="U13" s="30" t="n"/>
      <c r="V13" s="30" t="n"/>
      <c r="W13" s="29">
        <f>IF(H13="","",IF(H13="Kenya","Yes","No"))</f>
        <v/>
      </c>
      <c r="X13" s="29">
        <f>IF(B13="","",IF(COUNTIF($B$5:$B$3004,B13)&gt;1,"DUPLICATE","OK"))</f>
        <v/>
      </c>
      <c r="Y13" s="29">
        <f>IF(OR(U13="",V13="",V13="Excluded"),"",IF(COUNTIFS($U$5:$U$3004,U13,$V$5:$V$3004,"&lt;&gt;"&amp;V13,$V$5:$V$3004,"&lt;&gt;",$V$5:$V$3004,"&lt;&gt;Excluded")&gt;0,"LEAK RISK","OK"))</f>
        <v/>
      </c>
      <c r="Z13" s="30" t="n"/>
    </row>
    <row r="14">
      <c r="A14" s="30" t="n"/>
      <c r="B14" s="30" t="n"/>
      <c r="C14" s="30" t="n"/>
      <c r="D14" s="30" t="n"/>
      <c r="E14" s="30" t="n"/>
      <c r="F14" s="30" t="n"/>
      <c r="G14" s="30" t="n"/>
      <c r="H14" s="30" t="n"/>
      <c r="I14" s="31" t="n"/>
      <c r="J14" s="30" t="n"/>
      <c r="K14" s="30" t="n"/>
      <c r="L14" s="30" t="n"/>
      <c r="M14" s="30" t="n"/>
      <c r="N14" s="32" t="n"/>
      <c r="O14" s="30" t="n"/>
      <c r="P14" s="32" t="n"/>
      <c r="Q14" s="30" t="n"/>
      <c r="R14" s="32" t="n"/>
      <c r="S14" s="30" t="n"/>
      <c r="T14" s="30" t="n"/>
      <c r="U14" s="30" t="n"/>
      <c r="V14" s="30" t="n"/>
      <c r="W14" s="29">
        <f>IF(H14="","",IF(H14="Kenya","Yes","No"))</f>
        <v/>
      </c>
      <c r="X14" s="29">
        <f>IF(B14="","",IF(COUNTIF($B$5:$B$3004,B14)&gt;1,"DUPLICATE","OK"))</f>
        <v/>
      </c>
      <c r="Y14" s="29">
        <f>IF(OR(U14="",V14="",V14="Excluded"),"",IF(COUNTIFS($U$5:$U$3004,U14,$V$5:$V$3004,"&lt;&gt;"&amp;V14,$V$5:$V$3004,"&lt;&gt;",$V$5:$V$3004,"&lt;&gt;Excluded")&gt;0,"LEAK RISK","OK"))</f>
        <v/>
      </c>
      <c r="Z14" s="30" t="n"/>
    </row>
    <row r="15">
      <c r="A15" s="30" t="n"/>
      <c r="B15" s="30" t="n"/>
      <c r="C15" s="30" t="n"/>
      <c r="D15" s="30" t="n"/>
      <c r="E15" s="30" t="n"/>
      <c r="F15" s="30" t="n"/>
      <c r="G15" s="30" t="n"/>
      <c r="H15" s="30" t="n"/>
      <c r="I15" s="31" t="n"/>
      <c r="J15" s="30" t="n"/>
      <c r="K15" s="30" t="n"/>
      <c r="L15" s="30" t="n"/>
      <c r="M15" s="30" t="n"/>
      <c r="N15" s="32" t="n"/>
      <c r="O15" s="30" t="n"/>
      <c r="P15" s="32" t="n"/>
      <c r="Q15" s="30" t="n"/>
      <c r="R15" s="32" t="n"/>
      <c r="S15" s="30" t="n"/>
      <c r="T15" s="30" t="n"/>
      <c r="U15" s="30" t="n"/>
      <c r="V15" s="30" t="n"/>
      <c r="W15" s="29">
        <f>IF(H15="","",IF(H15="Kenya","Yes","No"))</f>
        <v/>
      </c>
      <c r="X15" s="29">
        <f>IF(B15="","",IF(COUNTIF($B$5:$B$3004,B15)&gt;1,"DUPLICATE","OK"))</f>
        <v/>
      </c>
      <c r="Y15" s="29">
        <f>IF(OR(U15="",V15="",V15="Excluded"),"",IF(COUNTIFS($U$5:$U$3004,U15,$V$5:$V$3004,"&lt;&gt;"&amp;V15,$V$5:$V$3004,"&lt;&gt;",$V$5:$V$3004,"&lt;&gt;Excluded")&gt;0,"LEAK RISK","OK"))</f>
        <v/>
      </c>
      <c r="Z15" s="30" t="n"/>
    </row>
    <row r="16">
      <c r="A16" s="30" t="n"/>
      <c r="B16" s="30" t="n"/>
      <c r="C16" s="30" t="n"/>
      <c r="D16" s="30" t="n"/>
      <c r="E16" s="30" t="n"/>
      <c r="F16" s="30" t="n"/>
      <c r="G16" s="30" t="n"/>
      <c r="H16" s="30" t="n"/>
      <c r="I16" s="31" t="n"/>
      <c r="J16" s="30" t="n"/>
      <c r="K16" s="30" t="n"/>
      <c r="L16" s="30" t="n"/>
      <c r="M16" s="30" t="n"/>
      <c r="N16" s="32" t="n"/>
      <c r="O16" s="30" t="n"/>
      <c r="P16" s="32" t="n"/>
      <c r="Q16" s="30" t="n"/>
      <c r="R16" s="32" t="n"/>
      <c r="S16" s="30" t="n"/>
      <c r="T16" s="30" t="n"/>
      <c r="U16" s="30" t="n"/>
      <c r="V16" s="30" t="n"/>
      <c r="W16" s="29">
        <f>IF(H16="","",IF(H16="Kenya","Yes","No"))</f>
        <v/>
      </c>
      <c r="X16" s="29">
        <f>IF(B16="","",IF(COUNTIF($B$5:$B$3004,B16)&gt;1,"DUPLICATE","OK"))</f>
        <v/>
      </c>
      <c r="Y16" s="29">
        <f>IF(OR(U16="",V16="",V16="Excluded"),"",IF(COUNTIFS($U$5:$U$3004,U16,$V$5:$V$3004,"&lt;&gt;"&amp;V16,$V$5:$V$3004,"&lt;&gt;",$V$5:$V$3004,"&lt;&gt;Excluded")&gt;0,"LEAK RISK","OK"))</f>
        <v/>
      </c>
      <c r="Z16" s="30" t="n"/>
    </row>
    <row r="17">
      <c r="A17" s="30" t="n"/>
      <c r="B17" s="30" t="n"/>
      <c r="C17" s="30" t="n"/>
      <c r="D17" s="30" t="n"/>
      <c r="E17" s="30" t="n"/>
      <c r="F17" s="30" t="n"/>
      <c r="G17" s="30" t="n"/>
      <c r="H17" s="30" t="n"/>
      <c r="I17" s="31" t="n"/>
      <c r="J17" s="30" t="n"/>
      <c r="K17" s="30" t="n"/>
      <c r="L17" s="30" t="n"/>
      <c r="M17" s="30" t="n"/>
      <c r="N17" s="32" t="n"/>
      <c r="O17" s="30" t="n"/>
      <c r="P17" s="32" t="n"/>
      <c r="Q17" s="30" t="n"/>
      <c r="R17" s="32" t="n"/>
      <c r="S17" s="30" t="n"/>
      <c r="T17" s="30" t="n"/>
      <c r="U17" s="30" t="n"/>
      <c r="V17" s="30" t="n"/>
      <c r="W17" s="29">
        <f>IF(H17="","",IF(H17="Kenya","Yes","No"))</f>
        <v/>
      </c>
      <c r="X17" s="29">
        <f>IF(B17="","",IF(COUNTIF($B$5:$B$3004,B17)&gt;1,"DUPLICATE","OK"))</f>
        <v/>
      </c>
      <c r="Y17" s="29">
        <f>IF(OR(U17="",V17="",V17="Excluded"),"",IF(COUNTIFS($U$5:$U$3004,U17,$V$5:$V$3004,"&lt;&gt;"&amp;V17,$V$5:$V$3004,"&lt;&gt;",$V$5:$V$3004,"&lt;&gt;Excluded")&gt;0,"LEAK RISK","OK"))</f>
        <v/>
      </c>
      <c r="Z17" s="30" t="n"/>
    </row>
    <row r="18">
      <c r="A18" s="30" t="n"/>
      <c r="B18" s="30" t="n"/>
      <c r="C18" s="30" t="n"/>
      <c r="D18" s="30" t="n"/>
      <c r="E18" s="30" t="n"/>
      <c r="F18" s="30" t="n"/>
      <c r="G18" s="30" t="n"/>
      <c r="H18" s="30" t="n"/>
      <c r="I18" s="31" t="n"/>
      <c r="J18" s="30" t="n"/>
      <c r="K18" s="30" t="n"/>
      <c r="L18" s="30" t="n"/>
      <c r="M18" s="30" t="n"/>
      <c r="N18" s="32" t="n"/>
      <c r="O18" s="30" t="n"/>
      <c r="P18" s="32" t="n"/>
      <c r="Q18" s="30" t="n"/>
      <c r="R18" s="32" t="n"/>
      <c r="S18" s="30" t="n"/>
      <c r="T18" s="30" t="n"/>
      <c r="U18" s="30" t="n"/>
      <c r="V18" s="30" t="n"/>
      <c r="W18" s="29">
        <f>IF(H18="","",IF(H18="Kenya","Yes","No"))</f>
        <v/>
      </c>
      <c r="X18" s="29">
        <f>IF(B18="","",IF(COUNTIF($B$5:$B$3004,B18)&gt;1,"DUPLICATE","OK"))</f>
        <v/>
      </c>
      <c r="Y18" s="29">
        <f>IF(OR(U18="",V18="",V18="Excluded"),"",IF(COUNTIFS($U$5:$U$3004,U18,$V$5:$V$3004,"&lt;&gt;"&amp;V18,$V$5:$V$3004,"&lt;&gt;",$V$5:$V$3004,"&lt;&gt;Excluded")&gt;0,"LEAK RISK","OK"))</f>
        <v/>
      </c>
      <c r="Z18" s="30" t="n"/>
    </row>
    <row r="19">
      <c r="A19" s="30" t="n"/>
      <c r="B19" s="30" t="n"/>
      <c r="C19" s="30" t="n"/>
      <c r="D19" s="30" t="n"/>
      <c r="E19" s="30" t="n"/>
      <c r="F19" s="30" t="n"/>
      <c r="G19" s="30" t="n"/>
      <c r="H19" s="30" t="n"/>
      <c r="I19" s="31" t="n"/>
      <c r="J19" s="30" t="n"/>
      <c r="K19" s="30" t="n"/>
      <c r="L19" s="30" t="n"/>
      <c r="M19" s="30" t="n"/>
      <c r="N19" s="32" t="n"/>
      <c r="O19" s="30" t="n"/>
      <c r="P19" s="32" t="n"/>
      <c r="Q19" s="30" t="n"/>
      <c r="R19" s="32" t="n"/>
      <c r="S19" s="30" t="n"/>
      <c r="T19" s="30" t="n"/>
      <c r="U19" s="30" t="n"/>
      <c r="V19" s="30" t="n"/>
      <c r="W19" s="29">
        <f>IF(H19="","",IF(H19="Kenya","Yes","No"))</f>
        <v/>
      </c>
      <c r="X19" s="29">
        <f>IF(B19="","",IF(COUNTIF($B$5:$B$3004,B19)&gt;1,"DUPLICATE","OK"))</f>
        <v/>
      </c>
      <c r="Y19" s="29">
        <f>IF(OR(U19="",V19="",V19="Excluded"),"",IF(COUNTIFS($U$5:$U$3004,U19,$V$5:$V$3004,"&lt;&gt;"&amp;V19,$V$5:$V$3004,"&lt;&gt;",$V$5:$V$3004,"&lt;&gt;Excluded")&gt;0,"LEAK RISK","OK"))</f>
        <v/>
      </c>
      <c r="Z19" s="30" t="n"/>
    </row>
    <row r="20">
      <c r="A20" s="30" t="n"/>
      <c r="B20" s="30" t="n"/>
      <c r="C20" s="30" t="n"/>
      <c r="D20" s="30" t="n"/>
      <c r="E20" s="30" t="n"/>
      <c r="F20" s="30" t="n"/>
      <c r="G20" s="30" t="n"/>
      <c r="H20" s="30" t="n"/>
      <c r="I20" s="31" t="n"/>
      <c r="J20" s="30" t="n"/>
      <c r="K20" s="30" t="n"/>
      <c r="L20" s="30" t="n"/>
      <c r="M20" s="30" t="n"/>
      <c r="N20" s="32" t="n"/>
      <c r="O20" s="30" t="n"/>
      <c r="P20" s="32" t="n"/>
      <c r="Q20" s="30" t="n"/>
      <c r="R20" s="32" t="n"/>
      <c r="S20" s="30" t="n"/>
      <c r="T20" s="30" t="n"/>
      <c r="U20" s="30" t="n"/>
      <c r="V20" s="30" t="n"/>
      <c r="W20" s="29">
        <f>IF(H20="","",IF(H20="Kenya","Yes","No"))</f>
        <v/>
      </c>
      <c r="X20" s="29">
        <f>IF(B20="","",IF(COUNTIF($B$5:$B$3004,B20)&gt;1,"DUPLICATE","OK"))</f>
        <v/>
      </c>
      <c r="Y20" s="29">
        <f>IF(OR(U20="",V20="",V20="Excluded"),"",IF(COUNTIFS($U$5:$U$3004,U20,$V$5:$V$3004,"&lt;&gt;"&amp;V20,$V$5:$V$3004,"&lt;&gt;",$V$5:$V$3004,"&lt;&gt;Excluded")&gt;0,"LEAK RISK","OK"))</f>
        <v/>
      </c>
      <c r="Z20" s="30" t="n"/>
    </row>
    <row r="21">
      <c r="A21" s="30" t="n"/>
      <c r="B21" s="30" t="n"/>
      <c r="C21" s="30" t="n"/>
      <c r="D21" s="30" t="n"/>
      <c r="E21" s="30" t="n"/>
      <c r="F21" s="30" t="n"/>
      <c r="G21" s="30" t="n"/>
      <c r="H21" s="30" t="n"/>
      <c r="I21" s="31" t="n"/>
      <c r="J21" s="30" t="n"/>
      <c r="K21" s="30" t="n"/>
      <c r="L21" s="30" t="n"/>
      <c r="M21" s="30" t="n"/>
      <c r="N21" s="32" t="n"/>
      <c r="O21" s="30" t="n"/>
      <c r="P21" s="32" t="n"/>
      <c r="Q21" s="30" t="n"/>
      <c r="R21" s="32" t="n"/>
      <c r="S21" s="30" t="n"/>
      <c r="T21" s="30" t="n"/>
      <c r="U21" s="30" t="n"/>
      <c r="V21" s="30" t="n"/>
      <c r="W21" s="29">
        <f>IF(H21="","",IF(H21="Kenya","Yes","No"))</f>
        <v/>
      </c>
      <c r="X21" s="29">
        <f>IF(B21="","",IF(COUNTIF($B$5:$B$3004,B21)&gt;1,"DUPLICATE","OK"))</f>
        <v/>
      </c>
      <c r="Y21" s="29">
        <f>IF(OR(U21="",V21="",V21="Excluded"),"",IF(COUNTIFS($U$5:$U$3004,U21,$V$5:$V$3004,"&lt;&gt;"&amp;V21,$V$5:$V$3004,"&lt;&gt;",$V$5:$V$3004,"&lt;&gt;Excluded")&gt;0,"LEAK RISK","OK"))</f>
        <v/>
      </c>
      <c r="Z21" s="30" t="n"/>
    </row>
    <row r="22">
      <c r="A22" s="30" t="n"/>
      <c r="B22" s="30" t="n"/>
      <c r="C22" s="30" t="n"/>
      <c r="D22" s="30" t="n"/>
      <c r="E22" s="30" t="n"/>
      <c r="F22" s="30" t="n"/>
      <c r="G22" s="30" t="n"/>
      <c r="H22" s="30" t="n"/>
      <c r="I22" s="31" t="n"/>
      <c r="J22" s="30" t="n"/>
      <c r="K22" s="30" t="n"/>
      <c r="L22" s="30" t="n"/>
      <c r="M22" s="30" t="n"/>
      <c r="N22" s="32" t="n"/>
      <c r="O22" s="30" t="n"/>
      <c r="P22" s="32" t="n"/>
      <c r="Q22" s="30" t="n"/>
      <c r="R22" s="32" t="n"/>
      <c r="S22" s="30" t="n"/>
      <c r="T22" s="30" t="n"/>
      <c r="U22" s="30" t="n"/>
      <c r="V22" s="30" t="n"/>
      <c r="W22" s="29">
        <f>IF(H22="","",IF(H22="Kenya","Yes","No"))</f>
        <v/>
      </c>
      <c r="X22" s="29">
        <f>IF(B22="","",IF(COUNTIF($B$5:$B$3004,B22)&gt;1,"DUPLICATE","OK"))</f>
        <v/>
      </c>
      <c r="Y22" s="29">
        <f>IF(OR(U22="",V22="",V22="Excluded"),"",IF(COUNTIFS($U$5:$U$3004,U22,$V$5:$V$3004,"&lt;&gt;"&amp;V22,$V$5:$V$3004,"&lt;&gt;",$V$5:$V$3004,"&lt;&gt;Excluded")&gt;0,"LEAK RISK","OK"))</f>
        <v/>
      </c>
      <c r="Z22" s="30" t="n"/>
    </row>
    <row r="23">
      <c r="A23" s="30" t="n"/>
      <c r="B23" s="30" t="n"/>
      <c r="C23" s="30" t="n"/>
      <c r="D23" s="30" t="n"/>
      <c r="E23" s="30" t="n"/>
      <c r="F23" s="30" t="n"/>
      <c r="G23" s="30" t="n"/>
      <c r="H23" s="30" t="n"/>
      <c r="I23" s="31" t="n"/>
      <c r="J23" s="30" t="n"/>
      <c r="K23" s="30" t="n"/>
      <c r="L23" s="30" t="n"/>
      <c r="M23" s="30" t="n"/>
      <c r="N23" s="32" t="n"/>
      <c r="O23" s="30" t="n"/>
      <c r="P23" s="32" t="n"/>
      <c r="Q23" s="30" t="n"/>
      <c r="R23" s="32" t="n"/>
      <c r="S23" s="30" t="n"/>
      <c r="T23" s="30" t="n"/>
      <c r="U23" s="30" t="n"/>
      <c r="V23" s="30" t="n"/>
      <c r="W23" s="29">
        <f>IF(H23="","",IF(H23="Kenya","Yes","No"))</f>
        <v/>
      </c>
      <c r="X23" s="29">
        <f>IF(B23="","",IF(COUNTIF($B$5:$B$3004,B23)&gt;1,"DUPLICATE","OK"))</f>
        <v/>
      </c>
      <c r="Y23" s="29">
        <f>IF(OR(U23="",V23="",V23="Excluded"),"",IF(COUNTIFS($U$5:$U$3004,U23,$V$5:$V$3004,"&lt;&gt;"&amp;V23,$V$5:$V$3004,"&lt;&gt;",$V$5:$V$3004,"&lt;&gt;Excluded")&gt;0,"LEAK RISK","OK"))</f>
        <v/>
      </c>
      <c r="Z23" s="30" t="n"/>
    </row>
    <row r="24">
      <c r="A24" s="30" t="n"/>
      <c r="B24" s="30" t="n"/>
      <c r="C24" s="30" t="n"/>
      <c r="D24" s="30" t="n"/>
      <c r="E24" s="30" t="n"/>
      <c r="F24" s="30" t="n"/>
      <c r="G24" s="30" t="n"/>
      <c r="H24" s="30" t="n"/>
      <c r="I24" s="31" t="n"/>
      <c r="J24" s="30" t="n"/>
      <c r="K24" s="30" t="n"/>
      <c r="L24" s="30" t="n"/>
      <c r="M24" s="30" t="n"/>
      <c r="N24" s="32" t="n"/>
      <c r="O24" s="30" t="n"/>
      <c r="P24" s="32" t="n"/>
      <c r="Q24" s="30" t="n"/>
      <c r="R24" s="32" t="n"/>
      <c r="S24" s="30" t="n"/>
      <c r="T24" s="30" t="n"/>
      <c r="U24" s="30" t="n"/>
      <c r="V24" s="30" t="n"/>
      <c r="W24" s="29">
        <f>IF(H24="","",IF(H24="Kenya","Yes","No"))</f>
        <v/>
      </c>
      <c r="X24" s="29">
        <f>IF(B24="","",IF(COUNTIF($B$5:$B$3004,B24)&gt;1,"DUPLICATE","OK"))</f>
        <v/>
      </c>
      <c r="Y24" s="29">
        <f>IF(OR(U24="",V24="",V24="Excluded"),"",IF(COUNTIFS($U$5:$U$3004,U24,$V$5:$V$3004,"&lt;&gt;"&amp;V24,$V$5:$V$3004,"&lt;&gt;",$V$5:$V$3004,"&lt;&gt;Excluded")&gt;0,"LEAK RISK","OK"))</f>
        <v/>
      </c>
      <c r="Z24" s="30" t="n"/>
    </row>
    <row r="25">
      <c r="A25" s="30" t="n"/>
      <c r="B25" s="30" t="n"/>
      <c r="C25" s="30" t="n"/>
      <c r="D25" s="30" t="n"/>
      <c r="E25" s="30" t="n"/>
      <c r="F25" s="30" t="n"/>
      <c r="G25" s="30" t="n"/>
      <c r="H25" s="30" t="n"/>
      <c r="I25" s="31" t="n"/>
      <c r="J25" s="30" t="n"/>
      <c r="K25" s="30" t="n"/>
      <c r="L25" s="30" t="n"/>
      <c r="M25" s="30" t="n"/>
      <c r="N25" s="32" t="n"/>
      <c r="O25" s="30" t="n"/>
      <c r="P25" s="32" t="n"/>
      <c r="Q25" s="30" t="n"/>
      <c r="R25" s="32" t="n"/>
      <c r="S25" s="30" t="n"/>
      <c r="T25" s="30" t="n"/>
      <c r="U25" s="30" t="n"/>
      <c r="V25" s="30" t="n"/>
      <c r="W25" s="29">
        <f>IF(H25="","",IF(H25="Kenya","Yes","No"))</f>
        <v/>
      </c>
      <c r="X25" s="29">
        <f>IF(B25="","",IF(COUNTIF($B$5:$B$3004,B25)&gt;1,"DUPLICATE","OK"))</f>
        <v/>
      </c>
      <c r="Y25" s="29">
        <f>IF(OR(U25="",V25="",V25="Excluded"),"",IF(COUNTIFS($U$5:$U$3004,U25,$V$5:$V$3004,"&lt;&gt;"&amp;V25,$V$5:$V$3004,"&lt;&gt;",$V$5:$V$3004,"&lt;&gt;Excluded")&gt;0,"LEAK RISK","OK"))</f>
        <v/>
      </c>
      <c r="Z25" s="30" t="n"/>
    </row>
    <row r="26">
      <c r="A26" s="30" t="n"/>
      <c r="B26" s="30" t="n"/>
      <c r="C26" s="30" t="n"/>
      <c r="D26" s="30" t="n"/>
      <c r="E26" s="30" t="n"/>
      <c r="F26" s="30" t="n"/>
      <c r="G26" s="30" t="n"/>
      <c r="H26" s="30" t="n"/>
      <c r="I26" s="31" t="n"/>
      <c r="J26" s="30" t="n"/>
      <c r="K26" s="30" t="n"/>
      <c r="L26" s="30" t="n"/>
      <c r="M26" s="30" t="n"/>
      <c r="N26" s="32" t="n"/>
      <c r="O26" s="30" t="n"/>
      <c r="P26" s="32" t="n"/>
      <c r="Q26" s="30" t="n"/>
      <c r="R26" s="32" t="n"/>
      <c r="S26" s="30" t="n"/>
      <c r="T26" s="30" t="n"/>
      <c r="U26" s="30" t="n"/>
      <c r="V26" s="30" t="n"/>
      <c r="W26" s="29">
        <f>IF(H26="","",IF(H26="Kenya","Yes","No"))</f>
        <v/>
      </c>
      <c r="X26" s="29">
        <f>IF(B26="","",IF(COUNTIF($B$5:$B$3004,B26)&gt;1,"DUPLICATE","OK"))</f>
        <v/>
      </c>
      <c r="Y26" s="29">
        <f>IF(OR(U26="",V26="",V26="Excluded"),"",IF(COUNTIFS($U$5:$U$3004,U26,$V$5:$V$3004,"&lt;&gt;"&amp;V26,$V$5:$V$3004,"&lt;&gt;",$V$5:$V$3004,"&lt;&gt;Excluded")&gt;0,"LEAK RISK","OK"))</f>
        <v/>
      </c>
      <c r="Z26" s="30" t="n"/>
    </row>
    <row r="27">
      <c r="A27" s="30" t="n"/>
      <c r="B27" s="30" t="n"/>
      <c r="C27" s="30" t="n"/>
      <c r="D27" s="30" t="n"/>
      <c r="E27" s="30" t="n"/>
      <c r="F27" s="30" t="n"/>
      <c r="G27" s="30" t="n"/>
      <c r="H27" s="30" t="n"/>
      <c r="I27" s="31" t="n"/>
      <c r="J27" s="30" t="n"/>
      <c r="K27" s="30" t="n"/>
      <c r="L27" s="30" t="n"/>
      <c r="M27" s="30" t="n"/>
      <c r="N27" s="32" t="n"/>
      <c r="O27" s="30" t="n"/>
      <c r="P27" s="32" t="n"/>
      <c r="Q27" s="30" t="n"/>
      <c r="R27" s="32" t="n"/>
      <c r="S27" s="30" t="n"/>
      <c r="T27" s="30" t="n"/>
      <c r="U27" s="30" t="n"/>
      <c r="V27" s="30" t="n"/>
      <c r="W27" s="29">
        <f>IF(H27="","",IF(H27="Kenya","Yes","No"))</f>
        <v/>
      </c>
      <c r="X27" s="29">
        <f>IF(B27="","",IF(COUNTIF($B$5:$B$3004,B27)&gt;1,"DUPLICATE","OK"))</f>
        <v/>
      </c>
      <c r="Y27" s="29">
        <f>IF(OR(U27="",V27="",V27="Excluded"),"",IF(COUNTIFS($U$5:$U$3004,U27,$V$5:$V$3004,"&lt;&gt;"&amp;V27,$V$5:$V$3004,"&lt;&gt;",$V$5:$V$3004,"&lt;&gt;Excluded")&gt;0,"LEAK RISK","OK"))</f>
        <v/>
      </c>
      <c r="Z27" s="30" t="n"/>
    </row>
    <row r="28">
      <c r="A28" s="30" t="n"/>
      <c r="B28" s="30" t="n"/>
      <c r="C28" s="30" t="n"/>
      <c r="D28" s="30" t="n"/>
      <c r="E28" s="30" t="n"/>
      <c r="F28" s="30" t="n"/>
      <c r="G28" s="30" t="n"/>
      <c r="H28" s="30" t="n"/>
      <c r="I28" s="31" t="n"/>
      <c r="J28" s="30" t="n"/>
      <c r="K28" s="30" t="n"/>
      <c r="L28" s="30" t="n"/>
      <c r="M28" s="30" t="n"/>
      <c r="N28" s="32" t="n"/>
      <c r="O28" s="30" t="n"/>
      <c r="P28" s="32" t="n"/>
      <c r="Q28" s="30" t="n"/>
      <c r="R28" s="32" t="n"/>
      <c r="S28" s="30" t="n"/>
      <c r="T28" s="30" t="n"/>
      <c r="U28" s="30" t="n"/>
      <c r="V28" s="30" t="n"/>
      <c r="W28" s="29">
        <f>IF(H28="","",IF(H28="Kenya","Yes","No"))</f>
        <v/>
      </c>
      <c r="X28" s="29">
        <f>IF(B28="","",IF(COUNTIF($B$5:$B$3004,B28)&gt;1,"DUPLICATE","OK"))</f>
        <v/>
      </c>
      <c r="Y28" s="29">
        <f>IF(OR(U28="",V28="",V28="Excluded"),"",IF(COUNTIFS($U$5:$U$3004,U28,$V$5:$V$3004,"&lt;&gt;"&amp;V28,$V$5:$V$3004,"&lt;&gt;",$V$5:$V$3004,"&lt;&gt;Excluded")&gt;0,"LEAK RISK","OK"))</f>
        <v/>
      </c>
      <c r="Z28" s="30" t="n"/>
    </row>
    <row r="29">
      <c r="A29" s="30" t="n"/>
      <c r="B29" s="30" t="n"/>
      <c r="C29" s="30" t="n"/>
      <c r="D29" s="30" t="n"/>
      <c r="E29" s="30" t="n"/>
      <c r="F29" s="30" t="n"/>
      <c r="G29" s="30" t="n"/>
      <c r="H29" s="30" t="n"/>
      <c r="I29" s="31" t="n"/>
      <c r="J29" s="30" t="n"/>
      <c r="K29" s="30" t="n"/>
      <c r="L29" s="30" t="n"/>
      <c r="M29" s="30" t="n"/>
      <c r="N29" s="32" t="n"/>
      <c r="O29" s="30" t="n"/>
      <c r="P29" s="32" t="n"/>
      <c r="Q29" s="30" t="n"/>
      <c r="R29" s="32" t="n"/>
      <c r="S29" s="30" t="n"/>
      <c r="T29" s="30" t="n"/>
      <c r="U29" s="30" t="n"/>
      <c r="V29" s="30" t="n"/>
      <c r="W29" s="29">
        <f>IF(H29="","",IF(H29="Kenya","Yes","No"))</f>
        <v/>
      </c>
      <c r="X29" s="29">
        <f>IF(B29="","",IF(COUNTIF($B$5:$B$3004,B29)&gt;1,"DUPLICATE","OK"))</f>
        <v/>
      </c>
      <c r="Y29" s="29">
        <f>IF(OR(U29="",V29="",V29="Excluded"),"",IF(COUNTIFS($U$5:$U$3004,U29,$V$5:$V$3004,"&lt;&gt;"&amp;V29,$V$5:$V$3004,"&lt;&gt;",$V$5:$V$3004,"&lt;&gt;Excluded")&gt;0,"LEAK RISK","OK"))</f>
        <v/>
      </c>
      <c r="Z29" s="30" t="n"/>
    </row>
    <row r="30">
      <c r="A30" s="30" t="n"/>
      <c r="B30" s="30" t="n"/>
      <c r="C30" s="30" t="n"/>
      <c r="D30" s="30" t="n"/>
      <c r="E30" s="30" t="n"/>
      <c r="F30" s="30" t="n"/>
      <c r="G30" s="30" t="n"/>
      <c r="H30" s="30" t="n"/>
      <c r="I30" s="31" t="n"/>
      <c r="J30" s="30" t="n"/>
      <c r="K30" s="30" t="n"/>
      <c r="L30" s="30" t="n"/>
      <c r="M30" s="30" t="n"/>
      <c r="N30" s="32" t="n"/>
      <c r="O30" s="30" t="n"/>
      <c r="P30" s="32" t="n"/>
      <c r="Q30" s="30" t="n"/>
      <c r="R30" s="32" t="n"/>
      <c r="S30" s="30" t="n"/>
      <c r="T30" s="30" t="n"/>
      <c r="U30" s="30" t="n"/>
      <c r="V30" s="30" t="n"/>
      <c r="W30" s="29">
        <f>IF(H30="","",IF(H30="Kenya","Yes","No"))</f>
        <v/>
      </c>
      <c r="X30" s="29">
        <f>IF(B30="","",IF(COUNTIF($B$5:$B$3004,B30)&gt;1,"DUPLICATE","OK"))</f>
        <v/>
      </c>
      <c r="Y30" s="29">
        <f>IF(OR(U30="",V30="",V30="Excluded"),"",IF(COUNTIFS($U$5:$U$3004,U30,$V$5:$V$3004,"&lt;&gt;"&amp;V30,$V$5:$V$3004,"&lt;&gt;",$V$5:$V$3004,"&lt;&gt;Excluded")&gt;0,"LEAK RISK","OK"))</f>
        <v/>
      </c>
      <c r="Z30" s="30" t="n"/>
    </row>
    <row r="31">
      <c r="A31" s="30" t="n"/>
      <c r="B31" s="30" t="n"/>
      <c r="C31" s="30" t="n"/>
      <c r="D31" s="30" t="n"/>
      <c r="E31" s="30" t="n"/>
      <c r="F31" s="30" t="n"/>
      <c r="G31" s="30" t="n"/>
      <c r="H31" s="30" t="n"/>
      <c r="I31" s="31" t="n"/>
      <c r="J31" s="30" t="n"/>
      <c r="K31" s="30" t="n"/>
      <c r="L31" s="30" t="n"/>
      <c r="M31" s="30" t="n"/>
      <c r="N31" s="32" t="n"/>
      <c r="O31" s="30" t="n"/>
      <c r="P31" s="32" t="n"/>
      <c r="Q31" s="30" t="n"/>
      <c r="R31" s="32" t="n"/>
      <c r="S31" s="30" t="n"/>
      <c r="T31" s="30" t="n"/>
      <c r="U31" s="30" t="n"/>
      <c r="V31" s="30" t="n"/>
      <c r="W31" s="29">
        <f>IF(H31="","",IF(H31="Kenya","Yes","No"))</f>
        <v/>
      </c>
      <c r="X31" s="29">
        <f>IF(B31="","",IF(COUNTIF($B$5:$B$3004,B31)&gt;1,"DUPLICATE","OK"))</f>
        <v/>
      </c>
      <c r="Y31" s="29">
        <f>IF(OR(U31="",V31="",V31="Excluded"),"",IF(COUNTIFS($U$5:$U$3004,U31,$V$5:$V$3004,"&lt;&gt;"&amp;V31,$V$5:$V$3004,"&lt;&gt;",$V$5:$V$3004,"&lt;&gt;Excluded")&gt;0,"LEAK RISK","OK"))</f>
        <v/>
      </c>
      <c r="Z31" s="30" t="n"/>
    </row>
    <row r="32">
      <c r="A32" s="30" t="n"/>
      <c r="B32" s="30" t="n"/>
      <c r="C32" s="30" t="n"/>
      <c r="D32" s="30" t="n"/>
      <c r="E32" s="30" t="n"/>
      <c r="F32" s="30" t="n"/>
      <c r="G32" s="30" t="n"/>
      <c r="H32" s="30" t="n"/>
      <c r="I32" s="31" t="n"/>
      <c r="J32" s="30" t="n"/>
      <c r="K32" s="30" t="n"/>
      <c r="L32" s="30" t="n"/>
      <c r="M32" s="30" t="n"/>
      <c r="N32" s="32" t="n"/>
      <c r="O32" s="30" t="n"/>
      <c r="P32" s="32" t="n"/>
      <c r="Q32" s="30" t="n"/>
      <c r="R32" s="32" t="n"/>
      <c r="S32" s="30" t="n"/>
      <c r="T32" s="30" t="n"/>
      <c r="U32" s="30" t="n"/>
      <c r="V32" s="30" t="n"/>
      <c r="W32" s="29">
        <f>IF(H32="","",IF(H32="Kenya","Yes","No"))</f>
        <v/>
      </c>
      <c r="X32" s="29">
        <f>IF(B32="","",IF(COUNTIF($B$5:$B$3004,B32)&gt;1,"DUPLICATE","OK"))</f>
        <v/>
      </c>
      <c r="Y32" s="29">
        <f>IF(OR(U32="",V32="",V32="Excluded"),"",IF(COUNTIFS($U$5:$U$3004,U32,$V$5:$V$3004,"&lt;&gt;"&amp;V32,$V$5:$V$3004,"&lt;&gt;",$V$5:$V$3004,"&lt;&gt;Excluded")&gt;0,"LEAK RISK","OK"))</f>
        <v/>
      </c>
      <c r="Z32" s="30" t="n"/>
    </row>
    <row r="33">
      <c r="A33" s="30" t="n"/>
      <c r="B33" s="30" t="n"/>
      <c r="C33" s="30" t="n"/>
      <c r="D33" s="30" t="n"/>
      <c r="E33" s="30" t="n"/>
      <c r="F33" s="30" t="n"/>
      <c r="G33" s="30" t="n"/>
      <c r="H33" s="30" t="n"/>
      <c r="I33" s="31" t="n"/>
      <c r="J33" s="30" t="n"/>
      <c r="K33" s="30" t="n"/>
      <c r="L33" s="30" t="n"/>
      <c r="M33" s="30" t="n"/>
      <c r="N33" s="32" t="n"/>
      <c r="O33" s="30" t="n"/>
      <c r="P33" s="32" t="n"/>
      <c r="Q33" s="30" t="n"/>
      <c r="R33" s="32" t="n"/>
      <c r="S33" s="30" t="n"/>
      <c r="T33" s="30" t="n"/>
      <c r="U33" s="30" t="n"/>
      <c r="V33" s="30" t="n"/>
      <c r="W33" s="29">
        <f>IF(H33="","",IF(H33="Kenya","Yes","No"))</f>
        <v/>
      </c>
      <c r="X33" s="29">
        <f>IF(B33="","",IF(COUNTIF($B$5:$B$3004,B33)&gt;1,"DUPLICATE","OK"))</f>
        <v/>
      </c>
      <c r="Y33" s="29">
        <f>IF(OR(U33="",V33="",V33="Excluded"),"",IF(COUNTIFS($U$5:$U$3004,U33,$V$5:$V$3004,"&lt;&gt;"&amp;V33,$V$5:$V$3004,"&lt;&gt;",$V$5:$V$3004,"&lt;&gt;Excluded")&gt;0,"LEAK RISK","OK"))</f>
        <v/>
      </c>
      <c r="Z33" s="30" t="n"/>
    </row>
    <row r="34">
      <c r="A34" s="30" t="n"/>
      <c r="B34" s="30" t="n"/>
      <c r="C34" s="30" t="n"/>
      <c r="D34" s="30" t="n"/>
      <c r="E34" s="30" t="n"/>
      <c r="F34" s="30" t="n"/>
      <c r="G34" s="30" t="n"/>
      <c r="H34" s="30" t="n"/>
      <c r="I34" s="31" t="n"/>
      <c r="J34" s="30" t="n"/>
      <c r="K34" s="30" t="n"/>
      <c r="L34" s="30" t="n"/>
      <c r="M34" s="30" t="n"/>
      <c r="N34" s="32" t="n"/>
      <c r="O34" s="30" t="n"/>
      <c r="P34" s="32" t="n"/>
      <c r="Q34" s="30" t="n"/>
      <c r="R34" s="32" t="n"/>
      <c r="S34" s="30" t="n"/>
      <c r="T34" s="30" t="n"/>
      <c r="U34" s="30" t="n"/>
      <c r="V34" s="30" t="n"/>
      <c r="W34" s="29">
        <f>IF(H34="","",IF(H34="Kenya","Yes","No"))</f>
        <v/>
      </c>
      <c r="X34" s="29">
        <f>IF(B34="","",IF(COUNTIF($B$5:$B$3004,B34)&gt;1,"DUPLICATE","OK"))</f>
        <v/>
      </c>
      <c r="Y34" s="29">
        <f>IF(OR(U34="",V34="",V34="Excluded"),"",IF(COUNTIFS($U$5:$U$3004,U34,$V$5:$V$3004,"&lt;&gt;"&amp;V34,$V$5:$V$3004,"&lt;&gt;",$V$5:$V$3004,"&lt;&gt;Excluded")&gt;0,"LEAK RISK","OK"))</f>
        <v/>
      </c>
      <c r="Z34" s="30" t="n"/>
    </row>
    <row r="35">
      <c r="A35" s="30" t="n"/>
      <c r="B35" s="30" t="n"/>
      <c r="C35" s="30" t="n"/>
      <c r="D35" s="30" t="n"/>
      <c r="E35" s="30" t="n"/>
      <c r="F35" s="30" t="n"/>
      <c r="G35" s="30" t="n"/>
      <c r="H35" s="30" t="n"/>
      <c r="I35" s="31" t="n"/>
      <c r="J35" s="30" t="n"/>
      <c r="K35" s="30" t="n"/>
      <c r="L35" s="30" t="n"/>
      <c r="M35" s="30" t="n"/>
      <c r="N35" s="32" t="n"/>
      <c r="O35" s="30" t="n"/>
      <c r="P35" s="32" t="n"/>
      <c r="Q35" s="30" t="n"/>
      <c r="R35" s="32" t="n"/>
      <c r="S35" s="30" t="n"/>
      <c r="T35" s="30" t="n"/>
      <c r="U35" s="30" t="n"/>
      <c r="V35" s="30" t="n"/>
      <c r="W35" s="29">
        <f>IF(H35="","",IF(H35="Kenya","Yes","No"))</f>
        <v/>
      </c>
      <c r="X35" s="29">
        <f>IF(B35="","",IF(COUNTIF($B$5:$B$3004,B35)&gt;1,"DUPLICATE","OK"))</f>
        <v/>
      </c>
      <c r="Y35" s="29">
        <f>IF(OR(U35="",V35="",V35="Excluded"),"",IF(COUNTIFS($U$5:$U$3004,U35,$V$5:$V$3004,"&lt;&gt;"&amp;V35,$V$5:$V$3004,"&lt;&gt;",$V$5:$V$3004,"&lt;&gt;Excluded")&gt;0,"LEAK RISK","OK"))</f>
        <v/>
      </c>
      <c r="Z35" s="30" t="n"/>
    </row>
    <row r="36">
      <c r="A36" s="30" t="n"/>
      <c r="B36" s="30" t="n"/>
      <c r="C36" s="30" t="n"/>
      <c r="D36" s="30" t="n"/>
      <c r="E36" s="30" t="n"/>
      <c r="F36" s="30" t="n"/>
      <c r="G36" s="30" t="n"/>
      <c r="H36" s="30" t="n"/>
      <c r="I36" s="31" t="n"/>
      <c r="J36" s="30" t="n"/>
      <c r="K36" s="30" t="n"/>
      <c r="L36" s="30" t="n"/>
      <c r="M36" s="30" t="n"/>
      <c r="N36" s="32" t="n"/>
      <c r="O36" s="30" t="n"/>
      <c r="P36" s="32" t="n"/>
      <c r="Q36" s="30" t="n"/>
      <c r="R36" s="32" t="n"/>
      <c r="S36" s="30" t="n"/>
      <c r="T36" s="30" t="n"/>
      <c r="U36" s="30" t="n"/>
      <c r="V36" s="30" t="n"/>
      <c r="W36" s="29">
        <f>IF(H36="","",IF(H36="Kenya","Yes","No"))</f>
        <v/>
      </c>
      <c r="X36" s="29">
        <f>IF(B36="","",IF(COUNTIF($B$5:$B$3004,B36)&gt;1,"DUPLICATE","OK"))</f>
        <v/>
      </c>
      <c r="Y36" s="29">
        <f>IF(OR(U36="",V36="",V36="Excluded"),"",IF(COUNTIFS($U$5:$U$3004,U36,$V$5:$V$3004,"&lt;&gt;"&amp;V36,$V$5:$V$3004,"&lt;&gt;",$V$5:$V$3004,"&lt;&gt;Excluded")&gt;0,"LEAK RISK","OK"))</f>
        <v/>
      </c>
      <c r="Z36" s="30" t="n"/>
    </row>
    <row r="37">
      <c r="A37" s="30" t="n"/>
      <c r="B37" s="30" t="n"/>
      <c r="C37" s="30" t="n"/>
      <c r="D37" s="30" t="n"/>
      <c r="E37" s="30" t="n"/>
      <c r="F37" s="30" t="n"/>
      <c r="G37" s="30" t="n"/>
      <c r="H37" s="30" t="n"/>
      <c r="I37" s="31" t="n"/>
      <c r="J37" s="30" t="n"/>
      <c r="K37" s="30" t="n"/>
      <c r="L37" s="30" t="n"/>
      <c r="M37" s="30" t="n"/>
      <c r="N37" s="32" t="n"/>
      <c r="O37" s="30" t="n"/>
      <c r="P37" s="32" t="n"/>
      <c r="Q37" s="30" t="n"/>
      <c r="R37" s="32" t="n"/>
      <c r="S37" s="30" t="n"/>
      <c r="T37" s="30" t="n"/>
      <c r="U37" s="30" t="n"/>
      <c r="V37" s="30" t="n"/>
      <c r="W37" s="29">
        <f>IF(H37="","",IF(H37="Kenya","Yes","No"))</f>
        <v/>
      </c>
      <c r="X37" s="29">
        <f>IF(B37="","",IF(COUNTIF($B$5:$B$3004,B37)&gt;1,"DUPLICATE","OK"))</f>
        <v/>
      </c>
      <c r="Y37" s="29">
        <f>IF(OR(U37="",V37="",V37="Excluded"),"",IF(COUNTIFS($U$5:$U$3004,U37,$V$5:$V$3004,"&lt;&gt;"&amp;V37,$V$5:$V$3004,"&lt;&gt;",$V$5:$V$3004,"&lt;&gt;Excluded")&gt;0,"LEAK RISK","OK"))</f>
        <v/>
      </c>
      <c r="Z37" s="30" t="n"/>
    </row>
    <row r="38">
      <c r="A38" s="30" t="n"/>
      <c r="B38" s="30" t="n"/>
      <c r="C38" s="30" t="n"/>
      <c r="D38" s="30" t="n"/>
      <c r="E38" s="30" t="n"/>
      <c r="F38" s="30" t="n"/>
      <c r="G38" s="30" t="n"/>
      <c r="H38" s="30" t="n"/>
      <c r="I38" s="31" t="n"/>
      <c r="J38" s="30" t="n"/>
      <c r="K38" s="30" t="n"/>
      <c r="L38" s="30" t="n"/>
      <c r="M38" s="30" t="n"/>
      <c r="N38" s="32" t="n"/>
      <c r="O38" s="30" t="n"/>
      <c r="P38" s="32" t="n"/>
      <c r="Q38" s="30" t="n"/>
      <c r="R38" s="32" t="n"/>
      <c r="S38" s="30" t="n"/>
      <c r="T38" s="30" t="n"/>
      <c r="U38" s="30" t="n"/>
      <c r="V38" s="30" t="n"/>
      <c r="W38" s="29">
        <f>IF(H38="","",IF(H38="Kenya","Yes","No"))</f>
        <v/>
      </c>
      <c r="X38" s="29">
        <f>IF(B38="","",IF(COUNTIF($B$5:$B$3004,B38)&gt;1,"DUPLICATE","OK"))</f>
        <v/>
      </c>
      <c r="Y38" s="29">
        <f>IF(OR(U38="",V38="",V38="Excluded"),"",IF(COUNTIFS($U$5:$U$3004,U38,$V$5:$V$3004,"&lt;&gt;"&amp;V38,$V$5:$V$3004,"&lt;&gt;",$V$5:$V$3004,"&lt;&gt;Excluded")&gt;0,"LEAK RISK","OK"))</f>
        <v/>
      </c>
      <c r="Z38" s="30" t="n"/>
    </row>
    <row r="39">
      <c r="A39" s="30" t="n"/>
      <c r="B39" s="30" t="n"/>
      <c r="C39" s="30" t="n"/>
      <c r="D39" s="30" t="n"/>
      <c r="E39" s="30" t="n"/>
      <c r="F39" s="30" t="n"/>
      <c r="G39" s="30" t="n"/>
      <c r="H39" s="30" t="n"/>
      <c r="I39" s="31" t="n"/>
      <c r="J39" s="30" t="n"/>
      <c r="K39" s="30" t="n"/>
      <c r="L39" s="30" t="n"/>
      <c r="M39" s="30" t="n"/>
      <c r="N39" s="32" t="n"/>
      <c r="O39" s="30" t="n"/>
      <c r="P39" s="32" t="n"/>
      <c r="Q39" s="30" t="n"/>
      <c r="R39" s="32" t="n"/>
      <c r="S39" s="30" t="n"/>
      <c r="T39" s="30" t="n"/>
      <c r="U39" s="30" t="n"/>
      <c r="V39" s="30" t="n"/>
      <c r="W39" s="29">
        <f>IF(H39="","",IF(H39="Kenya","Yes","No"))</f>
        <v/>
      </c>
      <c r="X39" s="29">
        <f>IF(B39="","",IF(COUNTIF($B$5:$B$3004,B39)&gt;1,"DUPLICATE","OK"))</f>
        <v/>
      </c>
      <c r="Y39" s="29">
        <f>IF(OR(U39="",V39="",V39="Excluded"),"",IF(COUNTIFS($U$5:$U$3004,U39,$V$5:$V$3004,"&lt;&gt;"&amp;V39,$V$5:$V$3004,"&lt;&gt;",$V$5:$V$3004,"&lt;&gt;Excluded")&gt;0,"LEAK RISK","OK"))</f>
        <v/>
      </c>
      <c r="Z39" s="30" t="n"/>
    </row>
    <row r="40">
      <c r="A40" s="30" t="n"/>
      <c r="B40" s="30" t="n"/>
      <c r="C40" s="30" t="n"/>
      <c r="D40" s="30" t="n"/>
      <c r="E40" s="30" t="n"/>
      <c r="F40" s="30" t="n"/>
      <c r="G40" s="30" t="n"/>
      <c r="H40" s="30" t="n"/>
      <c r="I40" s="31" t="n"/>
      <c r="J40" s="30" t="n"/>
      <c r="K40" s="30" t="n"/>
      <c r="L40" s="30" t="n"/>
      <c r="M40" s="30" t="n"/>
      <c r="N40" s="32" t="n"/>
      <c r="O40" s="30" t="n"/>
      <c r="P40" s="32" t="n"/>
      <c r="Q40" s="30" t="n"/>
      <c r="R40" s="32" t="n"/>
      <c r="S40" s="30" t="n"/>
      <c r="T40" s="30" t="n"/>
      <c r="U40" s="30" t="n"/>
      <c r="V40" s="30" t="n"/>
      <c r="W40" s="29">
        <f>IF(H40="","",IF(H40="Kenya","Yes","No"))</f>
        <v/>
      </c>
      <c r="X40" s="29">
        <f>IF(B40="","",IF(COUNTIF($B$5:$B$3004,B40)&gt;1,"DUPLICATE","OK"))</f>
        <v/>
      </c>
      <c r="Y40" s="29">
        <f>IF(OR(U40="",V40="",V40="Excluded"),"",IF(COUNTIFS($U$5:$U$3004,U40,$V$5:$V$3004,"&lt;&gt;"&amp;V40,$V$5:$V$3004,"&lt;&gt;",$V$5:$V$3004,"&lt;&gt;Excluded")&gt;0,"LEAK RISK","OK"))</f>
        <v/>
      </c>
      <c r="Z40" s="30" t="n"/>
    </row>
    <row r="41">
      <c r="A41" s="30" t="n"/>
      <c r="B41" s="30" t="n"/>
      <c r="C41" s="30" t="n"/>
      <c r="D41" s="30" t="n"/>
      <c r="E41" s="30" t="n"/>
      <c r="F41" s="30" t="n"/>
      <c r="G41" s="30" t="n"/>
      <c r="H41" s="30" t="n"/>
      <c r="I41" s="31" t="n"/>
      <c r="J41" s="30" t="n"/>
      <c r="K41" s="30" t="n"/>
      <c r="L41" s="30" t="n"/>
      <c r="M41" s="30" t="n"/>
      <c r="N41" s="32" t="n"/>
      <c r="O41" s="30" t="n"/>
      <c r="P41" s="32" t="n"/>
      <c r="Q41" s="30" t="n"/>
      <c r="R41" s="32" t="n"/>
      <c r="S41" s="30" t="n"/>
      <c r="T41" s="30" t="n"/>
      <c r="U41" s="30" t="n"/>
      <c r="V41" s="30" t="n"/>
      <c r="W41" s="29">
        <f>IF(H41="","",IF(H41="Kenya","Yes","No"))</f>
        <v/>
      </c>
      <c r="X41" s="29">
        <f>IF(B41="","",IF(COUNTIF($B$5:$B$3004,B41)&gt;1,"DUPLICATE","OK"))</f>
        <v/>
      </c>
      <c r="Y41" s="29">
        <f>IF(OR(U41="",V41="",V41="Excluded"),"",IF(COUNTIFS($U$5:$U$3004,U41,$V$5:$V$3004,"&lt;&gt;"&amp;V41,$V$5:$V$3004,"&lt;&gt;",$V$5:$V$3004,"&lt;&gt;Excluded")&gt;0,"LEAK RISK","OK"))</f>
        <v/>
      </c>
      <c r="Z41" s="30" t="n"/>
    </row>
    <row r="42">
      <c r="A42" s="30" t="n"/>
      <c r="B42" s="30" t="n"/>
      <c r="C42" s="30" t="n"/>
      <c r="D42" s="30" t="n"/>
      <c r="E42" s="30" t="n"/>
      <c r="F42" s="30" t="n"/>
      <c r="G42" s="30" t="n"/>
      <c r="H42" s="30" t="n"/>
      <c r="I42" s="31" t="n"/>
      <c r="J42" s="30" t="n"/>
      <c r="K42" s="30" t="n"/>
      <c r="L42" s="30" t="n"/>
      <c r="M42" s="30" t="n"/>
      <c r="N42" s="32" t="n"/>
      <c r="O42" s="30" t="n"/>
      <c r="P42" s="32" t="n"/>
      <c r="Q42" s="30" t="n"/>
      <c r="R42" s="32" t="n"/>
      <c r="S42" s="30" t="n"/>
      <c r="T42" s="30" t="n"/>
      <c r="U42" s="30" t="n"/>
      <c r="V42" s="30" t="n"/>
      <c r="W42" s="29">
        <f>IF(H42="","",IF(H42="Kenya","Yes","No"))</f>
        <v/>
      </c>
      <c r="X42" s="29">
        <f>IF(B42="","",IF(COUNTIF($B$5:$B$3004,B42)&gt;1,"DUPLICATE","OK"))</f>
        <v/>
      </c>
      <c r="Y42" s="29">
        <f>IF(OR(U42="",V42="",V42="Excluded"),"",IF(COUNTIFS($U$5:$U$3004,U42,$V$5:$V$3004,"&lt;&gt;"&amp;V42,$V$5:$V$3004,"&lt;&gt;",$V$5:$V$3004,"&lt;&gt;Excluded")&gt;0,"LEAK RISK","OK"))</f>
        <v/>
      </c>
      <c r="Z42" s="30" t="n"/>
    </row>
    <row r="43">
      <c r="A43" s="30" t="n"/>
      <c r="B43" s="30" t="n"/>
      <c r="C43" s="30" t="n"/>
      <c r="D43" s="30" t="n"/>
      <c r="E43" s="30" t="n"/>
      <c r="F43" s="30" t="n"/>
      <c r="G43" s="30" t="n"/>
      <c r="H43" s="30" t="n"/>
      <c r="I43" s="31" t="n"/>
      <c r="J43" s="30" t="n"/>
      <c r="K43" s="30" t="n"/>
      <c r="L43" s="30" t="n"/>
      <c r="M43" s="30" t="n"/>
      <c r="N43" s="32" t="n"/>
      <c r="O43" s="30" t="n"/>
      <c r="P43" s="32" t="n"/>
      <c r="Q43" s="30" t="n"/>
      <c r="R43" s="32" t="n"/>
      <c r="S43" s="30" t="n"/>
      <c r="T43" s="30" t="n"/>
      <c r="U43" s="30" t="n"/>
      <c r="V43" s="30" t="n"/>
      <c r="W43" s="29">
        <f>IF(H43="","",IF(H43="Kenya","Yes","No"))</f>
        <v/>
      </c>
      <c r="X43" s="29">
        <f>IF(B43="","",IF(COUNTIF($B$5:$B$3004,B43)&gt;1,"DUPLICATE","OK"))</f>
        <v/>
      </c>
      <c r="Y43" s="29">
        <f>IF(OR(U43="",V43="",V43="Excluded"),"",IF(COUNTIFS($U$5:$U$3004,U43,$V$5:$V$3004,"&lt;&gt;"&amp;V43,$V$5:$V$3004,"&lt;&gt;",$V$5:$V$3004,"&lt;&gt;Excluded")&gt;0,"LEAK RISK","OK"))</f>
        <v/>
      </c>
      <c r="Z43" s="30" t="n"/>
    </row>
    <row r="44">
      <c r="A44" s="30" t="n"/>
      <c r="B44" s="30" t="n"/>
      <c r="C44" s="30" t="n"/>
      <c r="D44" s="30" t="n"/>
      <c r="E44" s="30" t="n"/>
      <c r="F44" s="30" t="n"/>
      <c r="G44" s="30" t="n"/>
      <c r="H44" s="30" t="n"/>
      <c r="I44" s="31" t="n"/>
      <c r="J44" s="30" t="n"/>
      <c r="K44" s="30" t="n"/>
      <c r="L44" s="30" t="n"/>
      <c r="M44" s="30" t="n"/>
      <c r="N44" s="32" t="n"/>
      <c r="O44" s="30" t="n"/>
      <c r="P44" s="32" t="n"/>
      <c r="Q44" s="30" t="n"/>
      <c r="R44" s="32" t="n"/>
      <c r="S44" s="30" t="n"/>
      <c r="T44" s="30" t="n"/>
      <c r="U44" s="30" t="n"/>
      <c r="V44" s="30" t="n"/>
      <c r="W44" s="29">
        <f>IF(H44="","",IF(H44="Kenya","Yes","No"))</f>
        <v/>
      </c>
      <c r="X44" s="29">
        <f>IF(B44="","",IF(COUNTIF($B$5:$B$3004,B44)&gt;1,"DUPLICATE","OK"))</f>
        <v/>
      </c>
      <c r="Y44" s="29">
        <f>IF(OR(U44="",V44="",V44="Excluded"),"",IF(COUNTIFS($U$5:$U$3004,U44,$V$5:$V$3004,"&lt;&gt;"&amp;V44,$V$5:$V$3004,"&lt;&gt;",$V$5:$V$3004,"&lt;&gt;Excluded")&gt;0,"LEAK RISK","OK"))</f>
        <v/>
      </c>
      <c r="Z44" s="30" t="n"/>
    </row>
    <row r="45">
      <c r="A45" s="30" t="n"/>
      <c r="B45" s="30" t="n"/>
      <c r="C45" s="30" t="n"/>
      <c r="D45" s="30" t="n"/>
      <c r="E45" s="30" t="n"/>
      <c r="F45" s="30" t="n"/>
      <c r="G45" s="30" t="n"/>
      <c r="H45" s="30" t="n"/>
      <c r="I45" s="31" t="n"/>
      <c r="J45" s="30" t="n"/>
      <c r="K45" s="30" t="n"/>
      <c r="L45" s="30" t="n"/>
      <c r="M45" s="30" t="n"/>
      <c r="N45" s="32" t="n"/>
      <c r="O45" s="30" t="n"/>
      <c r="P45" s="32" t="n"/>
      <c r="Q45" s="30" t="n"/>
      <c r="R45" s="32" t="n"/>
      <c r="S45" s="30" t="n"/>
      <c r="T45" s="30" t="n"/>
      <c r="U45" s="30" t="n"/>
      <c r="V45" s="30" t="n"/>
      <c r="W45" s="29">
        <f>IF(H45="","",IF(H45="Kenya","Yes","No"))</f>
        <v/>
      </c>
      <c r="X45" s="29">
        <f>IF(B45="","",IF(COUNTIF($B$5:$B$3004,B45)&gt;1,"DUPLICATE","OK"))</f>
        <v/>
      </c>
      <c r="Y45" s="29">
        <f>IF(OR(U45="",V45="",V45="Excluded"),"",IF(COUNTIFS($U$5:$U$3004,U45,$V$5:$V$3004,"&lt;&gt;"&amp;V45,$V$5:$V$3004,"&lt;&gt;",$V$5:$V$3004,"&lt;&gt;Excluded")&gt;0,"LEAK RISK","OK"))</f>
        <v/>
      </c>
      <c r="Z45" s="30" t="n"/>
    </row>
    <row r="46">
      <c r="A46" s="30" t="n"/>
      <c r="B46" s="30" t="n"/>
      <c r="C46" s="30" t="n"/>
      <c r="D46" s="30" t="n"/>
      <c r="E46" s="30" t="n"/>
      <c r="F46" s="30" t="n"/>
      <c r="G46" s="30" t="n"/>
      <c r="H46" s="30" t="n"/>
      <c r="I46" s="31" t="n"/>
      <c r="J46" s="30" t="n"/>
      <c r="K46" s="30" t="n"/>
      <c r="L46" s="30" t="n"/>
      <c r="M46" s="30" t="n"/>
      <c r="N46" s="32" t="n"/>
      <c r="O46" s="30" t="n"/>
      <c r="P46" s="32" t="n"/>
      <c r="Q46" s="30" t="n"/>
      <c r="R46" s="32" t="n"/>
      <c r="S46" s="30" t="n"/>
      <c r="T46" s="30" t="n"/>
      <c r="U46" s="30" t="n"/>
      <c r="V46" s="30" t="n"/>
      <c r="W46" s="29">
        <f>IF(H46="","",IF(H46="Kenya","Yes","No"))</f>
        <v/>
      </c>
      <c r="X46" s="29">
        <f>IF(B46="","",IF(COUNTIF($B$5:$B$3004,B46)&gt;1,"DUPLICATE","OK"))</f>
        <v/>
      </c>
      <c r="Y46" s="29">
        <f>IF(OR(U46="",V46="",V46="Excluded"),"",IF(COUNTIFS($U$5:$U$3004,U46,$V$5:$V$3004,"&lt;&gt;"&amp;V46,$V$5:$V$3004,"&lt;&gt;",$V$5:$V$3004,"&lt;&gt;Excluded")&gt;0,"LEAK RISK","OK"))</f>
        <v/>
      </c>
      <c r="Z46" s="30" t="n"/>
    </row>
    <row r="47">
      <c r="A47" s="30" t="n"/>
      <c r="B47" s="30" t="n"/>
      <c r="C47" s="30" t="n"/>
      <c r="D47" s="30" t="n"/>
      <c r="E47" s="30" t="n"/>
      <c r="F47" s="30" t="n"/>
      <c r="G47" s="30" t="n"/>
      <c r="H47" s="30" t="n"/>
      <c r="I47" s="31" t="n"/>
      <c r="J47" s="30" t="n"/>
      <c r="K47" s="30" t="n"/>
      <c r="L47" s="30" t="n"/>
      <c r="M47" s="30" t="n"/>
      <c r="N47" s="32" t="n"/>
      <c r="O47" s="30" t="n"/>
      <c r="P47" s="32" t="n"/>
      <c r="Q47" s="30" t="n"/>
      <c r="R47" s="32" t="n"/>
      <c r="S47" s="30" t="n"/>
      <c r="T47" s="30" t="n"/>
      <c r="U47" s="30" t="n"/>
      <c r="V47" s="30" t="n"/>
      <c r="W47" s="29">
        <f>IF(H47="","",IF(H47="Kenya","Yes","No"))</f>
        <v/>
      </c>
      <c r="X47" s="29">
        <f>IF(B47="","",IF(COUNTIF($B$5:$B$3004,B47)&gt;1,"DUPLICATE","OK"))</f>
        <v/>
      </c>
      <c r="Y47" s="29">
        <f>IF(OR(U47="",V47="",V47="Excluded"),"",IF(COUNTIFS($U$5:$U$3004,U47,$V$5:$V$3004,"&lt;&gt;"&amp;V47,$V$5:$V$3004,"&lt;&gt;",$V$5:$V$3004,"&lt;&gt;Excluded")&gt;0,"LEAK RISK","OK"))</f>
        <v/>
      </c>
      <c r="Z47" s="30" t="n"/>
    </row>
    <row r="48">
      <c r="A48" s="30" t="n"/>
      <c r="B48" s="30" t="n"/>
      <c r="C48" s="30" t="n"/>
      <c r="D48" s="30" t="n"/>
      <c r="E48" s="30" t="n"/>
      <c r="F48" s="30" t="n"/>
      <c r="G48" s="30" t="n"/>
      <c r="H48" s="30" t="n"/>
      <c r="I48" s="31" t="n"/>
      <c r="J48" s="30" t="n"/>
      <c r="K48" s="30" t="n"/>
      <c r="L48" s="30" t="n"/>
      <c r="M48" s="30" t="n"/>
      <c r="N48" s="32" t="n"/>
      <c r="O48" s="30" t="n"/>
      <c r="P48" s="32" t="n"/>
      <c r="Q48" s="30" t="n"/>
      <c r="R48" s="32" t="n"/>
      <c r="S48" s="30" t="n"/>
      <c r="T48" s="30" t="n"/>
      <c r="U48" s="30" t="n"/>
      <c r="V48" s="30" t="n"/>
      <c r="W48" s="29">
        <f>IF(H48="","",IF(H48="Kenya","Yes","No"))</f>
        <v/>
      </c>
      <c r="X48" s="29">
        <f>IF(B48="","",IF(COUNTIF($B$5:$B$3004,B48)&gt;1,"DUPLICATE","OK"))</f>
        <v/>
      </c>
      <c r="Y48" s="29">
        <f>IF(OR(U48="",V48="",V48="Excluded"),"",IF(COUNTIFS($U$5:$U$3004,U48,$V$5:$V$3004,"&lt;&gt;"&amp;V48,$V$5:$V$3004,"&lt;&gt;",$V$5:$V$3004,"&lt;&gt;Excluded")&gt;0,"LEAK RISK","OK"))</f>
        <v/>
      </c>
      <c r="Z48" s="30" t="n"/>
    </row>
    <row r="49">
      <c r="A49" s="30" t="n"/>
      <c r="B49" s="30" t="n"/>
      <c r="C49" s="30" t="n"/>
      <c r="D49" s="30" t="n"/>
      <c r="E49" s="30" t="n"/>
      <c r="F49" s="30" t="n"/>
      <c r="G49" s="30" t="n"/>
      <c r="H49" s="30" t="n"/>
      <c r="I49" s="31" t="n"/>
      <c r="J49" s="30" t="n"/>
      <c r="K49" s="30" t="n"/>
      <c r="L49" s="30" t="n"/>
      <c r="M49" s="30" t="n"/>
      <c r="N49" s="32" t="n"/>
      <c r="O49" s="30" t="n"/>
      <c r="P49" s="32" t="n"/>
      <c r="Q49" s="30" t="n"/>
      <c r="R49" s="32" t="n"/>
      <c r="S49" s="30" t="n"/>
      <c r="T49" s="30" t="n"/>
      <c r="U49" s="30" t="n"/>
      <c r="V49" s="30" t="n"/>
      <c r="W49" s="29">
        <f>IF(H49="","",IF(H49="Kenya","Yes","No"))</f>
        <v/>
      </c>
      <c r="X49" s="29">
        <f>IF(B49="","",IF(COUNTIF($B$5:$B$3004,B49)&gt;1,"DUPLICATE","OK"))</f>
        <v/>
      </c>
      <c r="Y49" s="29">
        <f>IF(OR(U49="",V49="",V49="Excluded"),"",IF(COUNTIFS($U$5:$U$3004,U49,$V$5:$V$3004,"&lt;&gt;"&amp;V49,$V$5:$V$3004,"&lt;&gt;",$V$5:$V$3004,"&lt;&gt;Excluded")&gt;0,"LEAK RISK","OK"))</f>
        <v/>
      </c>
      <c r="Z49" s="30" t="n"/>
    </row>
    <row r="50">
      <c r="A50" s="30" t="n"/>
      <c r="B50" s="30" t="n"/>
      <c r="C50" s="30" t="n"/>
      <c r="D50" s="30" t="n"/>
      <c r="E50" s="30" t="n"/>
      <c r="F50" s="30" t="n"/>
      <c r="G50" s="30" t="n"/>
      <c r="H50" s="30" t="n"/>
      <c r="I50" s="31" t="n"/>
      <c r="J50" s="30" t="n"/>
      <c r="K50" s="30" t="n"/>
      <c r="L50" s="30" t="n"/>
      <c r="M50" s="30" t="n"/>
      <c r="N50" s="32" t="n"/>
      <c r="O50" s="30" t="n"/>
      <c r="P50" s="32" t="n"/>
      <c r="Q50" s="30" t="n"/>
      <c r="R50" s="32" t="n"/>
      <c r="S50" s="30" t="n"/>
      <c r="T50" s="30" t="n"/>
      <c r="U50" s="30" t="n"/>
      <c r="V50" s="30" t="n"/>
      <c r="W50" s="29">
        <f>IF(H50="","",IF(H50="Kenya","Yes","No"))</f>
        <v/>
      </c>
      <c r="X50" s="29">
        <f>IF(B50="","",IF(COUNTIF($B$5:$B$3004,B50)&gt;1,"DUPLICATE","OK"))</f>
        <v/>
      </c>
      <c r="Y50" s="29">
        <f>IF(OR(U50="",V50="",V50="Excluded"),"",IF(COUNTIFS($U$5:$U$3004,U50,$V$5:$V$3004,"&lt;&gt;"&amp;V50,$V$5:$V$3004,"&lt;&gt;",$V$5:$V$3004,"&lt;&gt;Excluded")&gt;0,"LEAK RISK","OK"))</f>
        <v/>
      </c>
      <c r="Z50" s="30" t="n"/>
    </row>
    <row r="51">
      <c r="A51" s="30" t="n"/>
      <c r="B51" s="30" t="n"/>
      <c r="C51" s="30" t="n"/>
      <c r="D51" s="30" t="n"/>
      <c r="E51" s="30" t="n"/>
      <c r="F51" s="30" t="n"/>
      <c r="G51" s="30" t="n"/>
      <c r="H51" s="30" t="n"/>
      <c r="I51" s="31" t="n"/>
      <c r="J51" s="30" t="n"/>
      <c r="K51" s="30" t="n"/>
      <c r="L51" s="30" t="n"/>
      <c r="M51" s="30" t="n"/>
      <c r="N51" s="32" t="n"/>
      <c r="O51" s="30" t="n"/>
      <c r="P51" s="32" t="n"/>
      <c r="Q51" s="30" t="n"/>
      <c r="R51" s="32" t="n"/>
      <c r="S51" s="30" t="n"/>
      <c r="T51" s="30" t="n"/>
      <c r="U51" s="30" t="n"/>
      <c r="V51" s="30" t="n"/>
      <c r="W51" s="29">
        <f>IF(H51="","",IF(H51="Kenya","Yes","No"))</f>
        <v/>
      </c>
      <c r="X51" s="29">
        <f>IF(B51="","",IF(COUNTIF($B$5:$B$3004,B51)&gt;1,"DUPLICATE","OK"))</f>
        <v/>
      </c>
      <c r="Y51" s="29">
        <f>IF(OR(U51="",V51="",V51="Excluded"),"",IF(COUNTIFS($U$5:$U$3004,U51,$V$5:$V$3004,"&lt;&gt;"&amp;V51,$V$5:$V$3004,"&lt;&gt;",$V$5:$V$3004,"&lt;&gt;Excluded")&gt;0,"LEAK RISK","OK"))</f>
        <v/>
      </c>
      <c r="Z51" s="30" t="n"/>
    </row>
    <row r="52">
      <c r="A52" s="30" t="n"/>
      <c r="B52" s="30" t="n"/>
      <c r="C52" s="30" t="n"/>
      <c r="D52" s="30" t="n"/>
      <c r="E52" s="30" t="n"/>
      <c r="F52" s="30" t="n"/>
      <c r="G52" s="30" t="n"/>
      <c r="H52" s="30" t="n"/>
      <c r="I52" s="31" t="n"/>
      <c r="J52" s="30" t="n"/>
      <c r="K52" s="30" t="n"/>
      <c r="L52" s="30" t="n"/>
      <c r="M52" s="30" t="n"/>
      <c r="N52" s="32" t="n"/>
      <c r="O52" s="30" t="n"/>
      <c r="P52" s="32" t="n"/>
      <c r="Q52" s="30" t="n"/>
      <c r="R52" s="32" t="n"/>
      <c r="S52" s="30" t="n"/>
      <c r="T52" s="30" t="n"/>
      <c r="U52" s="30" t="n"/>
      <c r="V52" s="30" t="n"/>
      <c r="W52" s="29">
        <f>IF(H52="","",IF(H52="Kenya","Yes","No"))</f>
        <v/>
      </c>
      <c r="X52" s="29">
        <f>IF(B52="","",IF(COUNTIF($B$5:$B$3004,B52)&gt;1,"DUPLICATE","OK"))</f>
        <v/>
      </c>
      <c r="Y52" s="29">
        <f>IF(OR(U52="",V52="",V52="Excluded"),"",IF(COUNTIFS($U$5:$U$3004,U52,$V$5:$V$3004,"&lt;&gt;"&amp;V52,$V$5:$V$3004,"&lt;&gt;",$V$5:$V$3004,"&lt;&gt;Excluded")&gt;0,"LEAK RISK","OK"))</f>
        <v/>
      </c>
      <c r="Z52" s="30" t="n"/>
    </row>
    <row r="53">
      <c r="A53" s="30" t="n"/>
      <c r="B53" s="30" t="n"/>
      <c r="C53" s="30" t="n"/>
      <c r="D53" s="30" t="n"/>
      <c r="E53" s="30" t="n"/>
      <c r="F53" s="30" t="n"/>
      <c r="G53" s="30" t="n"/>
      <c r="H53" s="30" t="n"/>
      <c r="I53" s="31" t="n"/>
      <c r="J53" s="30" t="n"/>
      <c r="K53" s="30" t="n"/>
      <c r="L53" s="30" t="n"/>
      <c r="M53" s="30" t="n"/>
      <c r="N53" s="32" t="n"/>
      <c r="O53" s="30" t="n"/>
      <c r="P53" s="32" t="n"/>
      <c r="Q53" s="30" t="n"/>
      <c r="R53" s="32" t="n"/>
      <c r="S53" s="30" t="n"/>
      <c r="T53" s="30" t="n"/>
      <c r="U53" s="30" t="n"/>
      <c r="V53" s="30" t="n"/>
      <c r="W53" s="29">
        <f>IF(H53="","",IF(H53="Kenya","Yes","No"))</f>
        <v/>
      </c>
      <c r="X53" s="29">
        <f>IF(B53="","",IF(COUNTIF($B$5:$B$3004,B53)&gt;1,"DUPLICATE","OK"))</f>
        <v/>
      </c>
      <c r="Y53" s="29">
        <f>IF(OR(U53="",V53="",V53="Excluded"),"",IF(COUNTIFS($U$5:$U$3004,U53,$V$5:$V$3004,"&lt;&gt;"&amp;V53,$V$5:$V$3004,"&lt;&gt;",$V$5:$V$3004,"&lt;&gt;Excluded")&gt;0,"LEAK RISK","OK"))</f>
        <v/>
      </c>
      <c r="Z53" s="30" t="n"/>
    </row>
    <row r="54">
      <c r="A54" s="30" t="n"/>
      <c r="B54" s="30" t="n"/>
      <c r="C54" s="30" t="n"/>
      <c r="D54" s="30" t="n"/>
      <c r="E54" s="30" t="n"/>
      <c r="F54" s="30" t="n"/>
      <c r="G54" s="30" t="n"/>
      <c r="H54" s="30" t="n"/>
      <c r="I54" s="31" t="n"/>
      <c r="J54" s="30" t="n"/>
      <c r="K54" s="30" t="n"/>
      <c r="L54" s="30" t="n"/>
      <c r="M54" s="30" t="n"/>
      <c r="N54" s="32" t="n"/>
      <c r="O54" s="30" t="n"/>
      <c r="P54" s="32" t="n"/>
      <c r="Q54" s="30" t="n"/>
      <c r="R54" s="32" t="n"/>
      <c r="S54" s="30" t="n"/>
      <c r="T54" s="30" t="n"/>
      <c r="U54" s="30" t="n"/>
      <c r="V54" s="30" t="n"/>
      <c r="W54" s="29">
        <f>IF(H54="","",IF(H54="Kenya","Yes","No"))</f>
        <v/>
      </c>
      <c r="X54" s="29">
        <f>IF(B54="","",IF(COUNTIF($B$5:$B$3004,B54)&gt;1,"DUPLICATE","OK"))</f>
        <v/>
      </c>
      <c r="Y54" s="29">
        <f>IF(OR(U54="",V54="",V54="Excluded"),"",IF(COUNTIFS($U$5:$U$3004,U54,$V$5:$V$3004,"&lt;&gt;"&amp;V54,$V$5:$V$3004,"&lt;&gt;",$V$5:$V$3004,"&lt;&gt;Excluded")&gt;0,"LEAK RISK","OK"))</f>
        <v/>
      </c>
      <c r="Z54" s="30" t="n"/>
    </row>
    <row r="55">
      <c r="A55" s="30" t="n"/>
      <c r="B55" s="30" t="n"/>
      <c r="C55" s="30" t="n"/>
      <c r="D55" s="30" t="n"/>
      <c r="E55" s="30" t="n"/>
      <c r="F55" s="30" t="n"/>
      <c r="G55" s="30" t="n"/>
      <c r="H55" s="30" t="n"/>
      <c r="I55" s="31" t="n"/>
      <c r="J55" s="30" t="n"/>
      <c r="K55" s="30" t="n"/>
      <c r="L55" s="30" t="n"/>
      <c r="M55" s="30" t="n"/>
      <c r="N55" s="32" t="n"/>
      <c r="O55" s="30" t="n"/>
      <c r="P55" s="32" t="n"/>
      <c r="Q55" s="30" t="n"/>
      <c r="R55" s="32" t="n"/>
      <c r="S55" s="30" t="n"/>
      <c r="T55" s="30" t="n"/>
      <c r="U55" s="30" t="n"/>
      <c r="V55" s="30" t="n"/>
      <c r="W55" s="29">
        <f>IF(H55="","",IF(H55="Kenya","Yes","No"))</f>
        <v/>
      </c>
      <c r="X55" s="29">
        <f>IF(B55="","",IF(COUNTIF($B$5:$B$3004,B55)&gt;1,"DUPLICATE","OK"))</f>
        <v/>
      </c>
      <c r="Y55" s="29">
        <f>IF(OR(U55="",V55="",V55="Excluded"),"",IF(COUNTIFS($U$5:$U$3004,U55,$V$5:$V$3004,"&lt;&gt;"&amp;V55,$V$5:$V$3004,"&lt;&gt;",$V$5:$V$3004,"&lt;&gt;Excluded")&gt;0,"LEAK RISK","OK"))</f>
        <v/>
      </c>
      <c r="Z55" s="30" t="n"/>
    </row>
    <row r="56">
      <c r="A56" s="30" t="n"/>
      <c r="B56" s="30" t="n"/>
      <c r="C56" s="30" t="n"/>
      <c r="D56" s="30" t="n"/>
      <c r="E56" s="30" t="n"/>
      <c r="F56" s="30" t="n"/>
      <c r="G56" s="30" t="n"/>
      <c r="H56" s="30" t="n"/>
      <c r="I56" s="31" t="n"/>
      <c r="J56" s="30" t="n"/>
      <c r="K56" s="30" t="n"/>
      <c r="L56" s="30" t="n"/>
      <c r="M56" s="30" t="n"/>
      <c r="N56" s="32" t="n"/>
      <c r="O56" s="30" t="n"/>
      <c r="P56" s="32" t="n"/>
      <c r="Q56" s="30" t="n"/>
      <c r="R56" s="32" t="n"/>
      <c r="S56" s="30" t="n"/>
      <c r="T56" s="30" t="n"/>
      <c r="U56" s="30" t="n"/>
      <c r="V56" s="30" t="n"/>
      <c r="W56" s="29">
        <f>IF(H56="","",IF(H56="Kenya","Yes","No"))</f>
        <v/>
      </c>
      <c r="X56" s="29">
        <f>IF(B56="","",IF(COUNTIF($B$5:$B$3004,B56)&gt;1,"DUPLICATE","OK"))</f>
        <v/>
      </c>
      <c r="Y56" s="29">
        <f>IF(OR(U56="",V56="",V56="Excluded"),"",IF(COUNTIFS($U$5:$U$3004,U56,$V$5:$V$3004,"&lt;&gt;"&amp;V56,$V$5:$V$3004,"&lt;&gt;",$V$5:$V$3004,"&lt;&gt;Excluded")&gt;0,"LEAK RISK","OK"))</f>
        <v/>
      </c>
      <c r="Z56" s="30" t="n"/>
    </row>
    <row r="57">
      <c r="A57" s="30" t="n"/>
      <c r="B57" s="30" t="n"/>
      <c r="C57" s="30" t="n"/>
      <c r="D57" s="30" t="n"/>
      <c r="E57" s="30" t="n"/>
      <c r="F57" s="30" t="n"/>
      <c r="G57" s="30" t="n"/>
      <c r="H57" s="30" t="n"/>
      <c r="I57" s="31" t="n"/>
      <c r="J57" s="30" t="n"/>
      <c r="K57" s="30" t="n"/>
      <c r="L57" s="30" t="n"/>
      <c r="M57" s="30" t="n"/>
      <c r="N57" s="32" t="n"/>
      <c r="O57" s="30" t="n"/>
      <c r="P57" s="32" t="n"/>
      <c r="Q57" s="30" t="n"/>
      <c r="R57" s="32" t="n"/>
      <c r="S57" s="30" t="n"/>
      <c r="T57" s="30" t="n"/>
      <c r="U57" s="30" t="n"/>
      <c r="V57" s="30" t="n"/>
      <c r="W57" s="29">
        <f>IF(H57="","",IF(H57="Kenya","Yes","No"))</f>
        <v/>
      </c>
      <c r="X57" s="29">
        <f>IF(B57="","",IF(COUNTIF($B$5:$B$3004,B57)&gt;1,"DUPLICATE","OK"))</f>
        <v/>
      </c>
      <c r="Y57" s="29">
        <f>IF(OR(U57="",V57="",V57="Excluded"),"",IF(COUNTIFS($U$5:$U$3004,U57,$V$5:$V$3004,"&lt;&gt;"&amp;V57,$V$5:$V$3004,"&lt;&gt;",$V$5:$V$3004,"&lt;&gt;Excluded")&gt;0,"LEAK RISK","OK"))</f>
        <v/>
      </c>
      <c r="Z57" s="30" t="n"/>
    </row>
    <row r="58">
      <c r="A58" s="30" t="n"/>
      <c r="B58" s="30" t="n"/>
      <c r="C58" s="30" t="n"/>
      <c r="D58" s="30" t="n"/>
      <c r="E58" s="30" t="n"/>
      <c r="F58" s="30" t="n"/>
      <c r="G58" s="30" t="n"/>
      <c r="H58" s="30" t="n"/>
      <c r="I58" s="31" t="n"/>
      <c r="J58" s="30" t="n"/>
      <c r="K58" s="30" t="n"/>
      <c r="L58" s="30" t="n"/>
      <c r="M58" s="30" t="n"/>
      <c r="N58" s="32" t="n"/>
      <c r="O58" s="30" t="n"/>
      <c r="P58" s="32" t="n"/>
      <c r="Q58" s="30" t="n"/>
      <c r="R58" s="32" t="n"/>
      <c r="S58" s="30" t="n"/>
      <c r="T58" s="30" t="n"/>
      <c r="U58" s="30" t="n"/>
      <c r="V58" s="30" t="n"/>
      <c r="W58" s="29">
        <f>IF(H58="","",IF(H58="Kenya","Yes","No"))</f>
        <v/>
      </c>
      <c r="X58" s="29">
        <f>IF(B58="","",IF(COUNTIF($B$5:$B$3004,B58)&gt;1,"DUPLICATE","OK"))</f>
        <v/>
      </c>
      <c r="Y58" s="29">
        <f>IF(OR(U58="",V58="",V58="Excluded"),"",IF(COUNTIFS($U$5:$U$3004,U58,$V$5:$V$3004,"&lt;&gt;"&amp;V58,$V$5:$V$3004,"&lt;&gt;",$V$5:$V$3004,"&lt;&gt;Excluded")&gt;0,"LEAK RISK","OK"))</f>
        <v/>
      </c>
      <c r="Z58" s="30" t="n"/>
    </row>
    <row r="59">
      <c r="A59" s="30" t="n"/>
      <c r="B59" s="30" t="n"/>
      <c r="C59" s="30" t="n"/>
      <c r="D59" s="30" t="n"/>
      <c r="E59" s="30" t="n"/>
      <c r="F59" s="30" t="n"/>
      <c r="G59" s="30" t="n"/>
      <c r="H59" s="30" t="n"/>
      <c r="I59" s="31" t="n"/>
      <c r="J59" s="30" t="n"/>
      <c r="K59" s="30" t="n"/>
      <c r="L59" s="30" t="n"/>
      <c r="M59" s="30" t="n"/>
      <c r="N59" s="32" t="n"/>
      <c r="O59" s="30" t="n"/>
      <c r="P59" s="32" t="n"/>
      <c r="Q59" s="30" t="n"/>
      <c r="R59" s="32" t="n"/>
      <c r="S59" s="30" t="n"/>
      <c r="T59" s="30" t="n"/>
      <c r="U59" s="30" t="n"/>
      <c r="V59" s="30" t="n"/>
      <c r="W59" s="29">
        <f>IF(H59="","",IF(H59="Kenya","Yes","No"))</f>
        <v/>
      </c>
      <c r="X59" s="29">
        <f>IF(B59="","",IF(COUNTIF($B$5:$B$3004,B59)&gt;1,"DUPLICATE","OK"))</f>
        <v/>
      </c>
      <c r="Y59" s="29">
        <f>IF(OR(U59="",V59="",V59="Excluded"),"",IF(COUNTIFS($U$5:$U$3004,U59,$V$5:$V$3004,"&lt;&gt;"&amp;V59,$V$5:$V$3004,"&lt;&gt;",$V$5:$V$3004,"&lt;&gt;Excluded")&gt;0,"LEAK RISK","OK"))</f>
        <v/>
      </c>
      <c r="Z59" s="30" t="n"/>
    </row>
    <row r="60">
      <c r="A60" s="30" t="n"/>
      <c r="B60" s="30" t="n"/>
      <c r="C60" s="30" t="n"/>
      <c r="D60" s="30" t="n"/>
      <c r="E60" s="30" t="n"/>
      <c r="F60" s="30" t="n"/>
      <c r="G60" s="30" t="n"/>
      <c r="H60" s="30" t="n"/>
      <c r="I60" s="31" t="n"/>
      <c r="J60" s="30" t="n"/>
      <c r="K60" s="30" t="n"/>
      <c r="L60" s="30" t="n"/>
      <c r="M60" s="30" t="n"/>
      <c r="N60" s="32" t="n"/>
      <c r="O60" s="30" t="n"/>
      <c r="P60" s="32" t="n"/>
      <c r="Q60" s="30" t="n"/>
      <c r="R60" s="32" t="n"/>
      <c r="S60" s="30" t="n"/>
      <c r="T60" s="30" t="n"/>
      <c r="U60" s="30" t="n"/>
      <c r="V60" s="30" t="n"/>
      <c r="W60" s="29">
        <f>IF(H60="","",IF(H60="Kenya","Yes","No"))</f>
        <v/>
      </c>
      <c r="X60" s="29">
        <f>IF(B60="","",IF(COUNTIF($B$5:$B$3004,B60)&gt;1,"DUPLICATE","OK"))</f>
        <v/>
      </c>
      <c r="Y60" s="29">
        <f>IF(OR(U60="",V60="",V60="Excluded"),"",IF(COUNTIFS($U$5:$U$3004,U60,$V$5:$V$3004,"&lt;&gt;"&amp;V60,$V$5:$V$3004,"&lt;&gt;",$V$5:$V$3004,"&lt;&gt;Excluded")&gt;0,"LEAK RISK","OK"))</f>
        <v/>
      </c>
      <c r="Z60" s="30" t="n"/>
    </row>
    <row r="61">
      <c r="A61" s="30" t="n"/>
      <c r="B61" s="30" t="n"/>
      <c r="C61" s="30" t="n"/>
      <c r="D61" s="30" t="n"/>
      <c r="E61" s="30" t="n"/>
      <c r="F61" s="30" t="n"/>
      <c r="G61" s="30" t="n"/>
      <c r="H61" s="30" t="n"/>
      <c r="I61" s="31" t="n"/>
      <c r="J61" s="30" t="n"/>
      <c r="K61" s="30" t="n"/>
      <c r="L61" s="30" t="n"/>
      <c r="M61" s="30" t="n"/>
      <c r="N61" s="32" t="n"/>
      <c r="O61" s="30" t="n"/>
      <c r="P61" s="32" t="n"/>
      <c r="Q61" s="30" t="n"/>
      <c r="R61" s="32" t="n"/>
      <c r="S61" s="30" t="n"/>
      <c r="T61" s="30" t="n"/>
      <c r="U61" s="30" t="n"/>
      <c r="V61" s="30" t="n"/>
      <c r="W61" s="29">
        <f>IF(H61="","",IF(H61="Kenya","Yes","No"))</f>
        <v/>
      </c>
      <c r="X61" s="29">
        <f>IF(B61="","",IF(COUNTIF($B$5:$B$3004,B61)&gt;1,"DUPLICATE","OK"))</f>
        <v/>
      </c>
      <c r="Y61" s="29">
        <f>IF(OR(U61="",V61="",V61="Excluded"),"",IF(COUNTIFS($U$5:$U$3004,U61,$V$5:$V$3004,"&lt;&gt;"&amp;V61,$V$5:$V$3004,"&lt;&gt;",$V$5:$V$3004,"&lt;&gt;Excluded")&gt;0,"LEAK RISK","OK"))</f>
        <v/>
      </c>
      <c r="Z61" s="30" t="n"/>
    </row>
    <row r="62">
      <c r="A62" s="30" t="n"/>
      <c r="B62" s="30" t="n"/>
      <c r="C62" s="30" t="n"/>
      <c r="D62" s="30" t="n"/>
      <c r="E62" s="30" t="n"/>
      <c r="F62" s="30" t="n"/>
      <c r="G62" s="30" t="n"/>
      <c r="H62" s="30" t="n"/>
      <c r="I62" s="31" t="n"/>
      <c r="J62" s="30" t="n"/>
      <c r="K62" s="30" t="n"/>
      <c r="L62" s="30" t="n"/>
      <c r="M62" s="30" t="n"/>
      <c r="N62" s="32" t="n"/>
      <c r="O62" s="30" t="n"/>
      <c r="P62" s="32" t="n"/>
      <c r="Q62" s="30" t="n"/>
      <c r="R62" s="32" t="n"/>
      <c r="S62" s="30" t="n"/>
      <c r="T62" s="30" t="n"/>
      <c r="U62" s="30" t="n"/>
      <c r="V62" s="30" t="n"/>
      <c r="W62" s="29">
        <f>IF(H62="","",IF(H62="Kenya","Yes","No"))</f>
        <v/>
      </c>
      <c r="X62" s="29">
        <f>IF(B62="","",IF(COUNTIF($B$5:$B$3004,B62)&gt;1,"DUPLICATE","OK"))</f>
        <v/>
      </c>
      <c r="Y62" s="29">
        <f>IF(OR(U62="",V62="",V62="Excluded"),"",IF(COUNTIFS($U$5:$U$3004,U62,$V$5:$V$3004,"&lt;&gt;"&amp;V62,$V$5:$V$3004,"&lt;&gt;",$V$5:$V$3004,"&lt;&gt;Excluded")&gt;0,"LEAK RISK","OK"))</f>
        <v/>
      </c>
      <c r="Z62" s="30" t="n"/>
    </row>
    <row r="63">
      <c r="A63" s="30" t="n"/>
      <c r="B63" s="30" t="n"/>
      <c r="C63" s="30" t="n"/>
      <c r="D63" s="30" t="n"/>
      <c r="E63" s="30" t="n"/>
      <c r="F63" s="30" t="n"/>
      <c r="G63" s="30" t="n"/>
      <c r="H63" s="30" t="n"/>
      <c r="I63" s="31" t="n"/>
      <c r="J63" s="30" t="n"/>
      <c r="K63" s="30" t="n"/>
      <c r="L63" s="30" t="n"/>
      <c r="M63" s="30" t="n"/>
      <c r="N63" s="32" t="n"/>
      <c r="O63" s="30" t="n"/>
      <c r="P63" s="32" t="n"/>
      <c r="Q63" s="30" t="n"/>
      <c r="R63" s="32" t="n"/>
      <c r="S63" s="30" t="n"/>
      <c r="T63" s="30" t="n"/>
      <c r="U63" s="30" t="n"/>
      <c r="V63" s="30" t="n"/>
      <c r="W63" s="29">
        <f>IF(H63="","",IF(H63="Kenya","Yes","No"))</f>
        <v/>
      </c>
      <c r="X63" s="29">
        <f>IF(B63="","",IF(COUNTIF($B$5:$B$3004,B63)&gt;1,"DUPLICATE","OK"))</f>
        <v/>
      </c>
      <c r="Y63" s="29">
        <f>IF(OR(U63="",V63="",V63="Excluded"),"",IF(COUNTIFS($U$5:$U$3004,U63,$V$5:$V$3004,"&lt;&gt;"&amp;V63,$V$5:$V$3004,"&lt;&gt;",$V$5:$V$3004,"&lt;&gt;Excluded")&gt;0,"LEAK RISK","OK"))</f>
        <v/>
      </c>
      <c r="Z63" s="30" t="n"/>
    </row>
    <row r="64">
      <c r="A64" s="30" t="n"/>
      <c r="B64" s="30" t="n"/>
      <c r="C64" s="30" t="n"/>
      <c r="D64" s="30" t="n"/>
      <c r="E64" s="30" t="n"/>
      <c r="F64" s="30" t="n"/>
      <c r="G64" s="30" t="n"/>
      <c r="H64" s="30" t="n"/>
      <c r="I64" s="31" t="n"/>
      <c r="J64" s="30" t="n"/>
      <c r="K64" s="30" t="n"/>
      <c r="L64" s="30" t="n"/>
      <c r="M64" s="30" t="n"/>
      <c r="N64" s="32" t="n"/>
      <c r="O64" s="30" t="n"/>
      <c r="P64" s="32" t="n"/>
      <c r="Q64" s="30" t="n"/>
      <c r="R64" s="32" t="n"/>
      <c r="S64" s="30" t="n"/>
      <c r="T64" s="30" t="n"/>
      <c r="U64" s="30" t="n"/>
      <c r="V64" s="30" t="n"/>
      <c r="W64" s="29">
        <f>IF(H64="","",IF(H64="Kenya","Yes","No"))</f>
        <v/>
      </c>
      <c r="X64" s="29">
        <f>IF(B64="","",IF(COUNTIF($B$5:$B$3004,B64)&gt;1,"DUPLICATE","OK"))</f>
        <v/>
      </c>
      <c r="Y64" s="29">
        <f>IF(OR(U64="",V64="",V64="Excluded"),"",IF(COUNTIFS($U$5:$U$3004,U64,$V$5:$V$3004,"&lt;&gt;"&amp;V64,$V$5:$V$3004,"&lt;&gt;",$V$5:$V$3004,"&lt;&gt;Excluded")&gt;0,"LEAK RISK","OK"))</f>
        <v/>
      </c>
      <c r="Z64" s="30" t="n"/>
    </row>
    <row r="65">
      <c r="A65" s="30" t="n"/>
      <c r="B65" s="30" t="n"/>
      <c r="C65" s="30" t="n"/>
      <c r="D65" s="30" t="n"/>
      <c r="E65" s="30" t="n"/>
      <c r="F65" s="30" t="n"/>
      <c r="G65" s="30" t="n"/>
      <c r="H65" s="30" t="n"/>
      <c r="I65" s="31" t="n"/>
      <c r="J65" s="30" t="n"/>
      <c r="K65" s="30" t="n"/>
      <c r="L65" s="30" t="n"/>
      <c r="M65" s="30" t="n"/>
      <c r="N65" s="32" t="n"/>
      <c r="O65" s="30" t="n"/>
      <c r="P65" s="32" t="n"/>
      <c r="Q65" s="30" t="n"/>
      <c r="R65" s="32" t="n"/>
      <c r="S65" s="30" t="n"/>
      <c r="T65" s="30" t="n"/>
      <c r="U65" s="30" t="n"/>
      <c r="V65" s="30" t="n"/>
      <c r="W65" s="29">
        <f>IF(H65="","",IF(H65="Kenya","Yes","No"))</f>
        <v/>
      </c>
      <c r="X65" s="29">
        <f>IF(B65="","",IF(COUNTIF($B$5:$B$3004,B65)&gt;1,"DUPLICATE","OK"))</f>
        <v/>
      </c>
      <c r="Y65" s="29">
        <f>IF(OR(U65="",V65="",V65="Excluded"),"",IF(COUNTIFS($U$5:$U$3004,U65,$V$5:$V$3004,"&lt;&gt;"&amp;V65,$V$5:$V$3004,"&lt;&gt;",$V$5:$V$3004,"&lt;&gt;Excluded")&gt;0,"LEAK RISK","OK"))</f>
        <v/>
      </c>
      <c r="Z65" s="30" t="n"/>
    </row>
    <row r="66">
      <c r="A66" s="30" t="n"/>
      <c r="B66" s="30" t="n"/>
      <c r="C66" s="30" t="n"/>
      <c r="D66" s="30" t="n"/>
      <c r="E66" s="30" t="n"/>
      <c r="F66" s="30" t="n"/>
      <c r="G66" s="30" t="n"/>
      <c r="H66" s="30" t="n"/>
      <c r="I66" s="31" t="n"/>
      <c r="J66" s="30" t="n"/>
      <c r="K66" s="30" t="n"/>
      <c r="L66" s="30" t="n"/>
      <c r="M66" s="30" t="n"/>
      <c r="N66" s="32" t="n"/>
      <c r="O66" s="30" t="n"/>
      <c r="P66" s="32" t="n"/>
      <c r="Q66" s="30" t="n"/>
      <c r="R66" s="32" t="n"/>
      <c r="S66" s="30" t="n"/>
      <c r="T66" s="30" t="n"/>
      <c r="U66" s="30" t="n"/>
      <c r="V66" s="30" t="n"/>
      <c r="W66" s="29">
        <f>IF(H66="","",IF(H66="Kenya","Yes","No"))</f>
        <v/>
      </c>
      <c r="X66" s="29">
        <f>IF(B66="","",IF(COUNTIF($B$5:$B$3004,B66)&gt;1,"DUPLICATE","OK"))</f>
        <v/>
      </c>
      <c r="Y66" s="29">
        <f>IF(OR(U66="",V66="",V66="Excluded"),"",IF(COUNTIFS($U$5:$U$3004,U66,$V$5:$V$3004,"&lt;&gt;"&amp;V66,$V$5:$V$3004,"&lt;&gt;",$V$5:$V$3004,"&lt;&gt;Excluded")&gt;0,"LEAK RISK","OK"))</f>
        <v/>
      </c>
      <c r="Z66" s="30" t="n"/>
    </row>
    <row r="67">
      <c r="A67" s="30" t="n"/>
      <c r="B67" s="30" t="n"/>
      <c r="C67" s="30" t="n"/>
      <c r="D67" s="30" t="n"/>
      <c r="E67" s="30" t="n"/>
      <c r="F67" s="30" t="n"/>
      <c r="G67" s="30" t="n"/>
      <c r="H67" s="30" t="n"/>
      <c r="I67" s="31" t="n"/>
      <c r="J67" s="30" t="n"/>
      <c r="K67" s="30" t="n"/>
      <c r="L67" s="30" t="n"/>
      <c r="M67" s="30" t="n"/>
      <c r="N67" s="32" t="n"/>
      <c r="O67" s="30" t="n"/>
      <c r="P67" s="32" t="n"/>
      <c r="Q67" s="30" t="n"/>
      <c r="R67" s="32" t="n"/>
      <c r="S67" s="30" t="n"/>
      <c r="T67" s="30" t="n"/>
      <c r="U67" s="30" t="n"/>
      <c r="V67" s="30" t="n"/>
      <c r="W67" s="29">
        <f>IF(H67="","",IF(H67="Kenya","Yes","No"))</f>
        <v/>
      </c>
      <c r="X67" s="29">
        <f>IF(B67="","",IF(COUNTIF($B$5:$B$3004,B67)&gt;1,"DUPLICATE","OK"))</f>
        <v/>
      </c>
      <c r="Y67" s="29">
        <f>IF(OR(U67="",V67="",V67="Excluded"),"",IF(COUNTIFS($U$5:$U$3004,U67,$V$5:$V$3004,"&lt;&gt;"&amp;V67,$V$5:$V$3004,"&lt;&gt;",$V$5:$V$3004,"&lt;&gt;Excluded")&gt;0,"LEAK RISK","OK"))</f>
        <v/>
      </c>
      <c r="Z67" s="30" t="n"/>
    </row>
    <row r="68">
      <c r="A68" s="30" t="n"/>
      <c r="B68" s="30" t="n"/>
      <c r="C68" s="30" t="n"/>
      <c r="D68" s="30" t="n"/>
      <c r="E68" s="30" t="n"/>
      <c r="F68" s="30" t="n"/>
      <c r="G68" s="30" t="n"/>
      <c r="H68" s="30" t="n"/>
      <c r="I68" s="31" t="n"/>
      <c r="J68" s="30" t="n"/>
      <c r="K68" s="30" t="n"/>
      <c r="L68" s="30" t="n"/>
      <c r="M68" s="30" t="n"/>
      <c r="N68" s="32" t="n"/>
      <c r="O68" s="30" t="n"/>
      <c r="P68" s="32" t="n"/>
      <c r="Q68" s="30" t="n"/>
      <c r="R68" s="32" t="n"/>
      <c r="S68" s="30" t="n"/>
      <c r="T68" s="30" t="n"/>
      <c r="U68" s="30" t="n"/>
      <c r="V68" s="30" t="n"/>
      <c r="W68" s="29">
        <f>IF(H68="","",IF(H68="Kenya","Yes","No"))</f>
        <v/>
      </c>
      <c r="X68" s="29">
        <f>IF(B68="","",IF(COUNTIF($B$5:$B$3004,B68)&gt;1,"DUPLICATE","OK"))</f>
        <v/>
      </c>
      <c r="Y68" s="29">
        <f>IF(OR(U68="",V68="",V68="Excluded"),"",IF(COUNTIFS($U$5:$U$3004,U68,$V$5:$V$3004,"&lt;&gt;"&amp;V68,$V$5:$V$3004,"&lt;&gt;",$V$5:$V$3004,"&lt;&gt;Excluded")&gt;0,"LEAK RISK","OK"))</f>
        <v/>
      </c>
      <c r="Z68" s="30" t="n"/>
    </row>
    <row r="69">
      <c r="A69" s="30" t="n"/>
      <c r="B69" s="30" t="n"/>
      <c r="C69" s="30" t="n"/>
      <c r="D69" s="30" t="n"/>
      <c r="E69" s="30" t="n"/>
      <c r="F69" s="30" t="n"/>
      <c r="G69" s="30" t="n"/>
      <c r="H69" s="30" t="n"/>
      <c r="I69" s="31" t="n"/>
      <c r="J69" s="30" t="n"/>
      <c r="K69" s="30" t="n"/>
      <c r="L69" s="30" t="n"/>
      <c r="M69" s="30" t="n"/>
      <c r="N69" s="32" t="n"/>
      <c r="O69" s="30" t="n"/>
      <c r="P69" s="32" t="n"/>
      <c r="Q69" s="30" t="n"/>
      <c r="R69" s="32" t="n"/>
      <c r="S69" s="30" t="n"/>
      <c r="T69" s="30" t="n"/>
      <c r="U69" s="30" t="n"/>
      <c r="V69" s="30" t="n"/>
      <c r="W69" s="29">
        <f>IF(H69="","",IF(H69="Kenya","Yes","No"))</f>
        <v/>
      </c>
      <c r="X69" s="29">
        <f>IF(B69="","",IF(COUNTIF($B$5:$B$3004,B69)&gt;1,"DUPLICATE","OK"))</f>
        <v/>
      </c>
      <c r="Y69" s="29">
        <f>IF(OR(U69="",V69="",V69="Excluded"),"",IF(COUNTIFS($U$5:$U$3004,U69,$V$5:$V$3004,"&lt;&gt;"&amp;V69,$V$5:$V$3004,"&lt;&gt;",$V$5:$V$3004,"&lt;&gt;Excluded")&gt;0,"LEAK RISK","OK"))</f>
        <v/>
      </c>
      <c r="Z69" s="30" t="n"/>
    </row>
    <row r="70">
      <c r="A70" s="30" t="n"/>
      <c r="B70" s="30" t="n"/>
      <c r="C70" s="30" t="n"/>
      <c r="D70" s="30" t="n"/>
      <c r="E70" s="30" t="n"/>
      <c r="F70" s="30" t="n"/>
      <c r="G70" s="30" t="n"/>
      <c r="H70" s="30" t="n"/>
      <c r="I70" s="31" t="n"/>
      <c r="J70" s="30" t="n"/>
      <c r="K70" s="30" t="n"/>
      <c r="L70" s="30" t="n"/>
      <c r="M70" s="30" t="n"/>
      <c r="N70" s="32" t="n"/>
      <c r="O70" s="30" t="n"/>
      <c r="P70" s="32" t="n"/>
      <c r="Q70" s="30" t="n"/>
      <c r="R70" s="32" t="n"/>
      <c r="S70" s="30" t="n"/>
      <c r="T70" s="30" t="n"/>
      <c r="U70" s="30" t="n"/>
      <c r="V70" s="30" t="n"/>
      <c r="W70" s="29">
        <f>IF(H70="","",IF(H70="Kenya","Yes","No"))</f>
        <v/>
      </c>
      <c r="X70" s="29">
        <f>IF(B70="","",IF(COUNTIF($B$5:$B$3004,B70)&gt;1,"DUPLICATE","OK"))</f>
        <v/>
      </c>
      <c r="Y70" s="29">
        <f>IF(OR(U70="",V70="",V70="Excluded"),"",IF(COUNTIFS($U$5:$U$3004,U70,$V$5:$V$3004,"&lt;&gt;"&amp;V70,$V$5:$V$3004,"&lt;&gt;",$V$5:$V$3004,"&lt;&gt;Excluded")&gt;0,"LEAK RISK","OK"))</f>
        <v/>
      </c>
      <c r="Z70" s="30" t="n"/>
    </row>
    <row r="71">
      <c r="A71" s="30" t="n"/>
      <c r="B71" s="30" t="n"/>
      <c r="C71" s="30" t="n"/>
      <c r="D71" s="30" t="n"/>
      <c r="E71" s="30" t="n"/>
      <c r="F71" s="30" t="n"/>
      <c r="G71" s="30" t="n"/>
      <c r="H71" s="30" t="n"/>
      <c r="I71" s="31" t="n"/>
      <c r="J71" s="30" t="n"/>
      <c r="K71" s="30" t="n"/>
      <c r="L71" s="30" t="n"/>
      <c r="M71" s="30" t="n"/>
      <c r="N71" s="32" t="n"/>
      <c r="O71" s="30" t="n"/>
      <c r="P71" s="32" t="n"/>
      <c r="Q71" s="30" t="n"/>
      <c r="R71" s="32" t="n"/>
      <c r="S71" s="30" t="n"/>
      <c r="T71" s="30" t="n"/>
      <c r="U71" s="30" t="n"/>
      <c r="V71" s="30" t="n"/>
      <c r="W71" s="29">
        <f>IF(H71="","",IF(H71="Kenya","Yes","No"))</f>
        <v/>
      </c>
      <c r="X71" s="29">
        <f>IF(B71="","",IF(COUNTIF($B$5:$B$3004,B71)&gt;1,"DUPLICATE","OK"))</f>
        <v/>
      </c>
      <c r="Y71" s="29">
        <f>IF(OR(U71="",V71="",V71="Excluded"),"",IF(COUNTIFS($U$5:$U$3004,U71,$V$5:$V$3004,"&lt;&gt;"&amp;V71,$V$5:$V$3004,"&lt;&gt;",$V$5:$V$3004,"&lt;&gt;Excluded")&gt;0,"LEAK RISK","OK"))</f>
        <v/>
      </c>
      <c r="Z71" s="30" t="n"/>
    </row>
    <row r="72">
      <c r="A72" s="30" t="n"/>
      <c r="B72" s="30" t="n"/>
      <c r="C72" s="30" t="n"/>
      <c r="D72" s="30" t="n"/>
      <c r="E72" s="30" t="n"/>
      <c r="F72" s="30" t="n"/>
      <c r="G72" s="30" t="n"/>
      <c r="H72" s="30" t="n"/>
      <c r="I72" s="31" t="n"/>
      <c r="J72" s="30" t="n"/>
      <c r="K72" s="30" t="n"/>
      <c r="L72" s="30" t="n"/>
      <c r="M72" s="30" t="n"/>
      <c r="N72" s="32" t="n"/>
      <c r="O72" s="30" t="n"/>
      <c r="P72" s="32" t="n"/>
      <c r="Q72" s="30" t="n"/>
      <c r="R72" s="32" t="n"/>
      <c r="S72" s="30" t="n"/>
      <c r="T72" s="30" t="n"/>
      <c r="U72" s="30" t="n"/>
      <c r="V72" s="30" t="n"/>
      <c r="W72" s="29">
        <f>IF(H72="","",IF(H72="Kenya","Yes","No"))</f>
        <v/>
      </c>
      <c r="X72" s="29">
        <f>IF(B72="","",IF(COUNTIF($B$5:$B$3004,B72)&gt;1,"DUPLICATE","OK"))</f>
        <v/>
      </c>
      <c r="Y72" s="29">
        <f>IF(OR(U72="",V72="",V72="Excluded"),"",IF(COUNTIFS($U$5:$U$3004,U72,$V$5:$V$3004,"&lt;&gt;"&amp;V72,$V$5:$V$3004,"&lt;&gt;",$V$5:$V$3004,"&lt;&gt;Excluded")&gt;0,"LEAK RISK","OK"))</f>
        <v/>
      </c>
      <c r="Z72" s="30" t="n"/>
    </row>
    <row r="73">
      <c r="A73" s="30" t="n"/>
      <c r="B73" s="30" t="n"/>
      <c r="C73" s="30" t="n"/>
      <c r="D73" s="30" t="n"/>
      <c r="E73" s="30" t="n"/>
      <c r="F73" s="30" t="n"/>
      <c r="G73" s="30" t="n"/>
      <c r="H73" s="30" t="n"/>
      <c r="I73" s="31" t="n"/>
      <c r="J73" s="30" t="n"/>
      <c r="K73" s="30" t="n"/>
      <c r="L73" s="30" t="n"/>
      <c r="M73" s="30" t="n"/>
      <c r="N73" s="32" t="n"/>
      <c r="O73" s="30" t="n"/>
      <c r="P73" s="32" t="n"/>
      <c r="Q73" s="30" t="n"/>
      <c r="R73" s="32" t="n"/>
      <c r="S73" s="30" t="n"/>
      <c r="T73" s="30" t="n"/>
      <c r="U73" s="30" t="n"/>
      <c r="V73" s="30" t="n"/>
      <c r="W73" s="29">
        <f>IF(H73="","",IF(H73="Kenya","Yes","No"))</f>
        <v/>
      </c>
      <c r="X73" s="29">
        <f>IF(B73="","",IF(COUNTIF($B$5:$B$3004,B73)&gt;1,"DUPLICATE","OK"))</f>
        <v/>
      </c>
      <c r="Y73" s="29">
        <f>IF(OR(U73="",V73="",V73="Excluded"),"",IF(COUNTIFS($U$5:$U$3004,U73,$V$5:$V$3004,"&lt;&gt;"&amp;V73,$V$5:$V$3004,"&lt;&gt;",$V$5:$V$3004,"&lt;&gt;Excluded")&gt;0,"LEAK RISK","OK"))</f>
        <v/>
      </c>
      <c r="Z73" s="30" t="n"/>
    </row>
    <row r="74">
      <c r="A74" s="30" t="n"/>
      <c r="B74" s="30" t="n"/>
      <c r="C74" s="30" t="n"/>
      <c r="D74" s="30" t="n"/>
      <c r="E74" s="30" t="n"/>
      <c r="F74" s="30" t="n"/>
      <c r="G74" s="30" t="n"/>
      <c r="H74" s="30" t="n"/>
      <c r="I74" s="31" t="n"/>
      <c r="J74" s="30" t="n"/>
      <c r="K74" s="30" t="n"/>
      <c r="L74" s="30" t="n"/>
      <c r="M74" s="30" t="n"/>
      <c r="N74" s="32" t="n"/>
      <c r="O74" s="30" t="n"/>
      <c r="P74" s="32" t="n"/>
      <c r="Q74" s="30" t="n"/>
      <c r="R74" s="32" t="n"/>
      <c r="S74" s="30" t="n"/>
      <c r="T74" s="30" t="n"/>
      <c r="U74" s="30" t="n"/>
      <c r="V74" s="30" t="n"/>
      <c r="W74" s="29">
        <f>IF(H74="","",IF(H74="Kenya","Yes","No"))</f>
        <v/>
      </c>
      <c r="X74" s="29">
        <f>IF(B74="","",IF(COUNTIF($B$5:$B$3004,B74)&gt;1,"DUPLICATE","OK"))</f>
        <v/>
      </c>
      <c r="Y74" s="29">
        <f>IF(OR(U74="",V74="",V74="Excluded"),"",IF(COUNTIFS($U$5:$U$3004,U74,$V$5:$V$3004,"&lt;&gt;"&amp;V74,$V$5:$V$3004,"&lt;&gt;",$V$5:$V$3004,"&lt;&gt;Excluded")&gt;0,"LEAK RISK","OK"))</f>
        <v/>
      </c>
      <c r="Z74" s="30" t="n"/>
    </row>
    <row r="75">
      <c r="A75" s="30" t="n"/>
      <c r="B75" s="30" t="n"/>
      <c r="C75" s="30" t="n"/>
      <c r="D75" s="30" t="n"/>
      <c r="E75" s="30" t="n"/>
      <c r="F75" s="30" t="n"/>
      <c r="G75" s="30" t="n"/>
      <c r="H75" s="30" t="n"/>
      <c r="I75" s="31" t="n"/>
      <c r="J75" s="30" t="n"/>
      <c r="K75" s="30" t="n"/>
      <c r="L75" s="30" t="n"/>
      <c r="M75" s="30" t="n"/>
      <c r="N75" s="32" t="n"/>
      <c r="O75" s="30" t="n"/>
      <c r="P75" s="32" t="n"/>
      <c r="Q75" s="30" t="n"/>
      <c r="R75" s="32" t="n"/>
      <c r="S75" s="30" t="n"/>
      <c r="T75" s="30" t="n"/>
      <c r="U75" s="30" t="n"/>
      <c r="V75" s="30" t="n"/>
      <c r="W75" s="29">
        <f>IF(H75="","",IF(H75="Kenya","Yes","No"))</f>
        <v/>
      </c>
      <c r="X75" s="29">
        <f>IF(B75="","",IF(COUNTIF($B$5:$B$3004,B75)&gt;1,"DUPLICATE","OK"))</f>
        <v/>
      </c>
      <c r="Y75" s="29">
        <f>IF(OR(U75="",V75="",V75="Excluded"),"",IF(COUNTIFS($U$5:$U$3004,U75,$V$5:$V$3004,"&lt;&gt;"&amp;V75,$V$5:$V$3004,"&lt;&gt;",$V$5:$V$3004,"&lt;&gt;Excluded")&gt;0,"LEAK RISK","OK"))</f>
        <v/>
      </c>
      <c r="Z75" s="30" t="n"/>
    </row>
    <row r="76">
      <c r="A76" s="30" t="n"/>
      <c r="B76" s="30" t="n"/>
      <c r="C76" s="30" t="n"/>
      <c r="D76" s="30" t="n"/>
      <c r="E76" s="30" t="n"/>
      <c r="F76" s="30" t="n"/>
      <c r="G76" s="30" t="n"/>
      <c r="H76" s="30" t="n"/>
      <c r="I76" s="31" t="n"/>
      <c r="J76" s="30" t="n"/>
      <c r="K76" s="30" t="n"/>
      <c r="L76" s="30" t="n"/>
      <c r="M76" s="30" t="n"/>
      <c r="N76" s="32" t="n"/>
      <c r="O76" s="30" t="n"/>
      <c r="P76" s="32" t="n"/>
      <c r="Q76" s="30" t="n"/>
      <c r="R76" s="32" t="n"/>
      <c r="S76" s="30" t="n"/>
      <c r="T76" s="30" t="n"/>
      <c r="U76" s="30" t="n"/>
      <c r="V76" s="30" t="n"/>
      <c r="W76" s="29">
        <f>IF(H76="","",IF(H76="Kenya","Yes","No"))</f>
        <v/>
      </c>
      <c r="X76" s="29">
        <f>IF(B76="","",IF(COUNTIF($B$5:$B$3004,B76)&gt;1,"DUPLICATE","OK"))</f>
        <v/>
      </c>
      <c r="Y76" s="29">
        <f>IF(OR(U76="",V76="",V76="Excluded"),"",IF(COUNTIFS($U$5:$U$3004,U76,$V$5:$V$3004,"&lt;&gt;"&amp;V76,$V$5:$V$3004,"&lt;&gt;",$V$5:$V$3004,"&lt;&gt;Excluded")&gt;0,"LEAK RISK","OK"))</f>
        <v/>
      </c>
      <c r="Z76" s="30" t="n"/>
    </row>
    <row r="77">
      <c r="A77" s="30" t="n"/>
      <c r="B77" s="30" t="n"/>
      <c r="C77" s="30" t="n"/>
      <c r="D77" s="30" t="n"/>
      <c r="E77" s="30" t="n"/>
      <c r="F77" s="30" t="n"/>
      <c r="G77" s="30" t="n"/>
      <c r="H77" s="30" t="n"/>
      <c r="I77" s="31" t="n"/>
      <c r="J77" s="30" t="n"/>
      <c r="K77" s="30" t="n"/>
      <c r="L77" s="30" t="n"/>
      <c r="M77" s="30" t="n"/>
      <c r="N77" s="32" t="n"/>
      <c r="O77" s="30" t="n"/>
      <c r="P77" s="32" t="n"/>
      <c r="Q77" s="30" t="n"/>
      <c r="R77" s="32" t="n"/>
      <c r="S77" s="30" t="n"/>
      <c r="T77" s="30" t="n"/>
      <c r="U77" s="30" t="n"/>
      <c r="V77" s="30" t="n"/>
      <c r="W77" s="29">
        <f>IF(H77="","",IF(H77="Kenya","Yes","No"))</f>
        <v/>
      </c>
      <c r="X77" s="29">
        <f>IF(B77="","",IF(COUNTIF($B$5:$B$3004,B77)&gt;1,"DUPLICATE","OK"))</f>
        <v/>
      </c>
      <c r="Y77" s="29">
        <f>IF(OR(U77="",V77="",V77="Excluded"),"",IF(COUNTIFS($U$5:$U$3004,U77,$V$5:$V$3004,"&lt;&gt;"&amp;V77,$V$5:$V$3004,"&lt;&gt;",$V$5:$V$3004,"&lt;&gt;Excluded")&gt;0,"LEAK RISK","OK"))</f>
        <v/>
      </c>
      <c r="Z77" s="30" t="n"/>
    </row>
    <row r="78">
      <c r="A78" s="30" t="n"/>
      <c r="B78" s="30" t="n"/>
      <c r="C78" s="30" t="n"/>
      <c r="D78" s="30" t="n"/>
      <c r="E78" s="30" t="n"/>
      <c r="F78" s="30" t="n"/>
      <c r="G78" s="30" t="n"/>
      <c r="H78" s="30" t="n"/>
      <c r="I78" s="31" t="n"/>
      <c r="J78" s="30" t="n"/>
      <c r="K78" s="30" t="n"/>
      <c r="L78" s="30" t="n"/>
      <c r="M78" s="30" t="n"/>
      <c r="N78" s="32" t="n"/>
      <c r="O78" s="30" t="n"/>
      <c r="P78" s="32" t="n"/>
      <c r="Q78" s="30" t="n"/>
      <c r="R78" s="32" t="n"/>
      <c r="S78" s="30" t="n"/>
      <c r="T78" s="30" t="n"/>
      <c r="U78" s="30" t="n"/>
      <c r="V78" s="30" t="n"/>
      <c r="W78" s="29">
        <f>IF(H78="","",IF(H78="Kenya","Yes","No"))</f>
        <v/>
      </c>
      <c r="X78" s="29">
        <f>IF(B78="","",IF(COUNTIF($B$5:$B$3004,B78)&gt;1,"DUPLICATE","OK"))</f>
        <v/>
      </c>
      <c r="Y78" s="29">
        <f>IF(OR(U78="",V78="",V78="Excluded"),"",IF(COUNTIFS($U$5:$U$3004,U78,$V$5:$V$3004,"&lt;&gt;"&amp;V78,$V$5:$V$3004,"&lt;&gt;",$V$5:$V$3004,"&lt;&gt;Excluded")&gt;0,"LEAK RISK","OK"))</f>
        <v/>
      </c>
      <c r="Z78" s="30" t="n"/>
    </row>
    <row r="79">
      <c r="A79" s="30" t="n"/>
      <c r="B79" s="30" t="n"/>
      <c r="C79" s="30" t="n"/>
      <c r="D79" s="30" t="n"/>
      <c r="E79" s="30" t="n"/>
      <c r="F79" s="30" t="n"/>
      <c r="G79" s="30" t="n"/>
      <c r="H79" s="30" t="n"/>
      <c r="I79" s="31" t="n"/>
      <c r="J79" s="30" t="n"/>
      <c r="K79" s="30" t="n"/>
      <c r="L79" s="30" t="n"/>
      <c r="M79" s="30" t="n"/>
      <c r="N79" s="32" t="n"/>
      <c r="O79" s="30" t="n"/>
      <c r="P79" s="32" t="n"/>
      <c r="Q79" s="30" t="n"/>
      <c r="R79" s="32" t="n"/>
      <c r="S79" s="30" t="n"/>
      <c r="T79" s="30" t="n"/>
      <c r="U79" s="30" t="n"/>
      <c r="V79" s="30" t="n"/>
      <c r="W79" s="29">
        <f>IF(H79="","",IF(H79="Kenya","Yes","No"))</f>
        <v/>
      </c>
      <c r="X79" s="29">
        <f>IF(B79="","",IF(COUNTIF($B$5:$B$3004,B79)&gt;1,"DUPLICATE","OK"))</f>
        <v/>
      </c>
      <c r="Y79" s="29">
        <f>IF(OR(U79="",V79="",V79="Excluded"),"",IF(COUNTIFS($U$5:$U$3004,U79,$V$5:$V$3004,"&lt;&gt;"&amp;V79,$V$5:$V$3004,"&lt;&gt;",$V$5:$V$3004,"&lt;&gt;Excluded")&gt;0,"LEAK RISK","OK"))</f>
        <v/>
      </c>
      <c r="Z79" s="30" t="n"/>
    </row>
    <row r="80">
      <c r="A80" s="30" t="n"/>
      <c r="B80" s="30" t="n"/>
      <c r="C80" s="30" t="n"/>
      <c r="D80" s="30" t="n"/>
      <c r="E80" s="30" t="n"/>
      <c r="F80" s="30" t="n"/>
      <c r="G80" s="30" t="n"/>
      <c r="H80" s="30" t="n"/>
      <c r="I80" s="31" t="n"/>
      <c r="J80" s="30" t="n"/>
      <c r="K80" s="30" t="n"/>
      <c r="L80" s="30" t="n"/>
      <c r="M80" s="30" t="n"/>
      <c r="N80" s="32" t="n"/>
      <c r="O80" s="30" t="n"/>
      <c r="P80" s="32" t="n"/>
      <c r="Q80" s="30" t="n"/>
      <c r="R80" s="32" t="n"/>
      <c r="S80" s="30" t="n"/>
      <c r="T80" s="30" t="n"/>
      <c r="U80" s="30" t="n"/>
      <c r="V80" s="30" t="n"/>
      <c r="W80" s="29">
        <f>IF(H80="","",IF(H80="Kenya","Yes","No"))</f>
        <v/>
      </c>
      <c r="X80" s="29">
        <f>IF(B80="","",IF(COUNTIF($B$5:$B$3004,B80)&gt;1,"DUPLICATE","OK"))</f>
        <v/>
      </c>
      <c r="Y80" s="29">
        <f>IF(OR(U80="",V80="",V80="Excluded"),"",IF(COUNTIFS($U$5:$U$3004,U80,$V$5:$V$3004,"&lt;&gt;"&amp;V80,$V$5:$V$3004,"&lt;&gt;",$V$5:$V$3004,"&lt;&gt;Excluded")&gt;0,"LEAK RISK","OK"))</f>
        <v/>
      </c>
      <c r="Z80" s="30" t="n"/>
    </row>
    <row r="81">
      <c r="A81" s="30" t="n"/>
      <c r="B81" s="30" t="n"/>
      <c r="C81" s="30" t="n"/>
      <c r="D81" s="30" t="n"/>
      <c r="E81" s="30" t="n"/>
      <c r="F81" s="30" t="n"/>
      <c r="G81" s="30" t="n"/>
      <c r="H81" s="30" t="n"/>
      <c r="I81" s="31" t="n"/>
      <c r="J81" s="30" t="n"/>
      <c r="K81" s="30" t="n"/>
      <c r="L81" s="30" t="n"/>
      <c r="M81" s="30" t="n"/>
      <c r="N81" s="32" t="n"/>
      <c r="O81" s="30" t="n"/>
      <c r="P81" s="32" t="n"/>
      <c r="Q81" s="30" t="n"/>
      <c r="R81" s="32" t="n"/>
      <c r="S81" s="30" t="n"/>
      <c r="T81" s="30" t="n"/>
      <c r="U81" s="30" t="n"/>
      <c r="V81" s="30" t="n"/>
      <c r="W81" s="29">
        <f>IF(H81="","",IF(H81="Kenya","Yes","No"))</f>
        <v/>
      </c>
      <c r="X81" s="29">
        <f>IF(B81="","",IF(COUNTIF($B$5:$B$3004,B81)&gt;1,"DUPLICATE","OK"))</f>
        <v/>
      </c>
      <c r="Y81" s="29">
        <f>IF(OR(U81="",V81="",V81="Excluded"),"",IF(COUNTIFS($U$5:$U$3004,U81,$V$5:$V$3004,"&lt;&gt;"&amp;V81,$V$5:$V$3004,"&lt;&gt;",$V$5:$V$3004,"&lt;&gt;Excluded")&gt;0,"LEAK RISK","OK"))</f>
        <v/>
      </c>
      <c r="Z81" s="30" t="n"/>
    </row>
    <row r="82">
      <c r="A82" s="30" t="n"/>
      <c r="B82" s="30" t="n"/>
      <c r="C82" s="30" t="n"/>
      <c r="D82" s="30" t="n"/>
      <c r="E82" s="30" t="n"/>
      <c r="F82" s="30" t="n"/>
      <c r="G82" s="30" t="n"/>
      <c r="H82" s="30" t="n"/>
      <c r="I82" s="31" t="n"/>
      <c r="J82" s="30" t="n"/>
      <c r="K82" s="30" t="n"/>
      <c r="L82" s="30" t="n"/>
      <c r="M82" s="30" t="n"/>
      <c r="N82" s="32" t="n"/>
      <c r="O82" s="30" t="n"/>
      <c r="P82" s="32" t="n"/>
      <c r="Q82" s="30" t="n"/>
      <c r="R82" s="32" t="n"/>
      <c r="S82" s="30" t="n"/>
      <c r="T82" s="30" t="n"/>
      <c r="U82" s="30" t="n"/>
      <c r="V82" s="30" t="n"/>
      <c r="W82" s="29">
        <f>IF(H82="","",IF(H82="Kenya","Yes","No"))</f>
        <v/>
      </c>
      <c r="X82" s="29">
        <f>IF(B82="","",IF(COUNTIF($B$5:$B$3004,B82)&gt;1,"DUPLICATE","OK"))</f>
        <v/>
      </c>
      <c r="Y82" s="29">
        <f>IF(OR(U82="",V82="",V82="Excluded"),"",IF(COUNTIFS($U$5:$U$3004,U82,$V$5:$V$3004,"&lt;&gt;"&amp;V82,$V$5:$V$3004,"&lt;&gt;",$V$5:$V$3004,"&lt;&gt;Excluded")&gt;0,"LEAK RISK","OK"))</f>
        <v/>
      </c>
      <c r="Z82" s="30" t="n"/>
    </row>
    <row r="83">
      <c r="A83" s="30" t="n"/>
      <c r="B83" s="30" t="n"/>
      <c r="C83" s="30" t="n"/>
      <c r="D83" s="30" t="n"/>
      <c r="E83" s="30" t="n"/>
      <c r="F83" s="30" t="n"/>
      <c r="G83" s="30" t="n"/>
      <c r="H83" s="30" t="n"/>
      <c r="I83" s="31" t="n"/>
      <c r="J83" s="30" t="n"/>
      <c r="K83" s="30" t="n"/>
      <c r="L83" s="30" t="n"/>
      <c r="M83" s="30" t="n"/>
      <c r="N83" s="32" t="n"/>
      <c r="O83" s="30" t="n"/>
      <c r="P83" s="32" t="n"/>
      <c r="Q83" s="30" t="n"/>
      <c r="R83" s="32" t="n"/>
      <c r="S83" s="30" t="n"/>
      <c r="T83" s="30" t="n"/>
      <c r="U83" s="30" t="n"/>
      <c r="V83" s="30" t="n"/>
      <c r="W83" s="29">
        <f>IF(H83="","",IF(H83="Kenya","Yes","No"))</f>
        <v/>
      </c>
      <c r="X83" s="29">
        <f>IF(B83="","",IF(COUNTIF($B$5:$B$3004,B83)&gt;1,"DUPLICATE","OK"))</f>
        <v/>
      </c>
      <c r="Y83" s="29">
        <f>IF(OR(U83="",V83="",V83="Excluded"),"",IF(COUNTIFS($U$5:$U$3004,U83,$V$5:$V$3004,"&lt;&gt;"&amp;V83,$V$5:$V$3004,"&lt;&gt;",$V$5:$V$3004,"&lt;&gt;Excluded")&gt;0,"LEAK RISK","OK"))</f>
        <v/>
      </c>
      <c r="Z83" s="30" t="n"/>
    </row>
    <row r="84">
      <c r="A84" s="30" t="n"/>
      <c r="B84" s="30" t="n"/>
      <c r="C84" s="30" t="n"/>
      <c r="D84" s="30" t="n"/>
      <c r="E84" s="30" t="n"/>
      <c r="F84" s="30" t="n"/>
      <c r="G84" s="30" t="n"/>
      <c r="H84" s="30" t="n"/>
      <c r="I84" s="31" t="n"/>
      <c r="J84" s="30" t="n"/>
      <c r="K84" s="30" t="n"/>
      <c r="L84" s="30" t="n"/>
      <c r="M84" s="30" t="n"/>
      <c r="N84" s="32" t="n"/>
      <c r="O84" s="30" t="n"/>
      <c r="P84" s="32" t="n"/>
      <c r="Q84" s="30" t="n"/>
      <c r="R84" s="32" t="n"/>
      <c r="S84" s="30" t="n"/>
      <c r="T84" s="30" t="n"/>
      <c r="U84" s="30" t="n"/>
      <c r="V84" s="30" t="n"/>
      <c r="W84" s="29">
        <f>IF(H84="","",IF(H84="Kenya","Yes","No"))</f>
        <v/>
      </c>
      <c r="X84" s="29">
        <f>IF(B84="","",IF(COUNTIF($B$5:$B$3004,B84)&gt;1,"DUPLICATE","OK"))</f>
        <v/>
      </c>
      <c r="Y84" s="29">
        <f>IF(OR(U84="",V84="",V84="Excluded"),"",IF(COUNTIFS($U$5:$U$3004,U84,$V$5:$V$3004,"&lt;&gt;"&amp;V84,$V$5:$V$3004,"&lt;&gt;",$V$5:$V$3004,"&lt;&gt;Excluded")&gt;0,"LEAK RISK","OK"))</f>
        <v/>
      </c>
      <c r="Z84" s="30" t="n"/>
    </row>
    <row r="85">
      <c r="A85" s="30" t="n"/>
      <c r="B85" s="30" t="n"/>
      <c r="C85" s="30" t="n"/>
      <c r="D85" s="30" t="n"/>
      <c r="E85" s="30" t="n"/>
      <c r="F85" s="30" t="n"/>
      <c r="G85" s="30" t="n"/>
      <c r="H85" s="30" t="n"/>
      <c r="I85" s="31" t="n"/>
      <c r="J85" s="30" t="n"/>
      <c r="K85" s="30" t="n"/>
      <c r="L85" s="30" t="n"/>
      <c r="M85" s="30" t="n"/>
      <c r="N85" s="32" t="n"/>
      <c r="O85" s="30" t="n"/>
      <c r="P85" s="32" t="n"/>
      <c r="Q85" s="30" t="n"/>
      <c r="R85" s="32" t="n"/>
      <c r="S85" s="30" t="n"/>
      <c r="T85" s="30" t="n"/>
      <c r="U85" s="30" t="n"/>
      <c r="V85" s="30" t="n"/>
      <c r="W85" s="29">
        <f>IF(H85="","",IF(H85="Kenya","Yes","No"))</f>
        <v/>
      </c>
      <c r="X85" s="29">
        <f>IF(B85="","",IF(COUNTIF($B$5:$B$3004,B85)&gt;1,"DUPLICATE","OK"))</f>
        <v/>
      </c>
      <c r="Y85" s="29">
        <f>IF(OR(U85="",V85="",V85="Excluded"),"",IF(COUNTIFS($U$5:$U$3004,U85,$V$5:$V$3004,"&lt;&gt;"&amp;V85,$V$5:$V$3004,"&lt;&gt;",$V$5:$V$3004,"&lt;&gt;Excluded")&gt;0,"LEAK RISK","OK"))</f>
        <v/>
      </c>
      <c r="Z85" s="30" t="n"/>
    </row>
    <row r="86">
      <c r="A86" s="30" t="n"/>
      <c r="B86" s="30" t="n"/>
      <c r="C86" s="30" t="n"/>
      <c r="D86" s="30" t="n"/>
      <c r="E86" s="30" t="n"/>
      <c r="F86" s="30" t="n"/>
      <c r="G86" s="30" t="n"/>
      <c r="H86" s="30" t="n"/>
      <c r="I86" s="31" t="n"/>
      <c r="J86" s="30" t="n"/>
      <c r="K86" s="30" t="n"/>
      <c r="L86" s="30" t="n"/>
      <c r="M86" s="30" t="n"/>
      <c r="N86" s="32" t="n"/>
      <c r="O86" s="30" t="n"/>
      <c r="P86" s="32" t="n"/>
      <c r="Q86" s="30" t="n"/>
      <c r="R86" s="32" t="n"/>
      <c r="S86" s="30" t="n"/>
      <c r="T86" s="30" t="n"/>
      <c r="U86" s="30" t="n"/>
      <c r="V86" s="30" t="n"/>
      <c r="W86" s="29">
        <f>IF(H86="","",IF(H86="Kenya","Yes","No"))</f>
        <v/>
      </c>
      <c r="X86" s="29">
        <f>IF(B86="","",IF(COUNTIF($B$5:$B$3004,B86)&gt;1,"DUPLICATE","OK"))</f>
        <v/>
      </c>
      <c r="Y86" s="29">
        <f>IF(OR(U86="",V86="",V86="Excluded"),"",IF(COUNTIFS($U$5:$U$3004,U86,$V$5:$V$3004,"&lt;&gt;"&amp;V86,$V$5:$V$3004,"&lt;&gt;",$V$5:$V$3004,"&lt;&gt;Excluded")&gt;0,"LEAK RISK","OK"))</f>
        <v/>
      </c>
      <c r="Z86" s="30" t="n"/>
    </row>
    <row r="87">
      <c r="A87" s="30" t="n"/>
      <c r="B87" s="30" t="n"/>
      <c r="C87" s="30" t="n"/>
      <c r="D87" s="30" t="n"/>
      <c r="E87" s="30" t="n"/>
      <c r="F87" s="30" t="n"/>
      <c r="G87" s="30" t="n"/>
      <c r="H87" s="30" t="n"/>
      <c r="I87" s="31" t="n"/>
      <c r="J87" s="30" t="n"/>
      <c r="K87" s="30" t="n"/>
      <c r="L87" s="30" t="n"/>
      <c r="M87" s="30" t="n"/>
      <c r="N87" s="32" t="n"/>
      <c r="O87" s="30" t="n"/>
      <c r="P87" s="32" t="n"/>
      <c r="Q87" s="30" t="n"/>
      <c r="R87" s="32" t="n"/>
      <c r="S87" s="30" t="n"/>
      <c r="T87" s="30" t="n"/>
      <c r="U87" s="30" t="n"/>
      <c r="V87" s="30" t="n"/>
      <c r="W87" s="29">
        <f>IF(H87="","",IF(H87="Kenya","Yes","No"))</f>
        <v/>
      </c>
      <c r="X87" s="29">
        <f>IF(B87="","",IF(COUNTIF($B$5:$B$3004,B87)&gt;1,"DUPLICATE","OK"))</f>
        <v/>
      </c>
      <c r="Y87" s="29">
        <f>IF(OR(U87="",V87="",V87="Excluded"),"",IF(COUNTIFS($U$5:$U$3004,U87,$V$5:$V$3004,"&lt;&gt;"&amp;V87,$V$5:$V$3004,"&lt;&gt;",$V$5:$V$3004,"&lt;&gt;Excluded")&gt;0,"LEAK RISK","OK"))</f>
        <v/>
      </c>
      <c r="Z87" s="30" t="n"/>
    </row>
    <row r="88">
      <c r="A88" s="30" t="n"/>
      <c r="B88" s="30" t="n"/>
      <c r="C88" s="30" t="n"/>
      <c r="D88" s="30" t="n"/>
      <c r="E88" s="30" t="n"/>
      <c r="F88" s="30" t="n"/>
      <c r="G88" s="30" t="n"/>
      <c r="H88" s="30" t="n"/>
      <c r="I88" s="31" t="n"/>
      <c r="J88" s="30" t="n"/>
      <c r="K88" s="30" t="n"/>
      <c r="L88" s="30" t="n"/>
      <c r="M88" s="30" t="n"/>
      <c r="N88" s="32" t="n"/>
      <c r="O88" s="30" t="n"/>
      <c r="P88" s="32" t="n"/>
      <c r="Q88" s="30" t="n"/>
      <c r="R88" s="32" t="n"/>
      <c r="S88" s="30" t="n"/>
      <c r="T88" s="30" t="n"/>
      <c r="U88" s="30" t="n"/>
      <c r="V88" s="30" t="n"/>
      <c r="W88" s="29">
        <f>IF(H88="","",IF(H88="Kenya","Yes","No"))</f>
        <v/>
      </c>
      <c r="X88" s="29">
        <f>IF(B88="","",IF(COUNTIF($B$5:$B$3004,B88)&gt;1,"DUPLICATE","OK"))</f>
        <v/>
      </c>
      <c r="Y88" s="29">
        <f>IF(OR(U88="",V88="",V88="Excluded"),"",IF(COUNTIFS($U$5:$U$3004,U88,$V$5:$V$3004,"&lt;&gt;"&amp;V88,$V$5:$V$3004,"&lt;&gt;",$V$5:$V$3004,"&lt;&gt;Excluded")&gt;0,"LEAK RISK","OK"))</f>
        <v/>
      </c>
      <c r="Z88" s="30" t="n"/>
    </row>
    <row r="89">
      <c r="A89" s="30" t="n"/>
      <c r="B89" s="30" t="n"/>
      <c r="C89" s="30" t="n"/>
      <c r="D89" s="30" t="n"/>
      <c r="E89" s="30" t="n"/>
      <c r="F89" s="30" t="n"/>
      <c r="G89" s="30" t="n"/>
      <c r="H89" s="30" t="n"/>
      <c r="I89" s="31" t="n"/>
      <c r="J89" s="30" t="n"/>
      <c r="K89" s="30" t="n"/>
      <c r="L89" s="30" t="n"/>
      <c r="M89" s="30" t="n"/>
      <c r="N89" s="32" t="n"/>
      <c r="O89" s="30" t="n"/>
      <c r="P89" s="32" t="n"/>
      <c r="Q89" s="30" t="n"/>
      <c r="R89" s="32" t="n"/>
      <c r="S89" s="30" t="n"/>
      <c r="T89" s="30" t="n"/>
      <c r="U89" s="30" t="n"/>
      <c r="V89" s="30" t="n"/>
      <c r="W89" s="29">
        <f>IF(H89="","",IF(H89="Kenya","Yes","No"))</f>
        <v/>
      </c>
      <c r="X89" s="29">
        <f>IF(B89="","",IF(COUNTIF($B$5:$B$3004,B89)&gt;1,"DUPLICATE","OK"))</f>
        <v/>
      </c>
      <c r="Y89" s="29">
        <f>IF(OR(U89="",V89="",V89="Excluded"),"",IF(COUNTIFS($U$5:$U$3004,U89,$V$5:$V$3004,"&lt;&gt;"&amp;V89,$V$5:$V$3004,"&lt;&gt;",$V$5:$V$3004,"&lt;&gt;Excluded")&gt;0,"LEAK RISK","OK"))</f>
        <v/>
      </c>
      <c r="Z89" s="30" t="n"/>
    </row>
    <row r="90">
      <c r="A90" s="30" t="n"/>
      <c r="B90" s="30" t="n"/>
      <c r="C90" s="30" t="n"/>
      <c r="D90" s="30" t="n"/>
      <c r="E90" s="30" t="n"/>
      <c r="F90" s="30" t="n"/>
      <c r="G90" s="30" t="n"/>
      <c r="H90" s="30" t="n"/>
      <c r="I90" s="31" t="n"/>
      <c r="J90" s="30" t="n"/>
      <c r="K90" s="30" t="n"/>
      <c r="L90" s="30" t="n"/>
      <c r="M90" s="30" t="n"/>
      <c r="N90" s="32" t="n"/>
      <c r="O90" s="30" t="n"/>
      <c r="P90" s="32" t="n"/>
      <c r="Q90" s="30" t="n"/>
      <c r="R90" s="32" t="n"/>
      <c r="S90" s="30" t="n"/>
      <c r="T90" s="30" t="n"/>
      <c r="U90" s="30" t="n"/>
      <c r="V90" s="30" t="n"/>
      <c r="W90" s="29">
        <f>IF(H90="","",IF(H90="Kenya","Yes","No"))</f>
        <v/>
      </c>
      <c r="X90" s="29">
        <f>IF(B90="","",IF(COUNTIF($B$5:$B$3004,B90)&gt;1,"DUPLICATE","OK"))</f>
        <v/>
      </c>
      <c r="Y90" s="29">
        <f>IF(OR(U90="",V90="",V90="Excluded"),"",IF(COUNTIFS($U$5:$U$3004,U90,$V$5:$V$3004,"&lt;&gt;"&amp;V90,$V$5:$V$3004,"&lt;&gt;",$V$5:$V$3004,"&lt;&gt;Excluded")&gt;0,"LEAK RISK","OK"))</f>
        <v/>
      </c>
      <c r="Z90" s="30" t="n"/>
    </row>
    <row r="91">
      <c r="A91" s="30" t="n"/>
      <c r="B91" s="30" t="n"/>
      <c r="C91" s="30" t="n"/>
      <c r="D91" s="30" t="n"/>
      <c r="E91" s="30" t="n"/>
      <c r="F91" s="30" t="n"/>
      <c r="G91" s="30" t="n"/>
      <c r="H91" s="30" t="n"/>
      <c r="I91" s="31" t="n"/>
      <c r="J91" s="30" t="n"/>
      <c r="K91" s="30" t="n"/>
      <c r="L91" s="30" t="n"/>
      <c r="M91" s="30" t="n"/>
      <c r="N91" s="32" t="n"/>
      <c r="O91" s="30" t="n"/>
      <c r="P91" s="32" t="n"/>
      <c r="Q91" s="30" t="n"/>
      <c r="R91" s="32" t="n"/>
      <c r="S91" s="30" t="n"/>
      <c r="T91" s="30" t="n"/>
      <c r="U91" s="30" t="n"/>
      <c r="V91" s="30" t="n"/>
      <c r="W91" s="29">
        <f>IF(H91="","",IF(H91="Kenya","Yes","No"))</f>
        <v/>
      </c>
      <c r="X91" s="29">
        <f>IF(B91="","",IF(COUNTIF($B$5:$B$3004,B91)&gt;1,"DUPLICATE","OK"))</f>
        <v/>
      </c>
      <c r="Y91" s="29">
        <f>IF(OR(U91="",V91="",V91="Excluded"),"",IF(COUNTIFS($U$5:$U$3004,U91,$V$5:$V$3004,"&lt;&gt;"&amp;V91,$V$5:$V$3004,"&lt;&gt;",$V$5:$V$3004,"&lt;&gt;Excluded")&gt;0,"LEAK RISK","OK"))</f>
        <v/>
      </c>
      <c r="Z91" s="30" t="n"/>
    </row>
    <row r="92">
      <c r="A92" s="30" t="n"/>
      <c r="B92" s="30" t="n"/>
      <c r="C92" s="30" t="n"/>
      <c r="D92" s="30" t="n"/>
      <c r="E92" s="30" t="n"/>
      <c r="F92" s="30" t="n"/>
      <c r="G92" s="30" t="n"/>
      <c r="H92" s="30" t="n"/>
      <c r="I92" s="31" t="n"/>
      <c r="J92" s="30" t="n"/>
      <c r="K92" s="30" t="n"/>
      <c r="L92" s="30" t="n"/>
      <c r="M92" s="30" t="n"/>
      <c r="N92" s="32" t="n"/>
      <c r="O92" s="30" t="n"/>
      <c r="P92" s="32" t="n"/>
      <c r="Q92" s="30" t="n"/>
      <c r="R92" s="32" t="n"/>
      <c r="S92" s="30" t="n"/>
      <c r="T92" s="30" t="n"/>
      <c r="U92" s="30" t="n"/>
      <c r="V92" s="30" t="n"/>
      <c r="W92" s="29">
        <f>IF(H92="","",IF(H92="Kenya","Yes","No"))</f>
        <v/>
      </c>
      <c r="X92" s="29">
        <f>IF(B92="","",IF(COUNTIF($B$5:$B$3004,B92)&gt;1,"DUPLICATE","OK"))</f>
        <v/>
      </c>
      <c r="Y92" s="29">
        <f>IF(OR(U92="",V92="",V92="Excluded"),"",IF(COUNTIFS($U$5:$U$3004,U92,$V$5:$V$3004,"&lt;&gt;"&amp;V92,$V$5:$V$3004,"&lt;&gt;",$V$5:$V$3004,"&lt;&gt;Excluded")&gt;0,"LEAK RISK","OK"))</f>
        <v/>
      </c>
      <c r="Z92" s="30" t="n"/>
    </row>
    <row r="93">
      <c r="A93" s="30" t="n"/>
      <c r="B93" s="30" t="n"/>
      <c r="C93" s="30" t="n"/>
      <c r="D93" s="30" t="n"/>
      <c r="E93" s="30" t="n"/>
      <c r="F93" s="30" t="n"/>
      <c r="G93" s="30" t="n"/>
      <c r="H93" s="30" t="n"/>
      <c r="I93" s="31" t="n"/>
      <c r="J93" s="30" t="n"/>
      <c r="K93" s="30" t="n"/>
      <c r="L93" s="30" t="n"/>
      <c r="M93" s="30" t="n"/>
      <c r="N93" s="32" t="n"/>
      <c r="O93" s="30" t="n"/>
      <c r="P93" s="32" t="n"/>
      <c r="Q93" s="30" t="n"/>
      <c r="R93" s="32" t="n"/>
      <c r="S93" s="30" t="n"/>
      <c r="T93" s="30" t="n"/>
      <c r="U93" s="30" t="n"/>
      <c r="V93" s="30" t="n"/>
      <c r="W93" s="29">
        <f>IF(H93="","",IF(H93="Kenya","Yes","No"))</f>
        <v/>
      </c>
      <c r="X93" s="29">
        <f>IF(B93="","",IF(COUNTIF($B$5:$B$3004,B93)&gt;1,"DUPLICATE","OK"))</f>
        <v/>
      </c>
      <c r="Y93" s="29">
        <f>IF(OR(U93="",V93="",V93="Excluded"),"",IF(COUNTIFS($U$5:$U$3004,U93,$V$5:$V$3004,"&lt;&gt;"&amp;V93,$V$5:$V$3004,"&lt;&gt;",$V$5:$V$3004,"&lt;&gt;Excluded")&gt;0,"LEAK RISK","OK"))</f>
        <v/>
      </c>
      <c r="Z93" s="30" t="n"/>
    </row>
    <row r="94">
      <c r="A94" s="30" t="n"/>
      <c r="B94" s="30" t="n"/>
      <c r="C94" s="30" t="n"/>
      <c r="D94" s="30" t="n"/>
      <c r="E94" s="30" t="n"/>
      <c r="F94" s="30" t="n"/>
      <c r="G94" s="30" t="n"/>
      <c r="H94" s="30" t="n"/>
      <c r="I94" s="31" t="n"/>
      <c r="J94" s="30" t="n"/>
      <c r="K94" s="30" t="n"/>
      <c r="L94" s="30" t="n"/>
      <c r="M94" s="30" t="n"/>
      <c r="N94" s="32" t="n"/>
      <c r="O94" s="30" t="n"/>
      <c r="P94" s="32" t="n"/>
      <c r="Q94" s="30" t="n"/>
      <c r="R94" s="32" t="n"/>
      <c r="S94" s="30" t="n"/>
      <c r="T94" s="30" t="n"/>
      <c r="U94" s="30" t="n"/>
      <c r="V94" s="30" t="n"/>
      <c r="W94" s="29">
        <f>IF(H94="","",IF(H94="Kenya","Yes","No"))</f>
        <v/>
      </c>
      <c r="X94" s="29">
        <f>IF(B94="","",IF(COUNTIF($B$5:$B$3004,B94)&gt;1,"DUPLICATE","OK"))</f>
        <v/>
      </c>
      <c r="Y94" s="29">
        <f>IF(OR(U94="",V94="",V94="Excluded"),"",IF(COUNTIFS($U$5:$U$3004,U94,$V$5:$V$3004,"&lt;&gt;"&amp;V94,$V$5:$V$3004,"&lt;&gt;",$V$5:$V$3004,"&lt;&gt;Excluded")&gt;0,"LEAK RISK","OK"))</f>
        <v/>
      </c>
      <c r="Z94" s="30" t="n"/>
    </row>
    <row r="95">
      <c r="A95" s="30" t="n"/>
      <c r="B95" s="30" t="n"/>
      <c r="C95" s="30" t="n"/>
      <c r="D95" s="30" t="n"/>
      <c r="E95" s="30" t="n"/>
      <c r="F95" s="30" t="n"/>
      <c r="G95" s="30" t="n"/>
      <c r="H95" s="30" t="n"/>
      <c r="I95" s="31" t="n"/>
      <c r="J95" s="30" t="n"/>
      <c r="K95" s="30" t="n"/>
      <c r="L95" s="30" t="n"/>
      <c r="M95" s="30" t="n"/>
      <c r="N95" s="32" t="n"/>
      <c r="O95" s="30" t="n"/>
      <c r="P95" s="32" t="n"/>
      <c r="Q95" s="30" t="n"/>
      <c r="R95" s="32" t="n"/>
      <c r="S95" s="30" t="n"/>
      <c r="T95" s="30" t="n"/>
      <c r="U95" s="30" t="n"/>
      <c r="V95" s="30" t="n"/>
      <c r="W95" s="29">
        <f>IF(H95="","",IF(H95="Kenya","Yes","No"))</f>
        <v/>
      </c>
      <c r="X95" s="29">
        <f>IF(B95="","",IF(COUNTIF($B$5:$B$3004,B95)&gt;1,"DUPLICATE","OK"))</f>
        <v/>
      </c>
      <c r="Y95" s="29">
        <f>IF(OR(U95="",V95="",V95="Excluded"),"",IF(COUNTIFS($U$5:$U$3004,U95,$V$5:$V$3004,"&lt;&gt;"&amp;V95,$V$5:$V$3004,"&lt;&gt;",$V$5:$V$3004,"&lt;&gt;Excluded")&gt;0,"LEAK RISK","OK"))</f>
        <v/>
      </c>
      <c r="Z95" s="30" t="n"/>
    </row>
    <row r="96">
      <c r="A96" s="30" t="n"/>
      <c r="B96" s="30" t="n"/>
      <c r="C96" s="30" t="n"/>
      <c r="D96" s="30" t="n"/>
      <c r="E96" s="30" t="n"/>
      <c r="F96" s="30" t="n"/>
      <c r="G96" s="30" t="n"/>
      <c r="H96" s="30" t="n"/>
      <c r="I96" s="31" t="n"/>
      <c r="J96" s="30" t="n"/>
      <c r="K96" s="30" t="n"/>
      <c r="L96" s="30" t="n"/>
      <c r="M96" s="30" t="n"/>
      <c r="N96" s="32" t="n"/>
      <c r="O96" s="30" t="n"/>
      <c r="P96" s="32" t="n"/>
      <c r="Q96" s="30" t="n"/>
      <c r="R96" s="32" t="n"/>
      <c r="S96" s="30" t="n"/>
      <c r="T96" s="30" t="n"/>
      <c r="U96" s="30" t="n"/>
      <c r="V96" s="30" t="n"/>
      <c r="W96" s="29">
        <f>IF(H96="","",IF(H96="Kenya","Yes","No"))</f>
        <v/>
      </c>
      <c r="X96" s="29">
        <f>IF(B96="","",IF(COUNTIF($B$5:$B$3004,B96)&gt;1,"DUPLICATE","OK"))</f>
        <v/>
      </c>
      <c r="Y96" s="29">
        <f>IF(OR(U96="",V96="",V96="Excluded"),"",IF(COUNTIFS($U$5:$U$3004,U96,$V$5:$V$3004,"&lt;&gt;"&amp;V96,$V$5:$V$3004,"&lt;&gt;",$V$5:$V$3004,"&lt;&gt;Excluded")&gt;0,"LEAK RISK","OK"))</f>
        <v/>
      </c>
      <c r="Z96" s="30" t="n"/>
    </row>
    <row r="97">
      <c r="A97" s="30" t="n"/>
      <c r="B97" s="30" t="n"/>
      <c r="C97" s="30" t="n"/>
      <c r="D97" s="30" t="n"/>
      <c r="E97" s="30" t="n"/>
      <c r="F97" s="30" t="n"/>
      <c r="G97" s="30" t="n"/>
      <c r="H97" s="30" t="n"/>
      <c r="I97" s="31" t="n"/>
      <c r="J97" s="30" t="n"/>
      <c r="K97" s="30" t="n"/>
      <c r="L97" s="30" t="n"/>
      <c r="M97" s="30" t="n"/>
      <c r="N97" s="32" t="n"/>
      <c r="O97" s="30" t="n"/>
      <c r="P97" s="32" t="n"/>
      <c r="Q97" s="30" t="n"/>
      <c r="R97" s="32" t="n"/>
      <c r="S97" s="30" t="n"/>
      <c r="T97" s="30" t="n"/>
      <c r="U97" s="30" t="n"/>
      <c r="V97" s="30" t="n"/>
      <c r="W97" s="29">
        <f>IF(H97="","",IF(H97="Kenya","Yes","No"))</f>
        <v/>
      </c>
      <c r="X97" s="29">
        <f>IF(B97="","",IF(COUNTIF($B$5:$B$3004,B97)&gt;1,"DUPLICATE","OK"))</f>
        <v/>
      </c>
      <c r="Y97" s="29">
        <f>IF(OR(U97="",V97="",V97="Excluded"),"",IF(COUNTIFS($U$5:$U$3004,U97,$V$5:$V$3004,"&lt;&gt;"&amp;V97,$V$5:$V$3004,"&lt;&gt;",$V$5:$V$3004,"&lt;&gt;Excluded")&gt;0,"LEAK RISK","OK"))</f>
        <v/>
      </c>
      <c r="Z97" s="30" t="n"/>
    </row>
    <row r="98">
      <c r="A98" s="30" t="n"/>
      <c r="B98" s="30" t="n"/>
      <c r="C98" s="30" t="n"/>
      <c r="D98" s="30" t="n"/>
      <c r="E98" s="30" t="n"/>
      <c r="F98" s="30" t="n"/>
      <c r="G98" s="30" t="n"/>
      <c r="H98" s="30" t="n"/>
      <c r="I98" s="31" t="n"/>
      <c r="J98" s="30" t="n"/>
      <c r="K98" s="30" t="n"/>
      <c r="L98" s="30" t="n"/>
      <c r="M98" s="30" t="n"/>
      <c r="N98" s="32" t="n"/>
      <c r="O98" s="30" t="n"/>
      <c r="P98" s="32" t="n"/>
      <c r="Q98" s="30" t="n"/>
      <c r="R98" s="32" t="n"/>
      <c r="S98" s="30" t="n"/>
      <c r="T98" s="30" t="n"/>
      <c r="U98" s="30" t="n"/>
      <c r="V98" s="30" t="n"/>
      <c r="W98" s="29">
        <f>IF(H98="","",IF(H98="Kenya","Yes","No"))</f>
        <v/>
      </c>
      <c r="X98" s="29">
        <f>IF(B98="","",IF(COUNTIF($B$5:$B$3004,B98)&gt;1,"DUPLICATE","OK"))</f>
        <v/>
      </c>
      <c r="Y98" s="29">
        <f>IF(OR(U98="",V98="",V98="Excluded"),"",IF(COUNTIFS($U$5:$U$3004,U98,$V$5:$V$3004,"&lt;&gt;"&amp;V98,$V$5:$V$3004,"&lt;&gt;",$V$5:$V$3004,"&lt;&gt;Excluded")&gt;0,"LEAK RISK","OK"))</f>
        <v/>
      </c>
      <c r="Z98" s="30" t="n"/>
    </row>
    <row r="99">
      <c r="A99" s="30" t="n"/>
      <c r="B99" s="30" t="n"/>
      <c r="C99" s="30" t="n"/>
      <c r="D99" s="30" t="n"/>
      <c r="E99" s="30" t="n"/>
      <c r="F99" s="30" t="n"/>
      <c r="G99" s="30" t="n"/>
      <c r="H99" s="30" t="n"/>
      <c r="I99" s="31" t="n"/>
      <c r="J99" s="30" t="n"/>
      <c r="K99" s="30" t="n"/>
      <c r="L99" s="30" t="n"/>
      <c r="M99" s="30" t="n"/>
      <c r="N99" s="32" t="n"/>
      <c r="O99" s="30" t="n"/>
      <c r="P99" s="32" t="n"/>
      <c r="Q99" s="30" t="n"/>
      <c r="R99" s="32" t="n"/>
      <c r="S99" s="30" t="n"/>
      <c r="T99" s="30" t="n"/>
      <c r="U99" s="30" t="n"/>
      <c r="V99" s="30" t="n"/>
      <c r="W99" s="29">
        <f>IF(H99="","",IF(H99="Kenya","Yes","No"))</f>
        <v/>
      </c>
      <c r="X99" s="29">
        <f>IF(B99="","",IF(COUNTIF($B$5:$B$3004,B99)&gt;1,"DUPLICATE","OK"))</f>
        <v/>
      </c>
      <c r="Y99" s="29">
        <f>IF(OR(U99="",V99="",V99="Excluded"),"",IF(COUNTIFS($U$5:$U$3004,U99,$V$5:$V$3004,"&lt;&gt;"&amp;V99,$V$5:$V$3004,"&lt;&gt;",$V$5:$V$3004,"&lt;&gt;Excluded")&gt;0,"LEAK RISK","OK"))</f>
        <v/>
      </c>
      <c r="Z99" s="30" t="n"/>
    </row>
    <row r="100">
      <c r="A100" s="30" t="n"/>
      <c r="B100" s="30" t="n"/>
      <c r="C100" s="30" t="n"/>
      <c r="D100" s="30" t="n"/>
      <c r="E100" s="30" t="n"/>
      <c r="F100" s="30" t="n"/>
      <c r="G100" s="30" t="n"/>
      <c r="H100" s="30" t="n"/>
      <c r="I100" s="31" t="n"/>
      <c r="J100" s="30" t="n"/>
      <c r="K100" s="30" t="n"/>
      <c r="L100" s="30" t="n"/>
      <c r="M100" s="30" t="n"/>
      <c r="N100" s="32" t="n"/>
      <c r="O100" s="30" t="n"/>
      <c r="P100" s="32" t="n"/>
      <c r="Q100" s="30" t="n"/>
      <c r="R100" s="32" t="n"/>
      <c r="S100" s="30" t="n"/>
      <c r="T100" s="30" t="n"/>
      <c r="U100" s="30" t="n"/>
      <c r="V100" s="30" t="n"/>
      <c r="W100" s="29">
        <f>IF(H100="","",IF(H100="Kenya","Yes","No"))</f>
        <v/>
      </c>
      <c r="X100" s="29">
        <f>IF(B100="","",IF(COUNTIF($B$5:$B$3004,B100)&gt;1,"DUPLICATE","OK"))</f>
        <v/>
      </c>
      <c r="Y100" s="29">
        <f>IF(OR(U100="",V100="",V100="Excluded"),"",IF(COUNTIFS($U$5:$U$3004,U100,$V$5:$V$3004,"&lt;&gt;"&amp;V100,$V$5:$V$3004,"&lt;&gt;",$V$5:$V$3004,"&lt;&gt;Excluded")&gt;0,"LEAK RISK","OK"))</f>
        <v/>
      </c>
      <c r="Z100" s="30" t="n"/>
    </row>
    <row r="101">
      <c r="A101" s="30" t="n"/>
      <c r="B101" s="30" t="n"/>
      <c r="C101" s="30" t="n"/>
      <c r="D101" s="30" t="n"/>
      <c r="E101" s="30" t="n"/>
      <c r="F101" s="30" t="n"/>
      <c r="G101" s="30" t="n"/>
      <c r="H101" s="30" t="n"/>
      <c r="I101" s="31" t="n"/>
      <c r="J101" s="30" t="n"/>
      <c r="K101" s="30" t="n"/>
      <c r="L101" s="30" t="n"/>
      <c r="M101" s="30" t="n"/>
      <c r="N101" s="32" t="n"/>
      <c r="O101" s="30" t="n"/>
      <c r="P101" s="32" t="n"/>
      <c r="Q101" s="30" t="n"/>
      <c r="R101" s="32" t="n"/>
      <c r="S101" s="30" t="n"/>
      <c r="T101" s="30" t="n"/>
      <c r="U101" s="30" t="n"/>
      <c r="V101" s="30" t="n"/>
      <c r="W101" s="29">
        <f>IF(H101="","",IF(H101="Kenya","Yes","No"))</f>
        <v/>
      </c>
      <c r="X101" s="29">
        <f>IF(B101="","",IF(COUNTIF($B$5:$B$3004,B101)&gt;1,"DUPLICATE","OK"))</f>
        <v/>
      </c>
      <c r="Y101" s="29">
        <f>IF(OR(U101="",V101="",V101="Excluded"),"",IF(COUNTIFS($U$5:$U$3004,U101,$V$5:$V$3004,"&lt;&gt;"&amp;V101,$V$5:$V$3004,"&lt;&gt;",$V$5:$V$3004,"&lt;&gt;Excluded")&gt;0,"LEAK RISK","OK"))</f>
        <v/>
      </c>
      <c r="Z101" s="30" t="n"/>
    </row>
    <row r="102">
      <c r="A102" s="30" t="n"/>
      <c r="B102" s="30" t="n"/>
      <c r="C102" s="30" t="n"/>
      <c r="D102" s="30" t="n"/>
      <c r="E102" s="30" t="n"/>
      <c r="F102" s="30" t="n"/>
      <c r="G102" s="30" t="n"/>
      <c r="H102" s="30" t="n"/>
      <c r="I102" s="31" t="n"/>
      <c r="J102" s="30" t="n"/>
      <c r="K102" s="30" t="n"/>
      <c r="L102" s="30" t="n"/>
      <c r="M102" s="30" t="n"/>
      <c r="N102" s="32" t="n"/>
      <c r="O102" s="30" t="n"/>
      <c r="P102" s="32" t="n"/>
      <c r="Q102" s="30" t="n"/>
      <c r="R102" s="32" t="n"/>
      <c r="S102" s="30" t="n"/>
      <c r="T102" s="30" t="n"/>
      <c r="U102" s="30" t="n"/>
      <c r="V102" s="30" t="n"/>
      <c r="W102" s="29">
        <f>IF(H102="","",IF(H102="Kenya","Yes","No"))</f>
        <v/>
      </c>
      <c r="X102" s="29">
        <f>IF(B102="","",IF(COUNTIF($B$5:$B$3004,B102)&gt;1,"DUPLICATE","OK"))</f>
        <v/>
      </c>
      <c r="Y102" s="29">
        <f>IF(OR(U102="",V102="",V102="Excluded"),"",IF(COUNTIFS($U$5:$U$3004,U102,$V$5:$V$3004,"&lt;&gt;"&amp;V102,$V$5:$V$3004,"&lt;&gt;",$V$5:$V$3004,"&lt;&gt;Excluded")&gt;0,"LEAK RISK","OK"))</f>
        <v/>
      </c>
      <c r="Z102" s="30" t="n"/>
    </row>
    <row r="103">
      <c r="A103" s="30" t="n"/>
      <c r="B103" s="30" t="n"/>
      <c r="C103" s="30" t="n"/>
      <c r="D103" s="30" t="n"/>
      <c r="E103" s="30" t="n"/>
      <c r="F103" s="30" t="n"/>
      <c r="G103" s="30" t="n"/>
      <c r="H103" s="30" t="n"/>
      <c r="I103" s="31" t="n"/>
      <c r="J103" s="30" t="n"/>
      <c r="K103" s="30" t="n"/>
      <c r="L103" s="30" t="n"/>
      <c r="M103" s="30" t="n"/>
      <c r="N103" s="32" t="n"/>
      <c r="O103" s="30" t="n"/>
      <c r="P103" s="32" t="n"/>
      <c r="Q103" s="30" t="n"/>
      <c r="R103" s="32" t="n"/>
      <c r="S103" s="30" t="n"/>
      <c r="T103" s="30" t="n"/>
      <c r="U103" s="30" t="n"/>
      <c r="V103" s="30" t="n"/>
      <c r="W103" s="29">
        <f>IF(H103="","",IF(H103="Kenya","Yes","No"))</f>
        <v/>
      </c>
      <c r="X103" s="29">
        <f>IF(B103="","",IF(COUNTIF($B$5:$B$3004,B103)&gt;1,"DUPLICATE","OK"))</f>
        <v/>
      </c>
      <c r="Y103" s="29">
        <f>IF(OR(U103="",V103="",V103="Excluded"),"",IF(COUNTIFS($U$5:$U$3004,U103,$V$5:$V$3004,"&lt;&gt;"&amp;V103,$V$5:$V$3004,"&lt;&gt;",$V$5:$V$3004,"&lt;&gt;Excluded")&gt;0,"LEAK RISK","OK"))</f>
        <v/>
      </c>
      <c r="Z103" s="30" t="n"/>
    </row>
    <row r="104">
      <c r="A104" s="30" t="n"/>
      <c r="B104" s="30" t="n"/>
      <c r="C104" s="30" t="n"/>
      <c r="D104" s="30" t="n"/>
      <c r="E104" s="30" t="n"/>
      <c r="F104" s="30" t="n"/>
      <c r="G104" s="30" t="n"/>
      <c r="H104" s="30" t="n"/>
      <c r="I104" s="31" t="n"/>
      <c r="J104" s="30" t="n"/>
      <c r="K104" s="30" t="n"/>
      <c r="L104" s="30" t="n"/>
      <c r="M104" s="30" t="n"/>
      <c r="N104" s="32" t="n"/>
      <c r="O104" s="30" t="n"/>
      <c r="P104" s="32" t="n"/>
      <c r="Q104" s="30" t="n"/>
      <c r="R104" s="32" t="n"/>
      <c r="S104" s="30" t="n"/>
      <c r="T104" s="30" t="n"/>
      <c r="U104" s="30" t="n"/>
      <c r="V104" s="30" t="n"/>
      <c r="W104" s="29">
        <f>IF(H104="","",IF(H104="Kenya","Yes","No"))</f>
        <v/>
      </c>
      <c r="X104" s="29">
        <f>IF(B104="","",IF(COUNTIF($B$5:$B$3004,B104)&gt;1,"DUPLICATE","OK"))</f>
        <v/>
      </c>
      <c r="Y104" s="29">
        <f>IF(OR(U104="",V104="",V104="Excluded"),"",IF(COUNTIFS($U$5:$U$3004,U104,$V$5:$V$3004,"&lt;&gt;"&amp;V104,$V$5:$V$3004,"&lt;&gt;",$V$5:$V$3004,"&lt;&gt;Excluded")&gt;0,"LEAK RISK","OK"))</f>
        <v/>
      </c>
      <c r="Z104" s="30" t="n"/>
    </row>
    <row r="105">
      <c r="A105" s="30" t="n"/>
      <c r="B105" s="30" t="n"/>
      <c r="C105" s="30" t="n"/>
      <c r="D105" s="30" t="n"/>
      <c r="E105" s="30" t="n"/>
      <c r="F105" s="30" t="n"/>
      <c r="G105" s="30" t="n"/>
      <c r="H105" s="30" t="n"/>
      <c r="I105" s="31" t="n"/>
      <c r="J105" s="30" t="n"/>
      <c r="K105" s="30" t="n"/>
      <c r="L105" s="30" t="n"/>
      <c r="M105" s="30" t="n"/>
      <c r="N105" s="32" t="n"/>
      <c r="O105" s="30" t="n"/>
      <c r="P105" s="32" t="n"/>
      <c r="Q105" s="30" t="n"/>
      <c r="R105" s="32" t="n"/>
      <c r="S105" s="30" t="n"/>
      <c r="T105" s="30" t="n"/>
      <c r="U105" s="30" t="n"/>
      <c r="V105" s="30" t="n"/>
      <c r="W105" s="29">
        <f>IF(H105="","",IF(H105="Kenya","Yes","No"))</f>
        <v/>
      </c>
      <c r="X105" s="29">
        <f>IF(B105="","",IF(COUNTIF($B$5:$B$3004,B105)&gt;1,"DUPLICATE","OK"))</f>
        <v/>
      </c>
      <c r="Y105" s="29">
        <f>IF(OR(U105="",V105="",V105="Excluded"),"",IF(COUNTIFS($U$5:$U$3004,U105,$V$5:$V$3004,"&lt;&gt;"&amp;V105,$V$5:$V$3004,"&lt;&gt;",$V$5:$V$3004,"&lt;&gt;Excluded")&gt;0,"LEAK RISK","OK"))</f>
        <v/>
      </c>
      <c r="Z105" s="30" t="n"/>
    </row>
    <row r="106">
      <c r="A106" s="30" t="n"/>
      <c r="B106" s="30" t="n"/>
      <c r="C106" s="30" t="n"/>
      <c r="D106" s="30" t="n"/>
      <c r="E106" s="30" t="n"/>
      <c r="F106" s="30" t="n"/>
      <c r="G106" s="30" t="n"/>
      <c r="H106" s="30" t="n"/>
      <c r="I106" s="31" t="n"/>
      <c r="J106" s="30" t="n"/>
      <c r="K106" s="30" t="n"/>
      <c r="L106" s="30" t="n"/>
      <c r="M106" s="30" t="n"/>
      <c r="N106" s="32" t="n"/>
      <c r="O106" s="30" t="n"/>
      <c r="P106" s="32" t="n"/>
      <c r="Q106" s="30" t="n"/>
      <c r="R106" s="32" t="n"/>
      <c r="S106" s="30" t="n"/>
      <c r="T106" s="30" t="n"/>
      <c r="U106" s="30" t="n"/>
      <c r="V106" s="30" t="n"/>
      <c r="W106" s="29">
        <f>IF(H106="","",IF(H106="Kenya","Yes","No"))</f>
        <v/>
      </c>
      <c r="X106" s="29">
        <f>IF(B106="","",IF(COUNTIF($B$5:$B$3004,B106)&gt;1,"DUPLICATE","OK"))</f>
        <v/>
      </c>
      <c r="Y106" s="29">
        <f>IF(OR(U106="",V106="",V106="Excluded"),"",IF(COUNTIFS($U$5:$U$3004,U106,$V$5:$V$3004,"&lt;&gt;"&amp;V106,$V$5:$V$3004,"&lt;&gt;",$V$5:$V$3004,"&lt;&gt;Excluded")&gt;0,"LEAK RISK","OK"))</f>
        <v/>
      </c>
      <c r="Z106" s="30" t="n"/>
    </row>
    <row r="107">
      <c r="A107" s="30" t="n"/>
      <c r="B107" s="30" t="n"/>
      <c r="C107" s="30" t="n"/>
      <c r="D107" s="30" t="n"/>
      <c r="E107" s="30" t="n"/>
      <c r="F107" s="30" t="n"/>
      <c r="G107" s="30" t="n"/>
      <c r="H107" s="30" t="n"/>
      <c r="I107" s="31" t="n"/>
      <c r="J107" s="30" t="n"/>
      <c r="K107" s="30" t="n"/>
      <c r="L107" s="30" t="n"/>
      <c r="M107" s="30" t="n"/>
      <c r="N107" s="32" t="n"/>
      <c r="O107" s="30" t="n"/>
      <c r="P107" s="32" t="n"/>
      <c r="Q107" s="30" t="n"/>
      <c r="R107" s="32" t="n"/>
      <c r="S107" s="30" t="n"/>
      <c r="T107" s="30" t="n"/>
      <c r="U107" s="30" t="n"/>
      <c r="V107" s="30" t="n"/>
      <c r="W107" s="29">
        <f>IF(H107="","",IF(H107="Kenya","Yes","No"))</f>
        <v/>
      </c>
      <c r="X107" s="29">
        <f>IF(B107="","",IF(COUNTIF($B$5:$B$3004,B107)&gt;1,"DUPLICATE","OK"))</f>
        <v/>
      </c>
      <c r="Y107" s="29">
        <f>IF(OR(U107="",V107="",V107="Excluded"),"",IF(COUNTIFS($U$5:$U$3004,U107,$V$5:$V$3004,"&lt;&gt;"&amp;V107,$V$5:$V$3004,"&lt;&gt;",$V$5:$V$3004,"&lt;&gt;Excluded")&gt;0,"LEAK RISK","OK"))</f>
        <v/>
      </c>
      <c r="Z107" s="30" t="n"/>
    </row>
    <row r="108">
      <c r="A108" s="30" t="n"/>
      <c r="B108" s="30" t="n"/>
      <c r="C108" s="30" t="n"/>
      <c r="D108" s="30" t="n"/>
      <c r="E108" s="30" t="n"/>
      <c r="F108" s="30" t="n"/>
      <c r="G108" s="30" t="n"/>
      <c r="H108" s="30" t="n"/>
      <c r="I108" s="31" t="n"/>
      <c r="J108" s="30" t="n"/>
      <c r="K108" s="30" t="n"/>
      <c r="L108" s="30" t="n"/>
      <c r="M108" s="30" t="n"/>
      <c r="N108" s="32" t="n"/>
      <c r="O108" s="30" t="n"/>
      <c r="P108" s="32" t="n"/>
      <c r="Q108" s="30" t="n"/>
      <c r="R108" s="32" t="n"/>
      <c r="S108" s="30" t="n"/>
      <c r="T108" s="30" t="n"/>
      <c r="U108" s="30" t="n"/>
      <c r="V108" s="30" t="n"/>
      <c r="W108" s="29">
        <f>IF(H108="","",IF(H108="Kenya","Yes","No"))</f>
        <v/>
      </c>
      <c r="X108" s="29">
        <f>IF(B108="","",IF(COUNTIF($B$5:$B$3004,B108)&gt;1,"DUPLICATE","OK"))</f>
        <v/>
      </c>
      <c r="Y108" s="29">
        <f>IF(OR(U108="",V108="",V108="Excluded"),"",IF(COUNTIFS($U$5:$U$3004,U108,$V$5:$V$3004,"&lt;&gt;"&amp;V108,$V$5:$V$3004,"&lt;&gt;",$V$5:$V$3004,"&lt;&gt;Excluded")&gt;0,"LEAK RISK","OK"))</f>
        <v/>
      </c>
      <c r="Z108" s="30" t="n"/>
    </row>
    <row r="109">
      <c r="A109" s="30" t="n"/>
      <c r="B109" s="30" t="n"/>
      <c r="C109" s="30" t="n"/>
      <c r="D109" s="30" t="n"/>
      <c r="E109" s="30" t="n"/>
      <c r="F109" s="30" t="n"/>
      <c r="G109" s="30" t="n"/>
      <c r="H109" s="30" t="n"/>
      <c r="I109" s="31" t="n"/>
      <c r="J109" s="30" t="n"/>
      <c r="K109" s="30" t="n"/>
      <c r="L109" s="30" t="n"/>
      <c r="M109" s="30" t="n"/>
      <c r="N109" s="32" t="n"/>
      <c r="O109" s="30" t="n"/>
      <c r="P109" s="32" t="n"/>
      <c r="Q109" s="30" t="n"/>
      <c r="R109" s="32" t="n"/>
      <c r="S109" s="30" t="n"/>
      <c r="T109" s="30" t="n"/>
      <c r="U109" s="30" t="n"/>
      <c r="V109" s="30" t="n"/>
      <c r="W109" s="29">
        <f>IF(H109="","",IF(H109="Kenya","Yes","No"))</f>
        <v/>
      </c>
      <c r="X109" s="29">
        <f>IF(B109="","",IF(COUNTIF($B$5:$B$3004,B109)&gt;1,"DUPLICATE","OK"))</f>
        <v/>
      </c>
      <c r="Y109" s="29">
        <f>IF(OR(U109="",V109="",V109="Excluded"),"",IF(COUNTIFS($U$5:$U$3004,U109,$V$5:$V$3004,"&lt;&gt;"&amp;V109,$V$5:$V$3004,"&lt;&gt;",$V$5:$V$3004,"&lt;&gt;Excluded")&gt;0,"LEAK RISK","OK"))</f>
        <v/>
      </c>
      <c r="Z109" s="30" t="n"/>
    </row>
    <row r="110">
      <c r="A110" s="30" t="n"/>
      <c r="B110" s="30" t="n"/>
      <c r="C110" s="30" t="n"/>
      <c r="D110" s="30" t="n"/>
      <c r="E110" s="30" t="n"/>
      <c r="F110" s="30" t="n"/>
      <c r="G110" s="30" t="n"/>
      <c r="H110" s="30" t="n"/>
      <c r="I110" s="31" t="n"/>
      <c r="J110" s="30" t="n"/>
      <c r="K110" s="30" t="n"/>
      <c r="L110" s="30" t="n"/>
      <c r="M110" s="30" t="n"/>
      <c r="N110" s="32" t="n"/>
      <c r="O110" s="30" t="n"/>
      <c r="P110" s="32" t="n"/>
      <c r="Q110" s="30" t="n"/>
      <c r="R110" s="32" t="n"/>
      <c r="S110" s="30" t="n"/>
      <c r="T110" s="30" t="n"/>
      <c r="U110" s="30" t="n"/>
      <c r="V110" s="30" t="n"/>
      <c r="W110" s="29">
        <f>IF(H110="","",IF(H110="Kenya","Yes","No"))</f>
        <v/>
      </c>
      <c r="X110" s="29">
        <f>IF(B110="","",IF(COUNTIF($B$5:$B$3004,B110)&gt;1,"DUPLICATE","OK"))</f>
        <v/>
      </c>
      <c r="Y110" s="29">
        <f>IF(OR(U110="",V110="",V110="Excluded"),"",IF(COUNTIFS($U$5:$U$3004,U110,$V$5:$V$3004,"&lt;&gt;"&amp;V110,$V$5:$V$3004,"&lt;&gt;",$V$5:$V$3004,"&lt;&gt;Excluded")&gt;0,"LEAK RISK","OK"))</f>
        <v/>
      </c>
      <c r="Z110" s="30" t="n"/>
    </row>
    <row r="111">
      <c r="A111" s="30" t="n"/>
      <c r="B111" s="30" t="n"/>
      <c r="C111" s="30" t="n"/>
      <c r="D111" s="30" t="n"/>
      <c r="E111" s="30" t="n"/>
      <c r="F111" s="30" t="n"/>
      <c r="G111" s="30" t="n"/>
      <c r="H111" s="30" t="n"/>
      <c r="I111" s="31" t="n"/>
      <c r="J111" s="30" t="n"/>
      <c r="K111" s="30" t="n"/>
      <c r="L111" s="30" t="n"/>
      <c r="M111" s="30" t="n"/>
      <c r="N111" s="32" t="n"/>
      <c r="O111" s="30" t="n"/>
      <c r="P111" s="32" t="n"/>
      <c r="Q111" s="30" t="n"/>
      <c r="R111" s="32" t="n"/>
      <c r="S111" s="30" t="n"/>
      <c r="T111" s="30" t="n"/>
      <c r="U111" s="30" t="n"/>
      <c r="V111" s="30" t="n"/>
      <c r="W111" s="29">
        <f>IF(H111="","",IF(H111="Kenya","Yes","No"))</f>
        <v/>
      </c>
      <c r="X111" s="29">
        <f>IF(B111="","",IF(COUNTIF($B$5:$B$3004,B111)&gt;1,"DUPLICATE","OK"))</f>
        <v/>
      </c>
      <c r="Y111" s="29">
        <f>IF(OR(U111="",V111="",V111="Excluded"),"",IF(COUNTIFS($U$5:$U$3004,U111,$V$5:$V$3004,"&lt;&gt;"&amp;V111,$V$5:$V$3004,"&lt;&gt;",$V$5:$V$3004,"&lt;&gt;Excluded")&gt;0,"LEAK RISK","OK"))</f>
        <v/>
      </c>
      <c r="Z111" s="30" t="n"/>
    </row>
    <row r="112">
      <c r="A112" s="30" t="n"/>
      <c r="B112" s="30" t="n"/>
      <c r="C112" s="30" t="n"/>
      <c r="D112" s="30" t="n"/>
      <c r="E112" s="30" t="n"/>
      <c r="F112" s="30" t="n"/>
      <c r="G112" s="30" t="n"/>
      <c r="H112" s="30" t="n"/>
      <c r="I112" s="31" t="n"/>
      <c r="J112" s="30" t="n"/>
      <c r="K112" s="30" t="n"/>
      <c r="L112" s="30" t="n"/>
      <c r="M112" s="30" t="n"/>
      <c r="N112" s="32" t="n"/>
      <c r="O112" s="30" t="n"/>
      <c r="P112" s="32" t="n"/>
      <c r="Q112" s="30" t="n"/>
      <c r="R112" s="32" t="n"/>
      <c r="S112" s="30" t="n"/>
      <c r="T112" s="30" t="n"/>
      <c r="U112" s="30" t="n"/>
      <c r="V112" s="30" t="n"/>
      <c r="W112" s="29">
        <f>IF(H112="","",IF(H112="Kenya","Yes","No"))</f>
        <v/>
      </c>
      <c r="X112" s="29">
        <f>IF(B112="","",IF(COUNTIF($B$5:$B$3004,B112)&gt;1,"DUPLICATE","OK"))</f>
        <v/>
      </c>
      <c r="Y112" s="29">
        <f>IF(OR(U112="",V112="",V112="Excluded"),"",IF(COUNTIFS($U$5:$U$3004,U112,$V$5:$V$3004,"&lt;&gt;"&amp;V112,$V$5:$V$3004,"&lt;&gt;",$V$5:$V$3004,"&lt;&gt;Excluded")&gt;0,"LEAK RISK","OK"))</f>
        <v/>
      </c>
      <c r="Z112" s="30" t="n"/>
    </row>
    <row r="113">
      <c r="A113" s="30" t="n"/>
      <c r="B113" s="30" t="n"/>
      <c r="C113" s="30" t="n"/>
      <c r="D113" s="30" t="n"/>
      <c r="E113" s="30" t="n"/>
      <c r="F113" s="30" t="n"/>
      <c r="G113" s="30" t="n"/>
      <c r="H113" s="30" t="n"/>
      <c r="I113" s="31" t="n"/>
      <c r="J113" s="30" t="n"/>
      <c r="K113" s="30" t="n"/>
      <c r="L113" s="30" t="n"/>
      <c r="M113" s="30" t="n"/>
      <c r="N113" s="32" t="n"/>
      <c r="O113" s="30" t="n"/>
      <c r="P113" s="32" t="n"/>
      <c r="Q113" s="30" t="n"/>
      <c r="R113" s="32" t="n"/>
      <c r="S113" s="30" t="n"/>
      <c r="T113" s="30" t="n"/>
      <c r="U113" s="30" t="n"/>
      <c r="V113" s="30" t="n"/>
      <c r="W113" s="29">
        <f>IF(H113="","",IF(H113="Kenya","Yes","No"))</f>
        <v/>
      </c>
      <c r="X113" s="29">
        <f>IF(B113="","",IF(COUNTIF($B$5:$B$3004,B113)&gt;1,"DUPLICATE","OK"))</f>
        <v/>
      </c>
      <c r="Y113" s="29">
        <f>IF(OR(U113="",V113="",V113="Excluded"),"",IF(COUNTIFS($U$5:$U$3004,U113,$V$5:$V$3004,"&lt;&gt;"&amp;V113,$V$5:$V$3004,"&lt;&gt;",$V$5:$V$3004,"&lt;&gt;Excluded")&gt;0,"LEAK RISK","OK"))</f>
        <v/>
      </c>
      <c r="Z113" s="30" t="n"/>
    </row>
    <row r="114">
      <c r="A114" s="30" t="n"/>
      <c r="B114" s="30" t="n"/>
      <c r="C114" s="30" t="n"/>
      <c r="D114" s="30" t="n"/>
      <c r="E114" s="30" t="n"/>
      <c r="F114" s="30" t="n"/>
      <c r="G114" s="30" t="n"/>
      <c r="H114" s="30" t="n"/>
      <c r="I114" s="31" t="n"/>
      <c r="J114" s="30" t="n"/>
      <c r="K114" s="30" t="n"/>
      <c r="L114" s="30" t="n"/>
      <c r="M114" s="30" t="n"/>
      <c r="N114" s="32" t="n"/>
      <c r="O114" s="30" t="n"/>
      <c r="P114" s="32" t="n"/>
      <c r="Q114" s="30" t="n"/>
      <c r="R114" s="32" t="n"/>
      <c r="S114" s="30" t="n"/>
      <c r="T114" s="30" t="n"/>
      <c r="U114" s="30" t="n"/>
      <c r="V114" s="30" t="n"/>
      <c r="W114" s="29">
        <f>IF(H114="","",IF(H114="Kenya","Yes","No"))</f>
        <v/>
      </c>
      <c r="X114" s="29">
        <f>IF(B114="","",IF(COUNTIF($B$5:$B$3004,B114)&gt;1,"DUPLICATE","OK"))</f>
        <v/>
      </c>
      <c r="Y114" s="29">
        <f>IF(OR(U114="",V114="",V114="Excluded"),"",IF(COUNTIFS($U$5:$U$3004,U114,$V$5:$V$3004,"&lt;&gt;"&amp;V114,$V$5:$V$3004,"&lt;&gt;",$V$5:$V$3004,"&lt;&gt;Excluded")&gt;0,"LEAK RISK","OK"))</f>
        <v/>
      </c>
      <c r="Z114" s="30" t="n"/>
    </row>
    <row r="115">
      <c r="A115" s="30" t="n"/>
      <c r="B115" s="30" t="n"/>
      <c r="C115" s="30" t="n"/>
      <c r="D115" s="30" t="n"/>
      <c r="E115" s="30" t="n"/>
      <c r="F115" s="30" t="n"/>
      <c r="G115" s="30" t="n"/>
      <c r="H115" s="30" t="n"/>
      <c r="I115" s="31" t="n"/>
      <c r="J115" s="30" t="n"/>
      <c r="K115" s="30" t="n"/>
      <c r="L115" s="30" t="n"/>
      <c r="M115" s="30" t="n"/>
      <c r="N115" s="32" t="n"/>
      <c r="O115" s="30" t="n"/>
      <c r="P115" s="32" t="n"/>
      <c r="Q115" s="30" t="n"/>
      <c r="R115" s="32" t="n"/>
      <c r="S115" s="30" t="n"/>
      <c r="T115" s="30" t="n"/>
      <c r="U115" s="30" t="n"/>
      <c r="V115" s="30" t="n"/>
      <c r="W115" s="29">
        <f>IF(H115="","",IF(H115="Kenya","Yes","No"))</f>
        <v/>
      </c>
      <c r="X115" s="29">
        <f>IF(B115="","",IF(COUNTIF($B$5:$B$3004,B115)&gt;1,"DUPLICATE","OK"))</f>
        <v/>
      </c>
      <c r="Y115" s="29">
        <f>IF(OR(U115="",V115="",V115="Excluded"),"",IF(COUNTIFS($U$5:$U$3004,U115,$V$5:$V$3004,"&lt;&gt;"&amp;V115,$V$5:$V$3004,"&lt;&gt;",$V$5:$V$3004,"&lt;&gt;Excluded")&gt;0,"LEAK RISK","OK"))</f>
        <v/>
      </c>
      <c r="Z115" s="30" t="n"/>
    </row>
    <row r="116">
      <c r="A116" s="30" t="n"/>
      <c r="B116" s="30" t="n"/>
      <c r="C116" s="30" t="n"/>
      <c r="D116" s="30" t="n"/>
      <c r="E116" s="30" t="n"/>
      <c r="F116" s="30" t="n"/>
      <c r="G116" s="30" t="n"/>
      <c r="H116" s="30" t="n"/>
      <c r="I116" s="31" t="n"/>
      <c r="J116" s="30" t="n"/>
      <c r="K116" s="30" t="n"/>
      <c r="L116" s="30" t="n"/>
      <c r="M116" s="30" t="n"/>
      <c r="N116" s="32" t="n"/>
      <c r="O116" s="30" t="n"/>
      <c r="P116" s="32" t="n"/>
      <c r="Q116" s="30" t="n"/>
      <c r="R116" s="32" t="n"/>
      <c r="S116" s="30" t="n"/>
      <c r="T116" s="30" t="n"/>
      <c r="U116" s="30" t="n"/>
      <c r="V116" s="30" t="n"/>
      <c r="W116" s="29">
        <f>IF(H116="","",IF(H116="Kenya","Yes","No"))</f>
        <v/>
      </c>
      <c r="X116" s="29">
        <f>IF(B116="","",IF(COUNTIF($B$5:$B$3004,B116)&gt;1,"DUPLICATE","OK"))</f>
        <v/>
      </c>
      <c r="Y116" s="29">
        <f>IF(OR(U116="",V116="",V116="Excluded"),"",IF(COUNTIFS($U$5:$U$3004,U116,$V$5:$V$3004,"&lt;&gt;"&amp;V116,$V$5:$V$3004,"&lt;&gt;",$V$5:$V$3004,"&lt;&gt;Excluded")&gt;0,"LEAK RISK","OK"))</f>
        <v/>
      </c>
      <c r="Z116" s="30" t="n"/>
    </row>
    <row r="117">
      <c r="A117" s="30" t="n"/>
      <c r="B117" s="30" t="n"/>
      <c r="C117" s="30" t="n"/>
      <c r="D117" s="30" t="n"/>
      <c r="E117" s="30" t="n"/>
      <c r="F117" s="30" t="n"/>
      <c r="G117" s="30" t="n"/>
      <c r="H117" s="30" t="n"/>
      <c r="I117" s="31" t="n"/>
      <c r="J117" s="30" t="n"/>
      <c r="K117" s="30" t="n"/>
      <c r="L117" s="30" t="n"/>
      <c r="M117" s="30" t="n"/>
      <c r="N117" s="32" t="n"/>
      <c r="O117" s="30" t="n"/>
      <c r="P117" s="32" t="n"/>
      <c r="Q117" s="30" t="n"/>
      <c r="R117" s="32" t="n"/>
      <c r="S117" s="30" t="n"/>
      <c r="T117" s="30" t="n"/>
      <c r="U117" s="30" t="n"/>
      <c r="V117" s="30" t="n"/>
      <c r="W117" s="29">
        <f>IF(H117="","",IF(H117="Kenya","Yes","No"))</f>
        <v/>
      </c>
      <c r="X117" s="29">
        <f>IF(B117="","",IF(COUNTIF($B$5:$B$3004,B117)&gt;1,"DUPLICATE","OK"))</f>
        <v/>
      </c>
      <c r="Y117" s="29">
        <f>IF(OR(U117="",V117="",V117="Excluded"),"",IF(COUNTIFS($U$5:$U$3004,U117,$V$5:$V$3004,"&lt;&gt;"&amp;V117,$V$5:$V$3004,"&lt;&gt;",$V$5:$V$3004,"&lt;&gt;Excluded")&gt;0,"LEAK RISK","OK"))</f>
        <v/>
      </c>
      <c r="Z117" s="30" t="n"/>
    </row>
    <row r="118">
      <c r="A118" s="30" t="n"/>
      <c r="B118" s="30" t="n"/>
      <c r="C118" s="30" t="n"/>
      <c r="D118" s="30" t="n"/>
      <c r="E118" s="30" t="n"/>
      <c r="F118" s="30" t="n"/>
      <c r="G118" s="30" t="n"/>
      <c r="H118" s="30" t="n"/>
      <c r="I118" s="31" t="n"/>
      <c r="J118" s="30" t="n"/>
      <c r="K118" s="30" t="n"/>
      <c r="L118" s="30" t="n"/>
      <c r="M118" s="30" t="n"/>
      <c r="N118" s="32" t="n"/>
      <c r="O118" s="30" t="n"/>
      <c r="P118" s="32" t="n"/>
      <c r="Q118" s="30" t="n"/>
      <c r="R118" s="32" t="n"/>
      <c r="S118" s="30" t="n"/>
      <c r="T118" s="30" t="n"/>
      <c r="U118" s="30" t="n"/>
      <c r="V118" s="30" t="n"/>
      <c r="W118" s="29">
        <f>IF(H118="","",IF(H118="Kenya","Yes","No"))</f>
        <v/>
      </c>
      <c r="X118" s="29">
        <f>IF(B118="","",IF(COUNTIF($B$5:$B$3004,B118)&gt;1,"DUPLICATE","OK"))</f>
        <v/>
      </c>
      <c r="Y118" s="29">
        <f>IF(OR(U118="",V118="",V118="Excluded"),"",IF(COUNTIFS($U$5:$U$3004,U118,$V$5:$V$3004,"&lt;&gt;"&amp;V118,$V$5:$V$3004,"&lt;&gt;",$V$5:$V$3004,"&lt;&gt;Excluded")&gt;0,"LEAK RISK","OK"))</f>
        <v/>
      </c>
      <c r="Z118" s="30" t="n"/>
    </row>
    <row r="119">
      <c r="A119" s="30" t="n"/>
      <c r="B119" s="30" t="n"/>
      <c r="C119" s="30" t="n"/>
      <c r="D119" s="30" t="n"/>
      <c r="E119" s="30" t="n"/>
      <c r="F119" s="30" t="n"/>
      <c r="G119" s="30" t="n"/>
      <c r="H119" s="30" t="n"/>
      <c r="I119" s="31" t="n"/>
      <c r="J119" s="30" t="n"/>
      <c r="K119" s="30" t="n"/>
      <c r="L119" s="30" t="n"/>
      <c r="M119" s="30" t="n"/>
      <c r="N119" s="32" t="n"/>
      <c r="O119" s="30" t="n"/>
      <c r="P119" s="32" t="n"/>
      <c r="Q119" s="30" t="n"/>
      <c r="R119" s="32" t="n"/>
      <c r="S119" s="30" t="n"/>
      <c r="T119" s="30" t="n"/>
      <c r="U119" s="30" t="n"/>
      <c r="V119" s="30" t="n"/>
      <c r="W119" s="29">
        <f>IF(H119="","",IF(H119="Kenya","Yes","No"))</f>
        <v/>
      </c>
      <c r="X119" s="29">
        <f>IF(B119="","",IF(COUNTIF($B$5:$B$3004,B119)&gt;1,"DUPLICATE","OK"))</f>
        <v/>
      </c>
      <c r="Y119" s="29">
        <f>IF(OR(U119="",V119="",V119="Excluded"),"",IF(COUNTIFS($U$5:$U$3004,U119,$V$5:$V$3004,"&lt;&gt;"&amp;V119,$V$5:$V$3004,"&lt;&gt;",$V$5:$V$3004,"&lt;&gt;Excluded")&gt;0,"LEAK RISK","OK"))</f>
        <v/>
      </c>
      <c r="Z119" s="30" t="n"/>
    </row>
    <row r="120">
      <c r="A120" s="30" t="n"/>
      <c r="B120" s="30" t="n"/>
      <c r="C120" s="30" t="n"/>
      <c r="D120" s="30" t="n"/>
      <c r="E120" s="30" t="n"/>
      <c r="F120" s="30" t="n"/>
      <c r="G120" s="30" t="n"/>
      <c r="H120" s="30" t="n"/>
      <c r="I120" s="31" t="n"/>
      <c r="J120" s="30" t="n"/>
      <c r="K120" s="30" t="n"/>
      <c r="L120" s="30" t="n"/>
      <c r="M120" s="30" t="n"/>
      <c r="N120" s="32" t="n"/>
      <c r="O120" s="30" t="n"/>
      <c r="P120" s="32" t="n"/>
      <c r="Q120" s="30" t="n"/>
      <c r="R120" s="32" t="n"/>
      <c r="S120" s="30" t="n"/>
      <c r="T120" s="30" t="n"/>
      <c r="U120" s="30" t="n"/>
      <c r="V120" s="30" t="n"/>
      <c r="W120" s="29">
        <f>IF(H120="","",IF(H120="Kenya","Yes","No"))</f>
        <v/>
      </c>
      <c r="X120" s="29">
        <f>IF(B120="","",IF(COUNTIF($B$5:$B$3004,B120)&gt;1,"DUPLICATE","OK"))</f>
        <v/>
      </c>
      <c r="Y120" s="29">
        <f>IF(OR(U120="",V120="",V120="Excluded"),"",IF(COUNTIFS($U$5:$U$3004,U120,$V$5:$V$3004,"&lt;&gt;"&amp;V120,$V$5:$V$3004,"&lt;&gt;",$V$5:$V$3004,"&lt;&gt;Excluded")&gt;0,"LEAK RISK","OK"))</f>
        <v/>
      </c>
      <c r="Z120" s="30" t="n"/>
    </row>
    <row r="121">
      <c r="A121" s="30" t="n"/>
      <c r="B121" s="30" t="n"/>
      <c r="C121" s="30" t="n"/>
      <c r="D121" s="30" t="n"/>
      <c r="E121" s="30" t="n"/>
      <c r="F121" s="30" t="n"/>
      <c r="G121" s="30" t="n"/>
      <c r="H121" s="30" t="n"/>
      <c r="I121" s="31" t="n"/>
      <c r="J121" s="30" t="n"/>
      <c r="K121" s="30" t="n"/>
      <c r="L121" s="30" t="n"/>
      <c r="M121" s="30" t="n"/>
      <c r="N121" s="32" t="n"/>
      <c r="O121" s="30" t="n"/>
      <c r="P121" s="32" t="n"/>
      <c r="Q121" s="30" t="n"/>
      <c r="R121" s="32" t="n"/>
      <c r="S121" s="30" t="n"/>
      <c r="T121" s="30" t="n"/>
      <c r="U121" s="30" t="n"/>
      <c r="V121" s="30" t="n"/>
      <c r="W121" s="29">
        <f>IF(H121="","",IF(H121="Kenya","Yes","No"))</f>
        <v/>
      </c>
      <c r="X121" s="29">
        <f>IF(B121="","",IF(COUNTIF($B$5:$B$3004,B121)&gt;1,"DUPLICATE","OK"))</f>
        <v/>
      </c>
      <c r="Y121" s="29">
        <f>IF(OR(U121="",V121="",V121="Excluded"),"",IF(COUNTIFS($U$5:$U$3004,U121,$V$5:$V$3004,"&lt;&gt;"&amp;V121,$V$5:$V$3004,"&lt;&gt;",$V$5:$V$3004,"&lt;&gt;Excluded")&gt;0,"LEAK RISK","OK"))</f>
        <v/>
      </c>
      <c r="Z121" s="30" t="n"/>
    </row>
    <row r="122">
      <c r="A122" s="30" t="n"/>
      <c r="B122" s="30" t="n"/>
      <c r="C122" s="30" t="n"/>
      <c r="D122" s="30" t="n"/>
      <c r="E122" s="30" t="n"/>
      <c r="F122" s="30" t="n"/>
      <c r="G122" s="30" t="n"/>
      <c r="H122" s="30" t="n"/>
      <c r="I122" s="31" t="n"/>
      <c r="J122" s="30" t="n"/>
      <c r="K122" s="30" t="n"/>
      <c r="L122" s="30" t="n"/>
      <c r="M122" s="30" t="n"/>
      <c r="N122" s="32" t="n"/>
      <c r="O122" s="30" t="n"/>
      <c r="P122" s="32" t="n"/>
      <c r="Q122" s="30" t="n"/>
      <c r="R122" s="32" t="n"/>
      <c r="S122" s="30" t="n"/>
      <c r="T122" s="30" t="n"/>
      <c r="U122" s="30" t="n"/>
      <c r="V122" s="30" t="n"/>
      <c r="W122" s="29">
        <f>IF(H122="","",IF(H122="Kenya","Yes","No"))</f>
        <v/>
      </c>
      <c r="X122" s="29">
        <f>IF(B122="","",IF(COUNTIF($B$5:$B$3004,B122)&gt;1,"DUPLICATE","OK"))</f>
        <v/>
      </c>
      <c r="Y122" s="29">
        <f>IF(OR(U122="",V122="",V122="Excluded"),"",IF(COUNTIFS($U$5:$U$3004,U122,$V$5:$V$3004,"&lt;&gt;"&amp;V122,$V$5:$V$3004,"&lt;&gt;",$V$5:$V$3004,"&lt;&gt;Excluded")&gt;0,"LEAK RISK","OK"))</f>
        <v/>
      </c>
      <c r="Z122" s="30" t="n"/>
    </row>
    <row r="123">
      <c r="A123" s="30" t="n"/>
      <c r="B123" s="30" t="n"/>
      <c r="C123" s="30" t="n"/>
      <c r="D123" s="30" t="n"/>
      <c r="E123" s="30" t="n"/>
      <c r="F123" s="30" t="n"/>
      <c r="G123" s="30" t="n"/>
      <c r="H123" s="30" t="n"/>
      <c r="I123" s="31" t="n"/>
      <c r="J123" s="30" t="n"/>
      <c r="K123" s="30" t="n"/>
      <c r="L123" s="30" t="n"/>
      <c r="M123" s="30" t="n"/>
      <c r="N123" s="32" t="n"/>
      <c r="O123" s="30" t="n"/>
      <c r="P123" s="32" t="n"/>
      <c r="Q123" s="30" t="n"/>
      <c r="R123" s="32" t="n"/>
      <c r="S123" s="30" t="n"/>
      <c r="T123" s="30" t="n"/>
      <c r="U123" s="30" t="n"/>
      <c r="V123" s="30" t="n"/>
      <c r="W123" s="29">
        <f>IF(H123="","",IF(H123="Kenya","Yes","No"))</f>
        <v/>
      </c>
      <c r="X123" s="29">
        <f>IF(B123="","",IF(COUNTIF($B$5:$B$3004,B123)&gt;1,"DUPLICATE","OK"))</f>
        <v/>
      </c>
      <c r="Y123" s="29">
        <f>IF(OR(U123="",V123="",V123="Excluded"),"",IF(COUNTIFS($U$5:$U$3004,U123,$V$5:$V$3004,"&lt;&gt;"&amp;V123,$V$5:$V$3004,"&lt;&gt;",$V$5:$V$3004,"&lt;&gt;Excluded")&gt;0,"LEAK RISK","OK"))</f>
        <v/>
      </c>
      <c r="Z123" s="30" t="n"/>
    </row>
    <row r="124">
      <c r="A124" s="30" t="n"/>
      <c r="B124" s="30" t="n"/>
      <c r="C124" s="30" t="n"/>
      <c r="D124" s="30" t="n"/>
      <c r="E124" s="30" t="n"/>
      <c r="F124" s="30" t="n"/>
      <c r="G124" s="30" t="n"/>
      <c r="H124" s="30" t="n"/>
      <c r="I124" s="31" t="n"/>
      <c r="J124" s="30" t="n"/>
      <c r="K124" s="30" t="n"/>
      <c r="L124" s="30" t="n"/>
      <c r="M124" s="30" t="n"/>
      <c r="N124" s="32" t="n"/>
      <c r="O124" s="30" t="n"/>
      <c r="P124" s="32" t="n"/>
      <c r="Q124" s="30" t="n"/>
      <c r="R124" s="32" t="n"/>
      <c r="S124" s="30" t="n"/>
      <c r="T124" s="30" t="n"/>
      <c r="U124" s="30" t="n"/>
      <c r="V124" s="30" t="n"/>
      <c r="W124" s="29">
        <f>IF(H124="","",IF(H124="Kenya","Yes","No"))</f>
        <v/>
      </c>
      <c r="X124" s="29">
        <f>IF(B124="","",IF(COUNTIF($B$5:$B$3004,B124)&gt;1,"DUPLICATE","OK"))</f>
        <v/>
      </c>
      <c r="Y124" s="29">
        <f>IF(OR(U124="",V124="",V124="Excluded"),"",IF(COUNTIFS($U$5:$U$3004,U124,$V$5:$V$3004,"&lt;&gt;"&amp;V124,$V$5:$V$3004,"&lt;&gt;",$V$5:$V$3004,"&lt;&gt;Excluded")&gt;0,"LEAK RISK","OK"))</f>
        <v/>
      </c>
      <c r="Z124" s="30" t="n"/>
    </row>
    <row r="125">
      <c r="A125" s="30" t="n"/>
      <c r="B125" s="30" t="n"/>
      <c r="C125" s="30" t="n"/>
      <c r="D125" s="30" t="n"/>
      <c r="E125" s="30" t="n"/>
      <c r="F125" s="30" t="n"/>
      <c r="G125" s="30" t="n"/>
      <c r="H125" s="30" t="n"/>
      <c r="I125" s="31" t="n"/>
      <c r="J125" s="30" t="n"/>
      <c r="K125" s="30" t="n"/>
      <c r="L125" s="30" t="n"/>
      <c r="M125" s="30" t="n"/>
      <c r="N125" s="32" t="n"/>
      <c r="O125" s="30" t="n"/>
      <c r="P125" s="32" t="n"/>
      <c r="Q125" s="30" t="n"/>
      <c r="R125" s="32" t="n"/>
      <c r="S125" s="30" t="n"/>
      <c r="T125" s="30" t="n"/>
      <c r="U125" s="30" t="n"/>
      <c r="V125" s="30" t="n"/>
      <c r="W125" s="29">
        <f>IF(H125="","",IF(H125="Kenya","Yes","No"))</f>
        <v/>
      </c>
      <c r="X125" s="29">
        <f>IF(B125="","",IF(COUNTIF($B$5:$B$3004,B125)&gt;1,"DUPLICATE","OK"))</f>
        <v/>
      </c>
      <c r="Y125" s="29">
        <f>IF(OR(U125="",V125="",V125="Excluded"),"",IF(COUNTIFS($U$5:$U$3004,U125,$V$5:$V$3004,"&lt;&gt;"&amp;V125,$V$5:$V$3004,"&lt;&gt;",$V$5:$V$3004,"&lt;&gt;Excluded")&gt;0,"LEAK RISK","OK"))</f>
        <v/>
      </c>
      <c r="Z125" s="30" t="n"/>
    </row>
    <row r="126">
      <c r="A126" s="30" t="n"/>
      <c r="B126" s="30" t="n"/>
      <c r="C126" s="30" t="n"/>
      <c r="D126" s="30" t="n"/>
      <c r="E126" s="30" t="n"/>
      <c r="F126" s="30" t="n"/>
      <c r="G126" s="30" t="n"/>
      <c r="H126" s="30" t="n"/>
      <c r="I126" s="31" t="n"/>
      <c r="J126" s="30" t="n"/>
      <c r="K126" s="30" t="n"/>
      <c r="L126" s="30" t="n"/>
      <c r="M126" s="30" t="n"/>
      <c r="N126" s="32" t="n"/>
      <c r="O126" s="30" t="n"/>
      <c r="P126" s="32" t="n"/>
      <c r="Q126" s="30" t="n"/>
      <c r="R126" s="32" t="n"/>
      <c r="S126" s="30" t="n"/>
      <c r="T126" s="30" t="n"/>
      <c r="U126" s="30" t="n"/>
      <c r="V126" s="30" t="n"/>
      <c r="W126" s="29">
        <f>IF(H126="","",IF(H126="Kenya","Yes","No"))</f>
        <v/>
      </c>
      <c r="X126" s="29">
        <f>IF(B126="","",IF(COUNTIF($B$5:$B$3004,B126)&gt;1,"DUPLICATE","OK"))</f>
        <v/>
      </c>
      <c r="Y126" s="29">
        <f>IF(OR(U126="",V126="",V126="Excluded"),"",IF(COUNTIFS($U$5:$U$3004,U126,$V$5:$V$3004,"&lt;&gt;"&amp;V126,$V$5:$V$3004,"&lt;&gt;",$V$5:$V$3004,"&lt;&gt;Excluded")&gt;0,"LEAK RISK","OK"))</f>
        <v/>
      </c>
      <c r="Z126" s="30" t="n"/>
    </row>
    <row r="127">
      <c r="A127" s="30" t="n"/>
      <c r="B127" s="30" t="n"/>
      <c r="C127" s="30" t="n"/>
      <c r="D127" s="30" t="n"/>
      <c r="E127" s="30" t="n"/>
      <c r="F127" s="30" t="n"/>
      <c r="G127" s="30" t="n"/>
      <c r="H127" s="30" t="n"/>
      <c r="I127" s="31" t="n"/>
      <c r="J127" s="30" t="n"/>
      <c r="K127" s="30" t="n"/>
      <c r="L127" s="30" t="n"/>
      <c r="M127" s="30" t="n"/>
      <c r="N127" s="32" t="n"/>
      <c r="O127" s="30" t="n"/>
      <c r="P127" s="32" t="n"/>
      <c r="Q127" s="30" t="n"/>
      <c r="R127" s="32" t="n"/>
      <c r="S127" s="30" t="n"/>
      <c r="T127" s="30" t="n"/>
      <c r="U127" s="30" t="n"/>
      <c r="V127" s="30" t="n"/>
      <c r="W127" s="29">
        <f>IF(H127="","",IF(H127="Kenya","Yes","No"))</f>
        <v/>
      </c>
      <c r="X127" s="29">
        <f>IF(B127="","",IF(COUNTIF($B$5:$B$3004,B127)&gt;1,"DUPLICATE","OK"))</f>
        <v/>
      </c>
      <c r="Y127" s="29">
        <f>IF(OR(U127="",V127="",V127="Excluded"),"",IF(COUNTIFS($U$5:$U$3004,U127,$V$5:$V$3004,"&lt;&gt;"&amp;V127,$V$5:$V$3004,"&lt;&gt;",$V$5:$V$3004,"&lt;&gt;Excluded")&gt;0,"LEAK RISK","OK"))</f>
        <v/>
      </c>
      <c r="Z127" s="30" t="n"/>
    </row>
    <row r="128">
      <c r="A128" s="30" t="n"/>
      <c r="B128" s="30" t="n"/>
      <c r="C128" s="30" t="n"/>
      <c r="D128" s="30" t="n"/>
      <c r="E128" s="30" t="n"/>
      <c r="F128" s="30" t="n"/>
      <c r="G128" s="30" t="n"/>
      <c r="H128" s="30" t="n"/>
      <c r="I128" s="31" t="n"/>
      <c r="J128" s="30" t="n"/>
      <c r="K128" s="30" t="n"/>
      <c r="L128" s="30" t="n"/>
      <c r="M128" s="30" t="n"/>
      <c r="N128" s="32" t="n"/>
      <c r="O128" s="30" t="n"/>
      <c r="P128" s="32" t="n"/>
      <c r="Q128" s="30" t="n"/>
      <c r="R128" s="32" t="n"/>
      <c r="S128" s="30" t="n"/>
      <c r="T128" s="30" t="n"/>
      <c r="U128" s="30" t="n"/>
      <c r="V128" s="30" t="n"/>
      <c r="W128" s="29">
        <f>IF(H128="","",IF(H128="Kenya","Yes","No"))</f>
        <v/>
      </c>
      <c r="X128" s="29">
        <f>IF(B128="","",IF(COUNTIF($B$5:$B$3004,B128)&gt;1,"DUPLICATE","OK"))</f>
        <v/>
      </c>
      <c r="Y128" s="29">
        <f>IF(OR(U128="",V128="",V128="Excluded"),"",IF(COUNTIFS($U$5:$U$3004,U128,$V$5:$V$3004,"&lt;&gt;"&amp;V128,$V$5:$V$3004,"&lt;&gt;",$V$5:$V$3004,"&lt;&gt;Excluded")&gt;0,"LEAK RISK","OK"))</f>
        <v/>
      </c>
      <c r="Z128" s="30" t="n"/>
    </row>
    <row r="129">
      <c r="A129" s="30" t="n"/>
      <c r="B129" s="30" t="n"/>
      <c r="C129" s="30" t="n"/>
      <c r="D129" s="30" t="n"/>
      <c r="E129" s="30" t="n"/>
      <c r="F129" s="30" t="n"/>
      <c r="G129" s="30" t="n"/>
      <c r="H129" s="30" t="n"/>
      <c r="I129" s="31" t="n"/>
      <c r="J129" s="30" t="n"/>
      <c r="K129" s="30" t="n"/>
      <c r="L129" s="30" t="n"/>
      <c r="M129" s="30" t="n"/>
      <c r="N129" s="32" t="n"/>
      <c r="O129" s="30" t="n"/>
      <c r="P129" s="32" t="n"/>
      <c r="Q129" s="30" t="n"/>
      <c r="R129" s="32" t="n"/>
      <c r="S129" s="30" t="n"/>
      <c r="T129" s="30" t="n"/>
      <c r="U129" s="30" t="n"/>
      <c r="V129" s="30" t="n"/>
      <c r="W129" s="29">
        <f>IF(H129="","",IF(H129="Kenya","Yes","No"))</f>
        <v/>
      </c>
      <c r="X129" s="29">
        <f>IF(B129="","",IF(COUNTIF($B$5:$B$3004,B129)&gt;1,"DUPLICATE","OK"))</f>
        <v/>
      </c>
      <c r="Y129" s="29">
        <f>IF(OR(U129="",V129="",V129="Excluded"),"",IF(COUNTIFS($U$5:$U$3004,U129,$V$5:$V$3004,"&lt;&gt;"&amp;V129,$V$5:$V$3004,"&lt;&gt;",$V$5:$V$3004,"&lt;&gt;Excluded")&gt;0,"LEAK RISK","OK"))</f>
        <v/>
      </c>
      <c r="Z129" s="30" t="n"/>
    </row>
    <row r="130">
      <c r="A130" s="30" t="n"/>
      <c r="B130" s="30" t="n"/>
      <c r="C130" s="30" t="n"/>
      <c r="D130" s="30" t="n"/>
      <c r="E130" s="30" t="n"/>
      <c r="F130" s="30" t="n"/>
      <c r="G130" s="30" t="n"/>
      <c r="H130" s="30" t="n"/>
      <c r="I130" s="31" t="n"/>
      <c r="J130" s="30" t="n"/>
      <c r="K130" s="30" t="n"/>
      <c r="L130" s="30" t="n"/>
      <c r="M130" s="30" t="n"/>
      <c r="N130" s="32" t="n"/>
      <c r="O130" s="30" t="n"/>
      <c r="P130" s="32" t="n"/>
      <c r="Q130" s="30" t="n"/>
      <c r="R130" s="32" t="n"/>
      <c r="S130" s="30" t="n"/>
      <c r="T130" s="30" t="n"/>
      <c r="U130" s="30" t="n"/>
      <c r="V130" s="30" t="n"/>
      <c r="W130" s="29">
        <f>IF(H130="","",IF(H130="Kenya","Yes","No"))</f>
        <v/>
      </c>
      <c r="X130" s="29">
        <f>IF(B130="","",IF(COUNTIF($B$5:$B$3004,B130)&gt;1,"DUPLICATE","OK"))</f>
        <v/>
      </c>
      <c r="Y130" s="29">
        <f>IF(OR(U130="",V130="",V130="Excluded"),"",IF(COUNTIFS($U$5:$U$3004,U130,$V$5:$V$3004,"&lt;&gt;"&amp;V130,$V$5:$V$3004,"&lt;&gt;",$V$5:$V$3004,"&lt;&gt;Excluded")&gt;0,"LEAK RISK","OK"))</f>
        <v/>
      </c>
      <c r="Z130" s="30" t="n"/>
    </row>
    <row r="131">
      <c r="A131" s="30" t="n"/>
      <c r="B131" s="30" t="n"/>
      <c r="C131" s="30" t="n"/>
      <c r="D131" s="30" t="n"/>
      <c r="E131" s="30" t="n"/>
      <c r="F131" s="30" t="n"/>
      <c r="G131" s="30" t="n"/>
      <c r="H131" s="30" t="n"/>
      <c r="I131" s="31" t="n"/>
      <c r="J131" s="30" t="n"/>
      <c r="K131" s="30" t="n"/>
      <c r="L131" s="30" t="n"/>
      <c r="M131" s="30" t="n"/>
      <c r="N131" s="32" t="n"/>
      <c r="O131" s="30" t="n"/>
      <c r="P131" s="32" t="n"/>
      <c r="Q131" s="30" t="n"/>
      <c r="R131" s="32" t="n"/>
      <c r="S131" s="30" t="n"/>
      <c r="T131" s="30" t="n"/>
      <c r="U131" s="30" t="n"/>
      <c r="V131" s="30" t="n"/>
      <c r="W131" s="29">
        <f>IF(H131="","",IF(H131="Kenya","Yes","No"))</f>
        <v/>
      </c>
      <c r="X131" s="29">
        <f>IF(B131="","",IF(COUNTIF($B$5:$B$3004,B131)&gt;1,"DUPLICATE","OK"))</f>
        <v/>
      </c>
      <c r="Y131" s="29">
        <f>IF(OR(U131="",V131="",V131="Excluded"),"",IF(COUNTIFS($U$5:$U$3004,U131,$V$5:$V$3004,"&lt;&gt;"&amp;V131,$V$5:$V$3004,"&lt;&gt;",$V$5:$V$3004,"&lt;&gt;Excluded")&gt;0,"LEAK RISK","OK"))</f>
        <v/>
      </c>
      <c r="Z131" s="30" t="n"/>
    </row>
    <row r="132">
      <c r="A132" s="30" t="n"/>
      <c r="B132" s="30" t="n"/>
      <c r="C132" s="30" t="n"/>
      <c r="D132" s="30" t="n"/>
      <c r="E132" s="30" t="n"/>
      <c r="F132" s="30" t="n"/>
      <c r="G132" s="30" t="n"/>
      <c r="H132" s="30" t="n"/>
      <c r="I132" s="31" t="n"/>
      <c r="J132" s="30" t="n"/>
      <c r="K132" s="30" t="n"/>
      <c r="L132" s="30" t="n"/>
      <c r="M132" s="30" t="n"/>
      <c r="N132" s="32" t="n"/>
      <c r="O132" s="30" t="n"/>
      <c r="P132" s="32" t="n"/>
      <c r="Q132" s="30" t="n"/>
      <c r="R132" s="32" t="n"/>
      <c r="S132" s="30" t="n"/>
      <c r="T132" s="30" t="n"/>
      <c r="U132" s="30" t="n"/>
      <c r="V132" s="30" t="n"/>
      <c r="W132" s="29">
        <f>IF(H132="","",IF(H132="Kenya","Yes","No"))</f>
        <v/>
      </c>
      <c r="X132" s="29">
        <f>IF(B132="","",IF(COUNTIF($B$5:$B$3004,B132)&gt;1,"DUPLICATE","OK"))</f>
        <v/>
      </c>
      <c r="Y132" s="29">
        <f>IF(OR(U132="",V132="",V132="Excluded"),"",IF(COUNTIFS($U$5:$U$3004,U132,$V$5:$V$3004,"&lt;&gt;"&amp;V132,$V$5:$V$3004,"&lt;&gt;",$V$5:$V$3004,"&lt;&gt;Excluded")&gt;0,"LEAK RISK","OK"))</f>
        <v/>
      </c>
      <c r="Z132" s="30" t="n"/>
    </row>
    <row r="133">
      <c r="A133" s="30" t="n"/>
      <c r="B133" s="30" t="n"/>
      <c r="C133" s="30" t="n"/>
      <c r="D133" s="30" t="n"/>
      <c r="E133" s="30" t="n"/>
      <c r="F133" s="30" t="n"/>
      <c r="G133" s="30" t="n"/>
      <c r="H133" s="30" t="n"/>
      <c r="I133" s="31" t="n"/>
      <c r="J133" s="30" t="n"/>
      <c r="K133" s="30" t="n"/>
      <c r="L133" s="30" t="n"/>
      <c r="M133" s="30" t="n"/>
      <c r="N133" s="32" t="n"/>
      <c r="O133" s="30" t="n"/>
      <c r="P133" s="32" t="n"/>
      <c r="Q133" s="30" t="n"/>
      <c r="R133" s="32" t="n"/>
      <c r="S133" s="30" t="n"/>
      <c r="T133" s="30" t="n"/>
      <c r="U133" s="30" t="n"/>
      <c r="V133" s="30" t="n"/>
      <c r="W133" s="29">
        <f>IF(H133="","",IF(H133="Kenya","Yes","No"))</f>
        <v/>
      </c>
      <c r="X133" s="29">
        <f>IF(B133="","",IF(COUNTIF($B$5:$B$3004,B133)&gt;1,"DUPLICATE","OK"))</f>
        <v/>
      </c>
      <c r="Y133" s="29">
        <f>IF(OR(U133="",V133="",V133="Excluded"),"",IF(COUNTIFS($U$5:$U$3004,U133,$V$5:$V$3004,"&lt;&gt;"&amp;V133,$V$5:$V$3004,"&lt;&gt;",$V$5:$V$3004,"&lt;&gt;Excluded")&gt;0,"LEAK RISK","OK"))</f>
        <v/>
      </c>
      <c r="Z133" s="30" t="n"/>
    </row>
    <row r="134">
      <c r="A134" s="30" t="n"/>
      <c r="B134" s="30" t="n"/>
      <c r="C134" s="30" t="n"/>
      <c r="D134" s="30" t="n"/>
      <c r="E134" s="30" t="n"/>
      <c r="F134" s="30" t="n"/>
      <c r="G134" s="30" t="n"/>
      <c r="H134" s="30" t="n"/>
      <c r="I134" s="31" t="n"/>
      <c r="J134" s="30" t="n"/>
      <c r="K134" s="30" t="n"/>
      <c r="L134" s="30" t="n"/>
      <c r="M134" s="30" t="n"/>
      <c r="N134" s="32" t="n"/>
      <c r="O134" s="30" t="n"/>
      <c r="P134" s="32" t="n"/>
      <c r="Q134" s="30" t="n"/>
      <c r="R134" s="32" t="n"/>
      <c r="S134" s="30" t="n"/>
      <c r="T134" s="30" t="n"/>
      <c r="U134" s="30" t="n"/>
      <c r="V134" s="30" t="n"/>
      <c r="W134" s="29">
        <f>IF(H134="","",IF(H134="Kenya","Yes","No"))</f>
        <v/>
      </c>
      <c r="X134" s="29">
        <f>IF(B134="","",IF(COUNTIF($B$5:$B$3004,B134)&gt;1,"DUPLICATE","OK"))</f>
        <v/>
      </c>
      <c r="Y134" s="29">
        <f>IF(OR(U134="",V134="",V134="Excluded"),"",IF(COUNTIFS($U$5:$U$3004,U134,$V$5:$V$3004,"&lt;&gt;"&amp;V134,$V$5:$V$3004,"&lt;&gt;",$V$5:$V$3004,"&lt;&gt;Excluded")&gt;0,"LEAK RISK","OK"))</f>
        <v/>
      </c>
      <c r="Z134" s="30" t="n"/>
    </row>
    <row r="135">
      <c r="A135" s="30" t="n"/>
      <c r="B135" s="30" t="n"/>
      <c r="C135" s="30" t="n"/>
      <c r="D135" s="30" t="n"/>
      <c r="E135" s="30" t="n"/>
      <c r="F135" s="30" t="n"/>
      <c r="G135" s="30" t="n"/>
      <c r="H135" s="30" t="n"/>
      <c r="I135" s="31" t="n"/>
      <c r="J135" s="30" t="n"/>
      <c r="K135" s="30" t="n"/>
      <c r="L135" s="30" t="n"/>
      <c r="M135" s="30" t="n"/>
      <c r="N135" s="32" t="n"/>
      <c r="O135" s="30" t="n"/>
      <c r="P135" s="32" t="n"/>
      <c r="Q135" s="30" t="n"/>
      <c r="R135" s="32" t="n"/>
      <c r="S135" s="30" t="n"/>
      <c r="T135" s="30" t="n"/>
      <c r="U135" s="30" t="n"/>
      <c r="V135" s="30" t="n"/>
      <c r="W135" s="29">
        <f>IF(H135="","",IF(H135="Kenya","Yes","No"))</f>
        <v/>
      </c>
      <c r="X135" s="29">
        <f>IF(B135="","",IF(COUNTIF($B$5:$B$3004,B135)&gt;1,"DUPLICATE","OK"))</f>
        <v/>
      </c>
      <c r="Y135" s="29">
        <f>IF(OR(U135="",V135="",V135="Excluded"),"",IF(COUNTIFS($U$5:$U$3004,U135,$V$5:$V$3004,"&lt;&gt;"&amp;V135,$V$5:$V$3004,"&lt;&gt;",$V$5:$V$3004,"&lt;&gt;Excluded")&gt;0,"LEAK RISK","OK"))</f>
        <v/>
      </c>
      <c r="Z135" s="30" t="n"/>
    </row>
    <row r="136">
      <c r="A136" s="30" t="n"/>
      <c r="B136" s="30" t="n"/>
      <c r="C136" s="30" t="n"/>
      <c r="D136" s="30" t="n"/>
      <c r="E136" s="30" t="n"/>
      <c r="F136" s="30" t="n"/>
      <c r="G136" s="30" t="n"/>
      <c r="H136" s="30" t="n"/>
      <c r="I136" s="31" t="n"/>
      <c r="J136" s="30" t="n"/>
      <c r="K136" s="30" t="n"/>
      <c r="L136" s="30" t="n"/>
      <c r="M136" s="30" t="n"/>
      <c r="N136" s="32" t="n"/>
      <c r="O136" s="30" t="n"/>
      <c r="P136" s="32" t="n"/>
      <c r="Q136" s="30" t="n"/>
      <c r="R136" s="32" t="n"/>
      <c r="S136" s="30" t="n"/>
      <c r="T136" s="30" t="n"/>
      <c r="U136" s="30" t="n"/>
      <c r="V136" s="30" t="n"/>
      <c r="W136" s="29">
        <f>IF(H136="","",IF(H136="Kenya","Yes","No"))</f>
        <v/>
      </c>
      <c r="X136" s="29">
        <f>IF(B136="","",IF(COUNTIF($B$5:$B$3004,B136)&gt;1,"DUPLICATE","OK"))</f>
        <v/>
      </c>
      <c r="Y136" s="29">
        <f>IF(OR(U136="",V136="",V136="Excluded"),"",IF(COUNTIFS($U$5:$U$3004,U136,$V$5:$V$3004,"&lt;&gt;"&amp;V136,$V$5:$V$3004,"&lt;&gt;",$V$5:$V$3004,"&lt;&gt;Excluded")&gt;0,"LEAK RISK","OK"))</f>
        <v/>
      </c>
      <c r="Z136" s="30" t="n"/>
    </row>
    <row r="137">
      <c r="A137" s="30" t="n"/>
      <c r="B137" s="30" t="n"/>
      <c r="C137" s="30" t="n"/>
      <c r="D137" s="30" t="n"/>
      <c r="E137" s="30" t="n"/>
      <c r="F137" s="30" t="n"/>
      <c r="G137" s="30" t="n"/>
      <c r="H137" s="30" t="n"/>
      <c r="I137" s="31" t="n"/>
      <c r="J137" s="30" t="n"/>
      <c r="K137" s="30" t="n"/>
      <c r="L137" s="30" t="n"/>
      <c r="M137" s="30" t="n"/>
      <c r="N137" s="32" t="n"/>
      <c r="O137" s="30" t="n"/>
      <c r="P137" s="32" t="n"/>
      <c r="Q137" s="30" t="n"/>
      <c r="R137" s="32" t="n"/>
      <c r="S137" s="30" t="n"/>
      <c r="T137" s="30" t="n"/>
      <c r="U137" s="30" t="n"/>
      <c r="V137" s="30" t="n"/>
      <c r="W137" s="29">
        <f>IF(H137="","",IF(H137="Kenya","Yes","No"))</f>
        <v/>
      </c>
      <c r="X137" s="29">
        <f>IF(B137="","",IF(COUNTIF($B$5:$B$3004,B137)&gt;1,"DUPLICATE","OK"))</f>
        <v/>
      </c>
      <c r="Y137" s="29">
        <f>IF(OR(U137="",V137="",V137="Excluded"),"",IF(COUNTIFS($U$5:$U$3004,U137,$V$5:$V$3004,"&lt;&gt;"&amp;V137,$V$5:$V$3004,"&lt;&gt;",$V$5:$V$3004,"&lt;&gt;Excluded")&gt;0,"LEAK RISK","OK"))</f>
        <v/>
      </c>
      <c r="Z137" s="30" t="n"/>
    </row>
    <row r="138">
      <c r="A138" s="30" t="n"/>
      <c r="B138" s="30" t="n"/>
      <c r="C138" s="30" t="n"/>
      <c r="D138" s="30" t="n"/>
      <c r="E138" s="30" t="n"/>
      <c r="F138" s="30" t="n"/>
      <c r="G138" s="30" t="n"/>
      <c r="H138" s="30" t="n"/>
      <c r="I138" s="31" t="n"/>
      <c r="J138" s="30" t="n"/>
      <c r="K138" s="30" t="n"/>
      <c r="L138" s="30" t="n"/>
      <c r="M138" s="30" t="n"/>
      <c r="N138" s="32" t="n"/>
      <c r="O138" s="30" t="n"/>
      <c r="P138" s="32" t="n"/>
      <c r="Q138" s="30" t="n"/>
      <c r="R138" s="32" t="n"/>
      <c r="S138" s="30" t="n"/>
      <c r="T138" s="30" t="n"/>
      <c r="U138" s="30" t="n"/>
      <c r="V138" s="30" t="n"/>
      <c r="W138" s="29">
        <f>IF(H138="","",IF(H138="Kenya","Yes","No"))</f>
        <v/>
      </c>
      <c r="X138" s="29">
        <f>IF(B138="","",IF(COUNTIF($B$5:$B$3004,B138)&gt;1,"DUPLICATE","OK"))</f>
        <v/>
      </c>
      <c r="Y138" s="29">
        <f>IF(OR(U138="",V138="",V138="Excluded"),"",IF(COUNTIFS($U$5:$U$3004,U138,$V$5:$V$3004,"&lt;&gt;"&amp;V138,$V$5:$V$3004,"&lt;&gt;",$V$5:$V$3004,"&lt;&gt;Excluded")&gt;0,"LEAK RISK","OK"))</f>
        <v/>
      </c>
      <c r="Z138" s="30" t="n"/>
    </row>
    <row r="139">
      <c r="A139" s="30" t="n"/>
      <c r="B139" s="30" t="n"/>
      <c r="C139" s="30" t="n"/>
      <c r="D139" s="30" t="n"/>
      <c r="E139" s="30" t="n"/>
      <c r="F139" s="30" t="n"/>
      <c r="G139" s="30" t="n"/>
      <c r="H139" s="30" t="n"/>
      <c r="I139" s="31" t="n"/>
      <c r="J139" s="30" t="n"/>
      <c r="K139" s="30" t="n"/>
      <c r="L139" s="30" t="n"/>
      <c r="M139" s="30" t="n"/>
      <c r="N139" s="32" t="n"/>
      <c r="O139" s="30" t="n"/>
      <c r="P139" s="32" t="n"/>
      <c r="Q139" s="30" t="n"/>
      <c r="R139" s="32" t="n"/>
      <c r="S139" s="30" t="n"/>
      <c r="T139" s="30" t="n"/>
      <c r="U139" s="30" t="n"/>
      <c r="V139" s="30" t="n"/>
      <c r="W139" s="29">
        <f>IF(H139="","",IF(H139="Kenya","Yes","No"))</f>
        <v/>
      </c>
      <c r="X139" s="29">
        <f>IF(B139="","",IF(COUNTIF($B$5:$B$3004,B139)&gt;1,"DUPLICATE","OK"))</f>
        <v/>
      </c>
      <c r="Y139" s="29">
        <f>IF(OR(U139="",V139="",V139="Excluded"),"",IF(COUNTIFS($U$5:$U$3004,U139,$V$5:$V$3004,"&lt;&gt;"&amp;V139,$V$5:$V$3004,"&lt;&gt;",$V$5:$V$3004,"&lt;&gt;Excluded")&gt;0,"LEAK RISK","OK"))</f>
        <v/>
      </c>
      <c r="Z139" s="30" t="n"/>
    </row>
    <row r="140">
      <c r="A140" s="30" t="n"/>
      <c r="B140" s="30" t="n"/>
      <c r="C140" s="30" t="n"/>
      <c r="D140" s="30" t="n"/>
      <c r="E140" s="30" t="n"/>
      <c r="F140" s="30" t="n"/>
      <c r="G140" s="30" t="n"/>
      <c r="H140" s="30" t="n"/>
      <c r="I140" s="31" t="n"/>
      <c r="J140" s="30" t="n"/>
      <c r="K140" s="30" t="n"/>
      <c r="L140" s="30" t="n"/>
      <c r="M140" s="30" t="n"/>
      <c r="N140" s="32" t="n"/>
      <c r="O140" s="30" t="n"/>
      <c r="P140" s="32" t="n"/>
      <c r="Q140" s="30" t="n"/>
      <c r="R140" s="32" t="n"/>
      <c r="S140" s="30" t="n"/>
      <c r="T140" s="30" t="n"/>
      <c r="U140" s="30" t="n"/>
      <c r="V140" s="30" t="n"/>
      <c r="W140" s="29">
        <f>IF(H140="","",IF(H140="Kenya","Yes","No"))</f>
        <v/>
      </c>
      <c r="X140" s="29">
        <f>IF(B140="","",IF(COUNTIF($B$5:$B$3004,B140)&gt;1,"DUPLICATE","OK"))</f>
        <v/>
      </c>
      <c r="Y140" s="29">
        <f>IF(OR(U140="",V140="",V140="Excluded"),"",IF(COUNTIFS($U$5:$U$3004,U140,$V$5:$V$3004,"&lt;&gt;"&amp;V140,$V$5:$V$3004,"&lt;&gt;",$V$5:$V$3004,"&lt;&gt;Excluded")&gt;0,"LEAK RISK","OK"))</f>
        <v/>
      </c>
      <c r="Z140" s="30" t="n"/>
    </row>
    <row r="141">
      <c r="A141" s="30" t="n"/>
      <c r="B141" s="30" t="n"/>
      <c r="C141" s="30" t="n"/>
      <c r="D141" s="30" t="n"/>
      <c r="E141" s="30" t="n"/>
      <c r="F141" s="30" t="n"/>
      <c r="G141" s="30" t="n"/>
      <c r="H141" s="30" t="n"/>
      <c r="I141" s="31" t="n"/>
      <c r="J141" s="30" t="n"/>
      <c r="K141" s="30" t="n"/>
      <c r="L141" s="30" t="n"/>
      <c r="M141" s="30" t="n"/>
      <c r="N141" s="32" t="n"/>
      <c r="O141" s="30" t="n"/>
      <c r="P141" s="32" t="n"/>
      <c r="Q141" s="30" t="n"/>
      <c r="R141" s="32" t="n"/>
      <c r="S141" s="30" t="n"/>
      <c r="T141" s="30" t="n"/>
      <c r="U141" s="30" t="n"/>
      <c r="V141" s="30" t="n"/>
      <c r="W141" s="29">
        <f>IF(H141="","",IF(H141="Kenya","Yes","No"))</f>
        <v/>
      </c>
      <c r="X141" s="29">
        <f>IF(B141="","",IF(COUNTIF($B$5:$B$3004,B141)&gt;1,"DUPLICATE","OK"))</f>
        <v/>
      </c>
      <c r="Y141" s="29">
        <f>IF(OR(U141="",V141="",V141="Excluded"),"",IF(COUNTIFS($U$5:$U$3004,U141,$V$5:$V$3004,"&lt;&gt;"&amp;V141,$V$5:$V$3004,"&lt;&gt;",$V$5:$V$3004,"&lt;&gt;Excluded")&gt;0,"LEAK RISK","OK"))</f>
        <v/>
      </c>
      <c r="Z141" s="30" t="n"/>
    </row>
    <row r="142">
      <c r="A142" s="30" t="n"/>
      <c r="B142" s="30" t="n"/>
      <c r="C142" s="30" t="n"/>
      <c r="D142" s="30" t="n"/>
      <c r="E142" s="30" t="n"/>
      <c r="F142" s="30" t="n"/>
      <c r="G142" s="30" t="n"/>
      <c r="H142" s="30" t="n"/>
      <c r="I142" s="31" t="n"/>
      <c r="J142" s="30" t="n"/>
      <c r="K142" s="30" t="n"/>
      <c r="L142" s="30" t="n"/>
      <c r="M142" s="30" t="n"/>
      <c r="N142" s="32" t="n"/>
      <c r="O142" s="30" t="n"/>
      <c r="P142" s="32" t="n"/>
      <c r="Q142" s="30" t="n"/>
      <c r="R142" s="32" t="n"/>
      <c r="S142" s="30" t="n"/>
      <c r="T142" s="30" t="n"/>
      <c r="U142" s="30" t="n"/>
      <c r="V142" s="30" t="n"/>
      <c r="W142" s="29">
        <f>IF(H142="","",IF(H142="Kenya","Yes","No"))</f>
        <v/>
      </c>
      <c r="X142" s="29">
        <f>IF(B142="","",IF(COUNTIF($B$5:$B$3004,B142)&gt;1,"DUPLICATE","OK"))</f>
        <v/>
      </c>
      <c r="Y142" s="29">
        <f>IF(OR(U142="",V142="",V142="Excluded"),"",IF(COUNTIFS($U$5:$U$3004,U142,$V$5:$V$3004,"&lt;&gt;"&amp;V142,$V$5:$V$3004,"&lt;&gt;",$V$5:$V$3004,"&lt;&gt;Excluded")&gt;0,"LEAK RISK","OK"))</f>
        <v/>
      </c>
      <c r="Z142" s="30" t="n"/>
    </row>
    <row r="143">
      <c r="A143" s="30" t="n"/>
      <c r="B143" s="30" t="n"/>
      <c r="C143" s="30" t="n"/>
      <c r="D143" s="30" t="n"/>
      <c r="E143" s="30" t="n"/>
      <c r="F143" s="30" t="n"/>
      <c r="G143" s="30" t="n"/>
      <c r="H143" s="30" t="n"/>
      <c r="I143" s="31" t="n"/>
      <c r="J143" s="30" t="n"/>
      <c r="K143" s="30" t="n"/>
      <c r="L143" s="30" t="n"/>
      <c r="M143" s="30" t="n"/>
      <c r="N143" s="32" t="n"/>
      <c r="O143" s="30" t="n"/>
      <c r="P143" s="32" t="n"/>
      <c r="Q143" s="30" t="n"/>
      <c r="R143" s="32" t="n"/>
      <c r="S143" s="30" t="n"/>
      <c r="T143" s="30" t="n"/>
      <c r="U143" s="30" t="n"/>
      <c r="V143" s="30" t="n"/>
      <c r="W143" s="29">
        <f>IF(H143="","",IF(H143="Kenya","Yes","No"))</f>
        <v/>
      </c>
      <c r="X143" s="29">
        <f>IF(B143="","",IF(COUNTIF($B$5:$B$3004,B143)&gt;1,"DUPLICATE","OK"))</f>
        <v/>
      </c>
      <c r="Y143" s="29">
        <f>IF(OR(U143="",V143="",V143="Excluded"),"",IF(COUNTIFS($U$5:$U$3004,U143,$V$5:$V$3004,"&lt;&gt;"&amp;V143,$V$5:$V$3004,"&lt;&gt;",$V$5:$V$3004,"&lt;&gt;Excluded")&gt;0,"LEAK RISK","OK"))</f>
        <v/>
      </c>
      <c r="Z143" s="30" t="n"/>
    </row>
    <row r="144">
      <c r="A144" s="30" t="n"/>
      <c r="B144" s="30" t="n"/>
      <c r="C144" s="30" t="n"/>
      <c r="D144" s="30" t="n"/>
      <c r="E144" s="30" t="n"/>
      <c r="F144" s="30" t="n"/>
      <c r="G144" s="30" t="n"/>
      <c r="H144" s="30" t="n"/>
      <c r="I144" s="31" t="n"/>
      <c r="J144" s="30" t="n"/>
      <c r="K144" s="30" t="n"/>
      <c r="L144" s="30" t="n"/>
      <c r="M144" s="30" t="n"/>
      <c r="N144" s="32" t="n"/>
      <c r="O144" s="30" t="n"/>
      <c r="P144" s="32" t="n"/>
      <c r="Q144" s="30" t="n"/>
      <c r="R144" s="32" t="n"/>
      <c r="S144" s="30" t="n"/>
      <c r="T144" s="30" t="n"/>
      <c r="U144" s="30" t="n"/>
      <c r="V144" s="30" t="n"/>
      <c r="W144" s="29">
        <f>IF(H144="","",IF(H144="Kenya","Yes","No"))</f>
        <v/>
      </c>
      <c r="X144" s="29">
        <f>IF(B144="","",IF(COUNTIF($B$5:$B$3004,B144)&gt;1,"DUPLICATE","OK"))</f>
        <v/>
      </c>
      <c r="Y144" s="29">
        <f>IF(OR(U144="",V144="",V144="Excluded"),"",IF(COUNTIFS($U$5:$U$3004,U144,$V$5:$V$3004,"&lt;&gt;"&amp;V144,$V$5:$V$3004,"&lt;&gt;",$V$5:$V$3004,"&lt;&gt;Excluded")&gt;0,"LEAK RISK","OK"))</f>
        <v/>
      </c>
      <c r="Z144" s="30" t="n"/>
    </row>
    <row r="145">
      <c r="A145" s="30" t="n"/>
      <c r="B145" s="30" t="n"/>
      <c r="C145" s="30" t="n"/>
      <c r="D145" s="30" t="n"/>
      <c r="E145" s="30" t="n"/>
      <c r="F145" s="30" t="n"/>
      <c r="G145" s="30" t="n"/>
      <c r="H145" s="30" t="n"/>
      <c r="I145" s="31" t="n"/>
      <c r="J145" s="30" t="n"/>
      <c r="K145" s="30" t="n"/>
      <c r="L145" s="30" t="n"/>
      <c r="M145" s="30" t="n"/>
      <c r="N145" s="32" t="n"/>
      <c r="O145" s="30" t="n"/>
      <c r="P145" s="32" t="n"/>
      <c r="Q145" s="30" t="n"/>
      <c r="R145" s="32" t="n"/>
      <c r="S145" s="30" t="n"/>
      <c r="T145" s="30" t="n"/>
      <c r="U145" s="30" t="n"/>
      <c r="V145" s="30" t="n"/>
      <c r="W145" s="29">
        <f>IF(H145="","",IF(H145="Kenya","Yes","No"))</f>
        <v/>
      </c>
      <c r="X145" s="29">
        <f>IF(B145="","",IF(COUNTIF($B$5:$B$3004,B145)&gt;1,"DUPLICATE","OK"))</f>
        <v/>
      </c>
      <c r="Y145" s="29">
        <f>IF(OR(U145="",V145="",V145="Excluded"),"",IF(COUNTIFS($U$5:$U$3004,U145,$V$5:$V$3004,"&lt;&gt;"&amp;V145,$V$5:$V$3004,"&lt;&gt;",$V$5:$V$3004,"&lt;&gt;Excluded")&gt;0,"LEAK RISK","OK"))</f>
        <v/>
      </c>
      <c r="Z145" s="30" t="n"/>
    </row>
    <row r="146">
      <c r="A146" s="30" t="n"/>
      <c r="B146" s="30" t="n"/>
      <c r="C146" s="30" t="n"/>
      <c r="D146" s="30" t="n"/>
      <c r="E146" s="30" t="n"/>
      <c r="F146" s="30" t="n"/>
      <c r="G146" s="30" t="n"/>
      <c r="H146" s="30" t="n"/>
      <c r="I146" s="31" t="n"/>
      <c r="J146" s="30" t="n"/>
      <c r="K146" s="30" t="n"/>
      <c r="L146" s="30" t="n"/>
      <c r="M146" s="30" t="n"/>
      <c r="N146" s="32" t="n"/>
      <c r="O146" s="30" t="n"/>
      <c r="P146" s="32" t="n"/>
      <c r="Q146" s="30" t="n"/>
      <c r="R146" s="32" t="n"/>
      <c r="S146" s="30" t="n"/>
      <c r="T146" s="30" t="n"/>
      <c r="U146" s="30" t="n"/>
      <c r="V146" s="30" t="n"/>
      <c r="W146" s="29">
        <f>IF(H146="","",IF(H146="Kenya","Yes","No"))</f>
        <v/>
      </c>
      <c r="X146" s="29">
        <f>IF(B146="","",IF(COUNTIF($B$5:$B$3004,B146)&gt;1,"DUPLICATE","OK"))</f>
        <v/>
      </c>
      <c r="Y146" s="29">
        <f>IF(OR(U146="",V146="",V146="Excluded"),"",IF(COUNTIFS($U$5:$U$3004,U146,$V$5:$V$3004,"&lt;&gt;"&amp;V146,$V$5:$V$3004,"&lt;&gt;",$V$5:$V$3004,"&lt;&gt;Excluded")&gt;0,"LEAK RISK","OK"))</f>
        <v/>
      </c>
      <c r="Z146" s="30" t="n"/>
    </row>
    <row r="147">
      <c r="A147" s="30" t="n"/>
      <c r="B147" s="30" t="n"/>
      <c r="C147" s="30" t="n"/>
      <c r="D147" s="30" t="n"/>
      <c r="E147" s="30" t="n"/>
      <c r="F147" s="30" t="n"/>
      <c r="G147" s="30" t="n"/>
      <c r="H147" s="30" t="n"/>
      <c r="I147" s="31" t="n"/>
      <c r="J147" s="30" t="n"/>
      <c r="K147" s="30" t="n"/>
      <c r="L147" s="30" t="n"/>
      <c r="M147" s="30" t="n"/>
      <c r="N147" s="32" t="n"/>
      <c r="O147" s="30" t="n"/>
      <c r="P147" s="32" t="n"/>
      <c r="Q147" s="30" t="n"/>
      <c r="R147" s="32" t="n"/>
      <c r="S147" s="30" t="n"/>
      <c r="T147" s="30" t="n"/>
      <c r="U147" s="30" t="n"/>
      <c r="V147" s="30" t="n"/>
      <c r="W147" s="29">
        <f>IF(H147="","",IF(H147="Kenya","Yes","No"))</f>
        <v/>
      </c>
      <c r="X147" s="29">
        <f>IF(B147="","",IF(COUNTIF($B$5:$B$3004,B147)&gt;1,"DUPLICATE","OK"))</f>
        <v/>
      </c>
      <c r="Y147" s="29">
        <f>IF(OR(U147="",V147="",V147="Excluded"),"",IF(COUNTIFS($U$5:$U$3004,U147,$V$5:$V$3004,"&lt;&gt;"&amp;V147,$V$5:$V$3004,"&lt;&gt;",$V$5:$V$3004,"&lt;&gt;Excluded")&gt;0,"LEAK RISK","OK"))</f>
        <v/>
      </c>
      <c r="Z147" s="30" t="n"/>
    </row>
    <row r="148">
      <c r="A148" s="30" t="n"/>
      <c r="B148" s="30" t="n"/>
      <c r="C148" s="30" t="n"/>
      <c r="D148" s="30" t="n"/>
      <c r="E148" s="30" t="n"/>
      <c r="F148" s="30" t="n"/>
      <c r="G148" s="30" t="n"/>
      <c r="H148" s="30" t="n"/>
      <c r="I148" s="31" t="n"/>
      <c r="J148" s="30" t="n"/>
      <c r="K148" s="30" t="n"/>
      <c r="L148" s="30" t="n"/>
      <c r="M148" s="30" t="n"/>
      <c r="N148" s="32" t="n"/>
      <c r="O148" s="30" t="n"/>
      <c r="P148" s="32" t="n"/>
      <c r="Q148" s="30" t="n"/>
      <c r="R148" s="32" t="n"/>
      <c r="S148" s="30" t="n"/>
      <c r="T148" s="30" t="n"/>
      <c r="U148" s="30" t="n"/>
      <c r="V148" s="30" t="n"/>
      <c r="W148" s="29">
        <f>IF(H148="","",IF(H148="Kenya","Yes","No"))</f>
        <v/>
      </c>
      <c r="X148" s="29">
        <f>IF(B148="","",IF(COUNTIF($B$5:$B$3004,B148)&gt;1,"DUPLICATE","OK"))</f>
        <v/>
      </c>
      <c r="Y148" s="29">
        <f>IF(OR(U148="",V148="",V148="Excluded"),"",IF(COUNTIFS($U$5:$U$3004,U148,$V$5:$V$3004,"&lt;&gt;"&amp;V148,$V$5:$V$3004,"&lt;&gt;",$V$5:$V$3004,"&lt;&gt;Excluded")&gt;0,"LEAK RISK","OK"))</f>
        <v/>
      </c>
      <c r="Z148" s="30" t="n"/>
    </row>
    <row r="149">
      <c r="A149" s="30" t="n"/>
      <c r="B149" s="30" t="n"/>
      <c r="C149" s="30" t="n"/>
      <c r="D149" s="30" t="n"/>
      <c r="E149" s="30" t="n"/>
      <c r="F149" s="30" t="n"/>
      <c r="G149" s="30" t="n"/>
      <c r="H149" s="30" t="n"/>
      <c r="I149" s="31" t="n"/>
      <c r="J149" s="30" t="n"/>
      <c r="K149" s="30" t="n"/>
      <c r="L149" s="30" t="n"/>
      <c r="M149" s="30" t="n"/>
      <c r="N149" s="32" t="n"/>
      <c r="O149" s="30" t="n"/>
      <c r="P149" s="32" t="n"/>
      <c r="Q149" s="30" t="n"/>
      <c r="R149" s="32" t="n"/>
      <c r="S149" s="30" t="n"/>
      <c r="T149" s="30" t="n"/>
      <c r="U149" s="30" t="n"/>
      <c r="V149" s="30" t="n"/>
      <c r="W149" s="29">
        <f>IF(H149="","",IF(H149="Kenya","Yes","No"))</f>
        <v/>
      </c>
      <c r="X149" s="29">
        <f>IF(B149="","",IF(COUNTIF($B$5:$B$3004,B149)&gt;1,"DUPLICATE","OK"))</f>
        <v/>
      </c>
      <c r="Y149" s="29">
        <f>IF(OR(U149="",V149="",V149="Excluded"),"",IF(COUNTIFS($U$5:$U$3004,U149,$V$5:$V$3004,"&lt;&gt;"&amp;V149,$V$5:$V$3004,"&lt;&gt;",$V$5:$V$3004,"&lt;&gt;Excluded")&gt;0,"LEAK RISK","OK"))</f>
        <v/>
      </c>
      <c r="Z149" s="30" t="n"/>
    </row>
    <row r="150">
      <c r="A150" s="30" t="n"/>
      <c r="B150" s="30" t="n"/>
      <c r="C150" s="30" t="n"/>
      <c r="D150" s="30" t="n"/>
      <c r="E150" s="30" t="n"/>
      <c r="F150" s="30" t="n"/>
      <c r="G150" s="30" t="n"/>
      <c r="H150" s="30" t="n"/>
      <c r="I150" s="31" t="n"/>
      <c r="J150" s="30" t="n"/>
      <c r="K150" s="30" t="n"/>
      <c r="L150" s="30" t="n"/>
      <c r="M150" s="30" t="n"/>
      <c r="N150" s="32" t="n"/>
      <c r="O150" s="30" t="n"/>
      <c r="P150" s="32" t="n"/>
      <c r="Q150" s="30" t="n"/>
      <c r="R150" s="32" t="n"/>
      <c r="S150" s="30" t="n"/>
      <c r="T150" s="30" t="n"/>
      <c r="U150" s="30" t="n"/>
      <c r="V150" s="30" t="n"/>
      <c r="W150" s="29">
        <f>IF(H150="","",IF(H150="Kenya","Yes","No"))</f>
        <v/>
      </c>
      <c r="X150" s="29">
        <f>IF(B150="","",IF(COUNTIF($B$5:$B$3004,B150)&gt;1,"DUPLICATE","OK"))</f>
        <v/>
      </c>
      <c r="Y150" s="29">
        <f>IF(OR(U150="",V150="",V150="Excluded"),"",IF(COUNTIFS($U$5:$U$3004,U150,$V$5:$V$3004,"&lt;&gt;"&amp;V150,$V$5:$V$3004,"&lt;&gt;",$V$5:$V$3004,"&lt;&gt;Excluded")&gt;0,"LEAK RISK","OK"))</f>
        <v/>
      </c>
      <c r="Z150" s="30" t="n"/>
    </row>
    <row r="151">
      <c r="A151" s="30" t="n"/>
      <c r="B151" s="30" t="n"/>
      <c r="C151" s="30" t="n"/>
      <c r="D151" s="30" t="n"/>
      <c r="E151" s="30" t="n"/>
      <c r="F151" s="30" t="n"/>
      <c r="G151" s="30" t="n"/>
      <c r="H151" s="30" t="n"/>
      <c r="I151" s="31" t="n"/>
      <c r="J151" s="30" t="n"/>
      <c r="K151" s="30" t="n"/>
      <c r="L151" s="30" t="n"/>
      <c r="M151" s="30" t="n"/>
      <c r="N151" s="32" t="n"/>
      <c r="O151" s="30" t="n"/>
      <c r="P151" s="32" t="n"/>
      <c r="Q151" s="30" t="n"/>
      <c r="R151" s="32" t="n"/>
      <c r="S151" s="30" t="n"/>
      <c r="T151" s="30" t="n"/>
      <c r="U151" s="30" t="n"/>
      <c r="V151" s="30" t="n"/>
      <c r="W151" s="29">
        <f>IF(H151="","",IF(H151="Kenya","Yes","No"))</f>
        <v/>
      </c>
      <c r="X151" s="29">
        <f>IF(B151="","",IF(COUNTIF($B$5:$B$3004,B151)&gt;1,"DUPLICATE","OK"))</f>
        <v/>
      </c>
      <c r="Y151" s="29">
        <f>IF(OR(U151="",V151="",V151="Excluded"),"",IF(COUNTIFS($U$5:$U$3004,U151,$V$5:$V$3004,"&lt;&gt;"&amp;V151,$V$5:$V$3004,"&lt;&gt;",$V$5:$V$3004,"&lt;&gt;Excluded")&gt;0,"LEAK RISK","OK"))</f>
        <v/>
      </c>
      <c r="Z151" s="30" t="n"/>
    </row>
    <row r="152">
      <c r="A152" s="30" t="n"/>
      <c r="B152" s="30" t="n"/>
      <c r="C152" s="30" t="n"/>
      <c r="D152" s="30" t="n"/>
      <c r="E152" s="30" t="n"/>
      <c r="F152" s="30" t="n"/>
      <c r="G152" s="30" t="n"/>
      <c r="H152" s="30" t="n"/>
      <c r="I152" s="31" t="n"/>
      <c r="J152" s="30" t="n"/>
      <c r="K152" s="30" t="n"/>
      <c r="L152" s="30" t="n"/>
      <c r="M152" s="30" t="n"/>
      <c r="N152" s="32" t="n"/>
      <c r="O152" s="30" t="n"/>
      <c r="P152" s="32" t="n"/>
      <c r="Q152" s="30" t="n"/>
      <c r="R152" s="32" t="n"/>
      <c r="S152" s="30" t="n"/>
      <c r="T152" s="30" t="n"/>
      <c r="U152" s="30" t="n"/>
      <c r="V152" s="30" t="n"/>
      <c r="W152" s="29">
        <f>IF(H152="","",IF(H152="Kenya","Yes","No"))</f>
        <v/>
      </c>
      <c r="X152" s="29">
        <f>IF(B152="","",IF(COUNTIF($B$5:$B$3004,B152)&gt;1,"DUPLICATE","OK"))</f>
        <v/>
      </c>
      <c r="Y152" s="29">
        <f>IF(OR(U152="",V152="",V152="Excluded"),"",IF(COUNTIFS($U$5:$U$3004,U152,$V$5:$V$3004,"&lt;&gt;"&amp;V152,$V$5:$V$3004,"&lt;&gt;",$V$5:$V$3004,"&lt;&gt;Excluded")&gt;0,"LEAK RISK","OK"))</f>
        <v/>
      </c>
      <c r="Z152" s="30" t="n"/>
    </row>
    <row r="153">
      <c r="A153" s="30" t="n"/>
      <c r="B153" s="30" t="n"/>
      <c r="C153" s="30" t="n"/>
      <c r="D153" s="30" t="n"/>
      <c r="E153" s="30" t="n"/>
      <c r="F153" s="30" t="n"/>
      <c r="G153" s="30" t="n"/>
      <c r="H153" s="30" t="n"/>
      <c r="I153" s="31" t="n"/>
      <c r="J153" s="30" t="n"/>
      <c r="K153" s="30" t="n"/>
      <c r="L153" s="30" t="n"/>
      <c r="M153" s="30" t="n"/>
      <c r="N153" s="32" t="n"/>
      <c r="O153" s="30" t="n"/>
      <c r="P153" s="32" t="n"/>
      <c r="Q153" s="30" t="n"/>
      <c r="R153" s="32" t="n"/>
      <c r="S153" s="30" t="n"/>
      <c r="T153" s="30" t="n"/>
      <c r="U153" s="30" t="n"/>
      <c r="V153" s="30" t="n"/>
      <c r="W153" s="29">
        <f>IF(H153="","",IF(H153="Kenya","Yes","No"))</f>
        <v/>
      </c>
      <c r="X153" s="29">
        <f>IF(B153="","",IF(COUNTIF($B$5:$B$3004,B153)&gt;1,"DUPLICATE","OK"))</f>
        <v/>
      </c>
      <c r="Y153" s="29">
        <f>IF(OR(U153="",V153="",V153="Excluded"),"",IF(COUNTIFS($U$5:$U$3004,U153,$V$5:$V$3004,"&lt;&gt;"&amp;V153,$V$5:$V$3004,"&lt;&gt;",$V$5:$V$3004,"&lt;&gt;Excluded")&gt;0,"LEAK RISK","OK"))</f>
        <v/>
      </c>
      <c r="Z153" s="30" t="n"/>
    </row>
    <row r="154">
      <c r="A154" s="30" t="n"/>
      <c r="B154" s="30" t="n"/>
      <c r="C154" s="30" t="n"/>
      <c r="D154" s="30" t="n"/>
      <c r="E154" s="30" t="n"/>
      <c r="F154" s="30" t="n"/>
      <c r="G154" s="30" t="n"/>
      <c r="H154" s="30" t="n"/>
      <c r="I154" s="31" t="n"/>
      <c r="J154" s="30" t="n"/>
      <c r="K154" s="30" t="n"/>
      <c r="L154" s="30" t="n"/>
      <c r="M154" s="30" t="n"/>
      <c r="N154" s="32" t="n"/>
      <c r="O154" s="30" t="n"/>
      <c r="P154" s="32" t="n"/>
      <c r="Q154" s="30" t="n"/>
      <c r="R154" s="32" t="n"/>
      <c r="S154" s="30" t="n"/>
      <c r="T154" s="30" t="n"/>
      <c r="U154" s="30" t="n"/>
      <c r="V154" s="30" t="n"/>
      <c r="W154" s="29">
        <f>IF(H154="","",IF(H154="Kenya","Yes","No"))</f>
        <v/>
      </c>
      <c r="X154" s="29">
        <f>IF(B154="","",IF(COUNTIF($B$5:$B$3004,B154)&gt;1,"DUPLICATE","OK"))</f>
        <v/>
      </c>
      <c r="Y154" s="29">
        <f>IF(OR(U154="",V154="",V154="Excluded"),"",IF(COUNTIFS($U$5:$U$3004,U154,$V$5:$V$3004,"&lt;&gt;"&amp;V154,$V$5:$V$3004,"&lt;&gt;",$V$5:$V$3004,"&lt;&gt;Excluded")&gt;0,"LEAK RISK","OK"))</f>
        <v/>
      </c>
      <c r="Z154" s="30" t="n"/>
    </row>
    <row r="155">
      <c r="A155" s="30" t="n"/>
      <c r="B155" s="30" t="n"/>
      <c r="C155" s="30" t="n"/>
      <c r="D155" s="30" t="n"/>
      <c r="E155" s="30" t="n"/>
      <c r="F155" s="30" t="n"/>
      <c r="G155" s="30" t="n"/>
      <c r="H155" s="30" t="n"/>
      <c r="I155" s="31" t="n"/>
      <c r="J155" s="30" t="n"/>
      <c r="K155" s="30" t="n"/>
      <c r="L155" s="30" t="n"/>
      <c r="M155" s="30" t="n"/>
      <c r="N155" s="32" t="n"/>
      <c r="O155" s="30" t="n"/>
      <c r="P155" s="32" t="n"/>
      <c r="Q155" s="30" t="n"/>
      <c r="R155" s="32" t="n"/>
      <c r="S155" s="30" t="n"/>
      <c r="T155" s="30" t="n"/>
      <c r="U155" s="30" t="n"/>
      <c r="V155" s="30" t="n"/>
      <c r="W155" s="29">
        <f>IF(H155="","",IF(H155="Kenya","Yes","No"))</f>
        <v/>
      </c>
      <c r="X155" s="29">
        <f>IF(B155="","",IF(COUNTIF($B$5:$B$3004,B155)&gt;1,"DUPLICATE","OK"))</f>
        <v/>
      </c>
      <c r="Y155" s="29">
        <f>IF(OR(U155="",V155="",V155="Excluded"),"",IF(COUNTIFS($U$5:$U$3004,U155,$V$5:$V$3004,"&lt;&gt;"&amp;V155,$V$5:$V$3004,"&lt;&gt;",$V$5:$V$3004,"&lt;&gt;Excluded")&gt;0,"LEAK RISK","OK"))</f>
        <v/>
      </c>
      <c r="Z155" s="30" t="n"/>
    </row>
    <row r="156">
      <c r="A156" s="30" t="n"/>
      <c r="B156" s="30" t="n"/>
      <c r="C156" s="30" t="n"/>
      <c r="D156" s="30" t="n"/>
      <c r="E156" s="30" t="n"/>
      <c r="F156" s="30" t="n"/>
      <c r="G156" s="30" t="n"/>
      <c r="H156" s="30" t="n"/>
      <c r="I156" s="31" t="n"/>
      <c r="J156" s="30" t="n"/>
      <c r="K156" s="30" t="n"/>
      <c r="L156" s="30" t="n"/>
      <c r="M156" s="30" t="n"/>
      <c r="N156" s="32" t="n"/>
      <c r="O156" s="30" t="n"/>
      <c r="P156" s="32" t="n"/>
      <c r="Q156" s="30" t="n"/>
      <c r="R156" s="32" t="n"/>
      <c r="S156" s="30" t="n"/>
      <c r="T156" s="30" t="n"/>
      <c r="U156" s="30" t="n"/>
      <c r="V156" s="30" t="n"/>
      <c r="W156" s="29">
        <f>IF(H156="","",IF(H156="Kenya","Yes","No"))</f>
        <v/>
      </c>
      <c r="X156" s="29">
        <f>IF(B156="","",IF(COUNTIF($B$5:$B$3004,B156)&gt;1,"DUPLICATE","OK"))</f>
        <v/>
      </c>
      <c r="Y156" s="29">
        <f>IF(OR(U156="",V156="",V156="Excluded"),"",IF(COUNTIFS($U$5:$U$3004,U156,$V$5:$V$3004,"&lt;&gt;"&amp;V156,$V$5:$V$3004,"&lt;&gt;",$V$5:$V$3004,"&lt;&gt;Excluded")&gt;0,"LEAK RISK","OK"))</f>
        <v/>
      </c>
      <c r="Z156" s="30" t="n"/>
    </row>
    <row r="157">
      <c r="A157" s="30" t="n"/>
      <c r="B157" s="30" t="n"/>
      <c r="C157" s="30" t="n"/>
      <c r="D157" s="30" t="n"/>
      <c r="E157" s="30" t="n"/>
      <c r="F157" s="30" t="n"/>
      <c r="G157" s="30" t="n"/>
      <c r="H157" s="30" t="n"/>
      <c r="I157" s="31" t="n"/>
      <c r="J157" s="30" t="n"/>
      <c r="K157" s="30" t="n"/>
      <c r="L157" s="30" t="n"/>
      <c r="M157" s="30" t="n"/>
      <c r="N157" s="32" t="n"/>
      <c r="O157" s="30" t="n"/>
      <c r="P157" s="32" t="n"/>
      <c r="Q157" s="30" t="n"/>
      <c r="R157" s="32" t="n"/>
      <c r="S157" s="30" t="n"/>
      <c r="T157" s="30" t="n"/>
      <c r="U157" s="30" t="n"/>
      <c r="V157" s="30" t="n"/>
      <c r="W157" s="29">
        <f>IF(H157="","",IF(H157="Kenya","Yes","No"))</f>
        <v/>
      </c>
      <c r="X157" s="29">
        <f>IF(B157="","",IF(COUNTIF($B$5:$B$3004,B157)&gt;1,"DUPLICATE","OK"))</f>
        <v/>
      </c>
      <c r="Y157" s="29">
        <f>IF(OR(U157="",V157="",V157="Excluded"),"",IF(COUNTIFS($U$5:$U$3004,U157,$V$5:$V$3004,"&lt;&gt;"&amp;V157,$V$5:$V$3004,"&lt;&gt;",$V$5:$V$3004,"&lt;&gt;Excluded")&gt;0,"LEAK RISK","OK"))</f>
        <v/>
      </c>
      <c r="Z157" s="30" t="n"/>
    </row>
    <row r="158">
      <c r="A158" s="30" t="n"/>
      <c r="B158" s="30" t="n"/>
      <c r="C158" s="30" t="n"/>
      <c r="D158" s="30" t="n"/>
      <c r="E158" s="30" t="n"/>
      <c r="F158" s="30" t="n"/>
      <c r="G158" s="30" t="n"/>
      <c r="H158" s="30" t="n"/>
      <c r="I158" s="31" t="n"/>
      <c r="J158" s="30" t="n"/>
      <c r="K158" s="30" t="n"/>
      <c r="L158" s="30" t="n"/>
      <c r="M158" s="30" t="n"/>
      <c r="N158" s="32" t="n"/>
      <c r="O158" s="30" t="n"/>
      <c r="P158" s="32" t="n"/>
      <c r="Q158" s="30" t="n"/>
      <c r="R158" s="32" t="n"/>
      <c r="S158" s="30" t="n"/>
      <c r="T158" s="30" t="n"/>
      <c r="U158" s="30" t="n"/>
      <c r="V158" s="30" t="n"/>
      <c r="W158" s="29">
        <f>IF(H158="","",IF(H158="Kenya","Yes","No"))</f>
        <v/>
      </c>
      <c r="X158" s="29">
        <f>IF(B158="","",IF(COUNTIF($B$5:$B$3004,B158)&gt;1,"DUPLICATE","OK"))</f>
        <v/>
      </c>
      <c r="Y158" s="29">
        <f>IF(OR(U158="",V158="",V158="Excluded"),"",IF(COUNTIFS($U$5:$U$3004,U158,$V$5:$V$3004,"&lt;&gt;"&amp;V158,$V$5:$V$3004,"&lt;&gt;",$V$5:$V$3004,"&lt;&gt;Excluded")&gt;0,"LEAK RISK","OK"))</f>
        <v/>
      </c>
      <c r="Z158" s="30" t="n"/>
    </row>
    <row r="159">
      <c r="A159" s="30" t="n"/>
      <c r="B159" s="30" t="n"/>
      <c r="C159" s="30" t="n"/>
      <c r="D159" s="30" t="n"/>
      <c r="E159" s="30" t="n"/>
      <c r="F159" s="30" t="n"/>
      <c r="G159" s="30" t="n"/>
      <c r="H159" s="30" t="n"/>
      <c r="I159" s="31" t="n"/>
      <c r="J159" s="30" t="n"/>
      <c r="K159" s="30" t="n"/>
      <c r="L159" s="30" t="n"/>
      <c r="M159" s="30" t="n"/>
      <c r="N159" s="32" t="n"/>
      <c r="O159" s="30" t="n"/>
      <c r="P159" s="32" t="n"/>
      <c r="Q159" s="30" t="n"/>
      <c r="R159" s="32" t="n"/>
      <c r="S159" s="30" t="n"/>
      <c r="T159" s="30" t="n"/>
      <c r="U159" s="30" t="n"/>
      <c r="V159" s="30" t="n"/>
      <c r="W159" s="29">
        <f>IF(H159="","",IF(H159="Kenya","Yes","No"))</f>
        <v/>
      </c>
      <c r="X159" s="29">
        <f>IF(B159="","",IF(COUNTIF($B$5:$B$3004,B159)&gt;1,"DUPLICATE","OK"))</f>
        <v/>
      </c>
      <c r="Y159" s="29">
        <f>IF(OR(U159="",V159="",V159="Excluded"),"",IF(COUNTIFS($U$5:$U$3004,U159,$V$5:$V$3004,"&lt;&gt;"&amp;V159,$V$5:$V$3004,"&lt;&gt;",$V$5:$V$3004,"&lt;&gt;Excluded")&gt;0,"LEAK RISK","OK"))</f>
        <v/>
      </c>
      <c r="Z159" s="30" t="n"/>
    </row>
    <row r="160">
      <c r="A160" s="30" t="n"/>
      <c r="B160" s="30" t="n"/>
      <c r="C160" s="30" t="n"/>
      <c r="D160" s="30" t="n"/>
      <c r="E160" s="30" t="n"/>
      <c r="F160" s="30" t="n"/>
      <c r="G160" s="30" t="n"/>
      <c r="H160" s="30" t="n"/>
      <c r="I160" s="31" t="n"/>
      <c r="J160" s="30" t="n"/>
      <c r="K160" s="30" t="n"/>
      <c r="L160" s="30" t="n"/>
      <c r="M160" s="30" t="n"/>
      <c r="N160" s="32" t="n"/>
      <c r="O160" s="30" t="n"/>
      <c r="P160" s="32" t="n"/>
      <c r="Q160" s="30" t="n"/>
      <c r="R160" s="32" t="n"/>
      <c r="S160" s="30" t="n"/>
      <c r="T160" s="30" t="n"/>
      <c r="U160" s="30" t="n"/>
      <c r="V160" s="30" t="n"/>
      <c r="W160" s="29">
        <f>IF(H160="","",IF(H160="Kenya","Yes","No"))</f>
        <v/>
      </c>
      <c r="X160" s="29">
        <f>IF(B160="","",IF(COUNTIF($B$5:$B$3004,B160)&gt;1,"DUPLICATE","OK"))</f>
        <v/>
      </c>
      <c r="Y160" s="29">
        <f>IF(OR(U160="",V160="",V160="Excluded"),"",IF(COUNTIFS($U$5:$U$3004,U160,$V$5:$V$3004,"&lt;&gt;"&amp;V160,$V$5:$V$3004,"&lt;&gt;",$V$5:$V$3004,"&lt;&gt;Excluded")&gt;0,"LEAK RISK","OK"))</f>
        <v/>
      </c>
      <c r="Z160" s="30" t="n"/>
    </row>
    <row r="161">
      <c r="A161" s="30" t="n"/>
      <c r="B161" s="30" t="n"/>
      <c r="C161" s="30" t="n"/>
      <c r="D161" s="30" t="n"/>
      <c r="E161" s="30" t="n"/>
      <c r="F161" s="30" t="n"/>
      <c r="G161" s="30" t="n"/>
      <c r="H161" s="30" t="n"/>
      <c r="I161" s="31" t="n"/>
      <c r="J161" s="30" t="n"/>
      <c r="K161" s="30" t="n"/>
      <c r="L161" s="30" t="n"/>
      <c r="M161" s="30" t="n"/>
      <c r="N161" s="32" t="n"/>
      <c r="O161" s="30" t="n"/>
      <c r="P161" s="32" t="n"/>
      <c r="Q161" s="30" t="n"/>
      <c r="R161" s="32" t="n"/>
      <c r="S161" s="30" t="n"/>
      <c r="T161" s="30" t="n"/>
      <c r="U161" s="30" t="n"/>
      <c r="V161" s="30" t="n"/>
      <c r="W161" s="29">
        <f>IF(H161="","",IF(H161="Kenya","Yes","No"))</f>
        <v/>
      </c>
      <c r="X161" s="29">
        <f>IF(B161="","",IF(COUNTIF($B$5:$B$3004,B161)&gt;1,"DUPLICATE","OK"))</f>
        <v/>
      </c>
      <c r="Y161" s="29">
        <f>IF(OR(U161="",V161="",V161="Excluded"),"",IF(COUNTIFS($U$5:$U$3004,U161,$V$5:$V$3004,"&lt;&gt;"&amp;V161,$V$5:$V$3004,"&lt;&gt;",$V$5:$V$3004,"&lt;&gt;Excluded")&gt;0,"LEAK RISK","OK"))</f>
        <v/>
      </c>
      <c r="Z161" s="30" t="n"/>
    </row>
    <row r="162">
      <c r="A162" s="30" t="n"/>
      <c r="B162" s="30" t="n"/>
      <c r="C162" s="30" t="n"/>
      <c r="D162" s="30" t="n"/>
      <c r="E162" s="30" t="n"/>
      <c r="F162" s="30" t="n"/>
      <c r="G162" s="30" t="n"/>
      <c r="H162" s="30" t="n"/>
      <c r="I162" s="31" t="n"/>
      <c r="J162" s="30" t="n"/>
      <c r="K162" s="30" t="n"/>
      <c r="L162" s="30" t="n"/>
      <c r="M162" s="30" t="n"/>
      <c r="N162" s="32" t="n"/>
      <c r="O162" s="30" t="n"/>
      <c r="P162" s="32" t="n"/>
      <c r="Q162" s="30" t="n"/>
      <c r="R162" s="32" t="n"/>
      <c r="S162" s="30" t="n"/>
      <c r="T162" s="30" t="n"/>
      <c r="U162" s="30" t="n"/>
      <c r="V162" s="30" t="n"/>
      <c r="W162" s="29">
        <f>IF(H162="","",IF(H162="Kenya","Yes","No"))</f>
        <v/>
      </c>
      <c r="X162" s="29">
        <f>IF(B162="","",IF(COUNTIF($B$5:$B$3004,B162)&gt;1,"DUPLICATE","OK"))</f>
        <v/>
      </c>
      <c r="Y162" s="29">
        <f>IF(OR(U162="",V162="",V162="Excluded"),"",IF(COUNTIFS($U$5:$U$3004,U162,$V$5:$V$3004,"&lt;&gt;"&amp;V162,$V$5:$V$3004,"&lt;&gt;",$V$5:$V$3004,"&lt;&gt;Excluded")&gt;0,"LEAK RISK","OK"))</f>
        <v/>
      </c>
      <c r="Z162" s="30" t="n"/>
    </row>
    <row r="163">
      <c r="A163" s="30" t="n"/>
      <c r="B163" s="30" t="n"/>
      <c r="C163" s="30" t="n"/>
      <c r="D163" s="30" t="n"/>
      <c r="E163" s="30" t="n"/>
      <c r="F163" s="30" t="n"/>
      <c r="G163" s="30" t="n"/>
      <c r="H163" s="30" t="n"/>
      <c r="I163" s="31" t="n"/>
      <c r="J163" s="30" t="n"/>
      <c r="K163" s="30" t="n"/>
      <c r="L163" s="30" t="n"/>
      <c r="M163" s="30" t="n"/>
      <c r="N163" s="32" t="n"/>
      <c r="O163" s="30" t="n"/>
      <c r="P163" s="32" t="n"/>
      <c r="Q163" s="30" t="n"/>
      <c r="R163" s="32" t="n"/>
      <c r="S163" s="30" t="n"/>
      <c r="T163" s="30" t="n"/>
      <c r="U163" s="30" t="n"/>
      <c r="V163" s="30" t="n"/>
      <c r="W163" s="29">
        <f>IF(H163="","",IF(H163="Kenya","Yes","No"))</f>
        <v/>
      </c>
      <c r="X163" s="29">
        <f>IF(B163="","",IF(COUNTIF($B$5:$B$3004,B163)&gt;1,"DUPLICATE","OK"))</f>
        <v/>
      </c>
      <c r="Y163" s="29">
        <f>IF(OR(U163="",V163="",V163="Excluded"),"",IF(COUNTIFS($U$5:$U$3004,U163,$V$5:$V$3004,"&lt;&gt;"&amp;V163,$V$5:$V$3004,"&lt;&gt;",$V$5:$V$3004,"&lt;&gt;Excluded")&gt;0,"LEAK RISK","OK"))</f>
        <v/>
      </c>
      <c r="Z163" s="30" t="n"/>
    </row>
    <row r="164">
      <c r="A164" s="30" t="n"/>
      <c r="B164" s="30" t="n"/>
      <c r="C164" s="30" t="n"/>
      <c r="D164" s="30" t="n"/>
      <c r="E164" s="30" t="n"/>
      <c r="F164" s="30" t="n"/>
      <c r="G164" s="30" t="n"/>
      <c r="H164" s="30" t="n"/>
      <c r="I164" s="31" t="n"/>
      <c r="J164" s="30" t="n"/>
      <c r="K164" s="30" t="n"/>
      <c r="L164" s="30" t="n"/>
      <c r="M164" s="30" t="n"/>
      <c r="N164" s="32" t="n"/>
      <c r="O164" s="30" t="n"/>
      <c r="P164" s="32" t="n"/>
      <c r="Q164" s="30" t="n"/>
      <c r="R164" s="32" t="n"/>
      <c r="S164" s="30" t="n"/>
      <c r="T164" s="30" t="n"/>
      <c r="U164" s="30" t="n"/>
      <c r="V164" s="30" t="n"/>
      <c r="W164" s="29">
        <f>IF(H164="","",IF(H164="Kenya","Yes","No"))</f>
        <v/>
      </c>
      <c r="X164" s="29">
        <f>IF(B164="","",IF(COUNTIF($B$5:$B$3004,B164)&gt;1,"DUPLICATE","OK"))</f>
        <v/>
      </c>
      <c r="Y164" s="29">
        <f>IF(OR(U164="",V164="",V164="Excluded"),"",IF(COUNTIFS($U$5:$U$3004,U164,$V$5:$V$3004,"&lt;&gt;"&amp;V164,$V$5:$V$3004,"&lt;&gt;",$V$5:$V$3004,"&lt;&gt;Excluded")&gt;0,"LEAK RISK","OK"))</f>
        <v/>
      </c>
      <c r="Z164" s="30" t="n"/>
    </row>
    <row r="165">
      <c r="A165" s="30" t="n"/>
      <c r="B165" s="30" t="n"/>
      <c r="C165" s="30" t="n"/>
      <c r="D165" s="30" t="n"/>
      <c r="E165" s="30" t="n"/>
      <c r="F165" s="30" t="n"/>
      <c r="G165" s="30" t="n"/>
      <c r="H165" s="30" t="n"/>
      <c r="I165" s="31" t="n"/>
      <c r="J165" s="30" t="n"/>
      <c r="K165" s="30" t="n"/>
      <c r="L165" s="30" t="n"/>
      <c r="M165" s="30" t="n"/>
      <c r="N165" s="32" t="n"/>
      <c r="O165" s="30" t="n"/>
      <c r="P165" s="32" t="n"/>
      <c r="Q165" s="30" t="n"/>
      <c r="R165" s="32" t="n"/>
      <c r="S165" s="30" t="n"/>
      <c r="T165" s="30" t="n"/>
      <c r="U165" s="30" t="n"/>
      <c r="V165" s="30" t="n"/>
      <c r="W165" s="29">
        <f>IF(H165="","",IF(H165="Kenya","Yes","No"))</f>
        <v/>
      </c>
      <c r="X165" s="29">
        <f>IF(B165="","",IF(COUNTIF($B$5:$B$3004,B165)&gt;1,"DUPLICATE","OK"))</f>
        <v/>
      </c>
      <c r="Y165" s="29">
        <f>IF(OR(U165="",V165="",V165="Excluded"),"",IF(COUNTIFS($U$5:$U$3004,U165,$V$5:$V$3004,"&lt;&gt;"&amp;V165,$V$5:$V$3004,"&lt;&gt;",$V$5:$V$3004,"&lt;&gt;Excluded")&gt;0,"LEAK RISK","OK"))</f>
        <v/>
      </c>
      <c r="Z165" s="30" t="n"/>
    </row>
    <row r="166">
      <c r="A166" s="30" t="n"/>
      <c r="B166" s="30" t="n"/>
      <c r="C166" s="30" t="n"/>
      <c r="D166" s="30" t="n"/>
      <c r="E166" s="30" t="n"/>
      <c r="F166" s="30" t="n"/>
      <c r="G166" s="30" t="n"/>
      <c r="H166" s="30" t="n"/>
      <c r="I166" s="31" t="n"/>
      <c r="J166" s="30" t="n"/>
      <c r="K166" s="30" t="n"/>
      <c r="L166" s="30" t="n"/>
      <c r="M166" s="30" t="n"/>
      <c r="N166" s="32" t="n"/>
      <c r="O166" s="30" t="n"/>
      <c r="P166" s="32" t="n"/>
      <c r="Q166" s="30" t="n"/>
      <c r="R166" s="32" t="n"/>
      <c r="S166" s="30" t="n"/>
      <c r="T166" s="30" t="n"/>
      <c r="U166" s="30" t="n"/>
      <c r="V166" s="30" t="n"/>
      <c r="W166" s="29">
        <f>IF(H166="","",IF(H166="Kenya","Yes","No"))</f>
        <v/>
      </c>
      <c r="X166" s="29">
        <f>IF(B166="","",IF(COUNTIF($B$5:$B$3004,B166)&gt;1,"DUPLICATE","OK"))</f>
        <v/>
      </c>
      <c r="Y166" s="29">
        <f>IF(OR(U166="",V166="",V166="Excluded"),"",IF(COUNTIFS($U$5:$U$3004,U166,$V$5:$V$3004,"&lt;&gt;"&amp;V166,$V$5:$V$3004,"&lt;&gt;",$V$5:$V$3004,"&lt;&gt;Excluded")&gt;0,"LEAK RISK","OK"))</f>
        <v/>
      </c>
      <c r="Z166" s="30" t="n"/>
    </row>
    <row r="167">
      <c r="A167" s="30" t="n"/>
      <c r="B167" s="30" t="n"/>
      <c r="C167" s="30" t="n"/>
      <c r="D167" s="30" t="n"/>
      <c r="E167" s="30" t="n"/>
      <c r="F167" s="30" t="n"/>
      <c r="G167" s="30" t="n"/>
      <c r="H167" s="30" t="n"/>
      <c r="I167" s="31" t="n"/>
      <c r="J167" s="30" t="n"/>
      <c r="K167" s="30" t="n"/>
      <c r="L167" s="30" t="n"/>
      <c r="M167" s="30" t="n"/>
      <c r="N167" s="32" t="n"/>
      <c r="O167" s="30" t="n"/>
      <c r="P167" s="32" t="n"/>
      <c r="Q167" s="30" t="n"/>
      <c r="R167" s="32" t="n"/>
      <c r="S167" s="30" t="n"/>
      <c r="T167" s="30" t="n"/>
      <c r="U167" s="30" t="n"/>
      <c r="V167" s="30" t="n"/>
      <c r="W167" s="29">
        <f>IF(H167="","",IF(H167="Kenya","Yes","No"))</f>
        <v/>
      </c>
      <c r="X167" s="29">
        <f>IF(B167="","",IF(COUNTIF($B$5:$B$3004,B167)&gt;1,"DUPLICATE","OK"))</f>
        <v/>
      </c>
      <c r="Y167" s="29">
        <f>IF(OR(U167="",V167="",V167="Excluded"),"",IF(COUNTIFS($U$5:$U$3004,U167,$V$5:$V$3004,"&lt;&gt;"&amp;V167,$V$5:$V$3004,"&lt;&gt;",$V$5:$V$3004,"&lt;&gt;Excluded")&gt;0,"LEAK RISK","OK"))</f>
        <v/>
      </c>
      <c r="Z167" s="30" t="n"/>
    </row>
    <row r="168">
      <c r="A168" s="30" t="n"/>
      <c r="B168" s="30" t="n"/>
      <c r="C168" s="30" t="n"/>
      <c r="D168" s="30" t="n"/>
      <c r="E168" s="30" t="n"/>
      <c r="F168" s="30" t="n"/>
      <c r="G168" s="30" t="n"/>
      <c r="H168" s="30" t="n"/>
      <c r="I168" s="31" t="n"/>
      <c r="J168" s="30" t="n"/>
      <c r="K168" s="30" t="n"/>
      <c r="L168" s="30" t="n"/>
      <c r="M168" s="30" t="n"/>
      <c r="N168" s="32" t="n"/>
      <c r="O168" s="30" t="n"/>
      <c r="P168" s="32" t="n"/>
      <c r="Q168" s="30" t="n"/>
      <c r="R168" s="32" t="n"/>
      <c r="S168" s="30" t="n"/>
      <c r="T168" s="30" t="n"/>
      <c r="U168" s="30" t="n"/>
      <c r="V168" s="30" t="n"/>
      <c r="W168" s="29">
        <f>IF(H168="","",IF(H168="Kenya","Yes","No"))</f>
        <v/>
      </c>
      <c r="X168" s="29">
        <f>IF(B168="","",IF(COUNTIF($B$5:$B$3004,B168)&gt;1,"DUPLICATE","OK"))</f>
        <v/>
      </c>
      <c r="Y168" s="29">
        <f>IF(OR(U168="",V168="",V168="Excluded"),"",IF(COUNTIFS($U$5:$U$3004,U168,$V$5:$V$3004,"&lt;&gt;"&amp;V168,$V$5:$V$3004,"&lt;&gt;",$V$5:$V$3004,"&lt;&gt;Excluded")&gt;0,"LEAK RISK","OK"))</f>
        <v/>
      </c>
      <c r="Z168" s="30" t="n"/>
    </row>
    <row r="169">
      <c r="A169" s="30" t="n"/>
      <c r="B169" s="30" t="n"/>
      <c r="C169" s="30" t="n"/>
      <c r="D169" s="30" t="n"/>
      <c r="E169" s="30" t="n"/>
      <c r="F169" s="30" t="n"/>
      <c r="G169" s="30" t="n"/>
      <c r="H169" s="30" t="n"/>
      <c r="I169" s="31" t="n"/>
      <c r="J169" s="30" t="n"/>
      <c r="K169" s="30" t="n"/>
      <c r="L169" s="30" t="n"/>
      <c r="M169" s="30" t="n"/>
      <c r="N169" s="32" t="n"/>
      <c r="O169" s="30" t="n"/>
      <c r="P169" s="32" t="n"/>
      <c r="Q169" s="30" t="n"/>
      <c r="R169" s="32" t="n"/>
      <c r="S169" s="30" t="n"/>
      <c r="T169" s="30" t="n"/>
      <c r="U169" s="30" t="n"/>
      <c r="V169" s="30" t="n"/>
      <c r="W169" s="29">
        <f>IF(H169="","",IF(H169="Kenya","Yes","No"))</f>
        <v/>
      </c>
      <c r="X169" s="29">
        <f>IF(B169="","",IF(COUNTIF($B$5:$B$3004,B169)&gt;1,"DUPLICATE","OK"))</f>
        <v/>
      </c>
      <c r="Y169" s="29">
        <f>IF(OR(U169="",V169="",V169="Excluded"),"",IF(COUNTIFS($U$5:$U$3004,U169,$V$5:$V$3004,"&lt;&gt;"&amp;V169,$V$5:$V$3004,"&lt;&gt;",$V$5:$V$3004,"&lt;&gt;Excluded")&gt;0,"LEAK RISK","OK"))</f>
        <v/>
      </c>
      <c r="Z169" s="30" t="n"/>
    </row>
    <row r="170">
      <c r="A170" s="30" t="n"/>
      <c r="B170" s="30" t="n"/>
      <c r="C170" s="30" t="n"/>
      <c r="D170" s="30" t="n"/>
      <c r="E170" s="30" t="n"/>
      <c r="F170" s="30" t="n"/>
      <c r="G170" s="30" t="n"/>
      <c r="H170" s="30" t="n"/>
      <c r="I170" s="31" t="n"/>
      <c r="J170" s="30" t="n"/>
      <c r="K170" s="30" t="n"/>
      <c r="L170" s="30" t="n"/>
      <c r="M170" s="30" t="n"/>
      <c r="N170" s="32" t="n"/>
      <c r="O170" s="30" t="n"/>
      <c r="P170" s="32" t="n"/>
      <c r="Q170" s="30" t="n"/>
      <c r="R170" s="32" t="n"/>
      <c r="S170" s="30" t="n"/>
      <c r="T170" s="30" t="n"/>
      <c r="U170" s="30" t="n"/>
      <c r="V170" s="30" t="n"/>
      <c r="W170" s="29">
        <f>IF(H170="","",IF(H170="Kenya","Yes","No"))</f>
        <v/>
      </c>
      <c r="X170" s="29">
        <f>IF(B170="","",IF(COUNTIF($B$5:$B$3004,B170)&gt;1,"DUPLICATE","OK"))</f>
        <v/>
      </c>
      <c r="Y170" s="29">
        <f>IF(OR(U170="",V170="",V170="Excluded"),"",IF(COUNTIFS($U$5:$U$3004,U170,$V$5:$V$3004,"&lt;&gt;"&amp;V170,$V$5:$V$3004,"&lt;&gt;",$V$5:$V$3004,"&lt;&gt;Excluded")&gt;0,"LEAK RISK","OK"))</f>
        <v/>
      </c>
      <c r="Z170" s="30" t="n"/>
    </row>
    <row r="171">
      <c r="A171" s="30" t="n"/>
      <c r="B171" s="30" t="n"/>
      <c r="C171" s="30" t="n"/>
      <c r="D171" s="30" t="n"/>
      <c r="E171" s="30" t="n"/>
      <c r="F171" s="30" t="n"/>
      <c r="G171" s="30" t="n"/>
      <c r="H171" s="30" t="n"/>
      <c r="I171" s="31" t="n"/>
      <c r="J171" s="30" t="n"/>
      <c r="K171" s="30" t="n"/>
      <c r="L171" s="30" t="n"/>
      <c r="M171" s="30" t="n"/>
      <c r="N171" s="32" t="n"/>
      <c r="O171" s="30" t="n"/>
      <c r="P171" s="32" t="n"/>
      <c r="Q171" s="30" t="n"/>
      <c r="R171" s="32" t="n"/>
      <c r="S171" s="30" t="n"/>
      <c r="T171" s="30" t="n"/>
      <c r="U171" s="30" t="n"/>
      <c r="V171" s="30" t="n"/>
      <c r="W171" s="29">
        <f>IF(H171="","",IF(H171="Kenya","Yes","No"))</f>
        <v/>
      </c>
      <c r="X171" s="29">
        <f>IF(B171="","",IF(COUNTIF($B$5:$B$3004,B171)&gt;1,"DUPLICATE","OK"))</f>
        <v/>
      </c>
      <c r="Y171" s="29">
        <f>IF(OR(U171="",V171="",V171="Excluded"),"",IF(COUNTIFS($U$5:$U$3004,U171,$V$5:$V$3004,"&lt;&gt;"&amp;V171,$V$5:$V$3004,"&lt;&gt;",$V$5:$V$3004,"&lt;&gt;Excluded")&gt;0,"LEAK RISK","OK"))</f>
        <v/>
      </c>
      <c r="Z171" s="30" t="n"/>
    </row>
    <row r="172">
      <c r="A172" s="30" t="n"/>
      <c r="B172" s="30" t="n"/>
      <c r="C172" s="30" t="n"/>
      <c r="D172" s="30" t="n"/>
      <c r="E172" s="30" t="n"/>
      <c r="F172" s="30" t="n"/>
      <c r="G172" s="30" t="n"/>
      <c r="H172" s="30" t="n"/>
      <c r="I172" s="31" t="n"/>
      <c r="J172" s="30" t="n"/>
      <c r="K172" s="30" t="n"/>
      <c r="L172" s="30" t="n"/>
      <c r="M172" s="30" t="n"/>
      <c r="N172" s="32" t="n"/>
      <c r="O172" s="30" t="n"/>
      <c r="P172" s="32" t="n"/>
      <c r="Q172" s="30" t="n"/>
      <c r="R172" s="32" t="n"/>
      <c r="S172" s="30" t="n"/>
      <c r="T172" s="30" t="n"/>
      <c r="U172" s="30" t="n"/>
      <c r="V172" s="30" t="n"/>
      <c r="W172" s="29">
        <f>IF(H172="","",IF(H172="Kenya","Yes","No"))</f>
        <v/>
      </c>
      <c r="X172" s="29">
        <f>IF(B172="","",IF(COUNTIF($B$5:$B$3004,B172)&gt;1,"DUPLICATE","OK"))</f>
        <v/>
      </c>
      <c r="Y172" s="29">
        <f>IF(OR(U172="",V172="",V172="Excluded"),"",IF(COUNTIFS($U$5:$U$3004,U172,$V$5:$V$3004,"&lt;&gt;"&amp;V172,$V$5:$V$3004,"&lt;&gt;",$V$5:$V$3004,"&lt;&gt;Excluded")&gt;0,"LEAK RISK","OK"))</f>
        <v/>
      </c>
      <c r="Z172" s="30" t="n"/>
    </row>
    <row r="173">
      <c r="A173" s="30" t="n"/>
      <c r="B173" s="30" t="n"/>
      <c r="C173" s="30" t="n"/>
      <c r="D173" s="30" t="n"/>
      <c r="E173" s="30" t="n"/>
      <c r="F173" s="30" t="n"/>
      <c r="G173" s="30" t="n"/>
      <c r="H173" s="30" t="n"/>
      <c r="I173" s="31" t="n"/>
      <c r="J173" s="30" t="n"/>
      <c r="K173" s="30" t="n"/>
      <c r="L173" s="30" t="n"/>
      <c r="M173" s="30" t="n"/>
      <c r="N173" s="32" t="n"/>
      <c r="O173" s="30" t="n"/>
      <c r="P173" s="32" t="n"/>
      <c r="Q173" s="30" t="n"/>
      <c r="R173" s="32" t="n"/>
      <c r="S173" s="30" t="n"/>
      <c r="T173" s="30" t="n"/>
      <c r="U173" s="30" t="n"/>
      <c r="V173" s="30" t="n"/>
      <c r="W173" s="29">
        <f>IF(H173="","",IF(H173="Kenya","Yes","No"))</f>
        <v/>
      </c>
      <c r="X173" s="29">
        <f>IF(B173="","",IF(COUNTIF($B$5:$B$3004,B173)&gt;1,"DUPLICATE","OK"))</f>
        <v/>
      </c>
      <c r="Y173" s="29">
        <f>IF(OR(U173="",V173="",V173="Excluded"),"",IF(COUNTIFS($U$5:$U$3004,U173,$V$5:$V$3004,"&lt;&gt;"&amp;V173,$V$5:$V$3004,"&lt;&gt;",$V$5:$V$3004,"&lt;&gt;Excluded")&gt;0,"LEAK RISK","OK"))</f>
        <v/>
      </c>
      <c r="Z173" s="30" t="n"/>
    </row>
    <row r="174">
      <c r="A174" s="30" t="n"/>
      <c r="B174" s="30" t="n"/>
      <c r="C174" s="30" t="n"/>
      <c r="D174" s="30" t="n"/>
      <c r="E174" s="30" t="n"/>
      <c r="F174" s="30" t="n"/>
      <c r="G174" s="30" t="n"/>
      <c r="H174" s="30" t="n"/>
      <c r="I174" s="31" t="n"/>
      <c r="J174" s="30" t="n"/>
      <c r="K174" s="30" t="n"/>
      <c r="L174" s="30" t="n"/>
      <c r="M174" s="30" t="n"/>
      <c r="N174" s="32" t="n"/>
      <c r="O174" s="30" t="n"/>
      <c r="P174" s="32" t="n"/>
      <c r="Q174" s="30" t="n"/>
      <c r="R174" s="32" t="n"/>
      <c r="S174" s="30" t="n"/>
      <c r="T174" s="30" t="n"/>
      <c r="U174" s="30" t="n"/>
      <c r="V174" s="30" t="n"/>
      <c r="W174" s="29">
        <f>IF(H174="","",IF(H174="Kenya","Yes","No"))</f>
        <v/>
      </c>
      <c r="X174" s="29">
        <f>IF(B174="","",IF(COUNTIF($B$5:$B$3004,B174)&gt;1,"DUPLICATE","OK"))</f>
        <v/>
      </c>
      <c r="Y174" s="29">
        <f>IF(OR(U174="",V174="",V174="Excluded"),"",IF(COUNTIFS($U$5:$U$3004,U174,$V$5:$V$3004,"&lt;&gt;"&amp;V174,$V$5:$V$3004,"&lt;&gt;",$V$5:$V$3004,"&lt;&gt;Excluded")&gt;0,"LEAK RISK","OK"))</f>
        <v/>
      </c>
      <c r="Z174" s="30" t="n"/>
    </row>
    <row r="175">
      <c r="A175" s="30" t="n"/>
      <c r="B175" s="30" t="n"/>
      <c r="C175" s="30" t="n"/>
      <c r="D175" s="30" t="n"/>
      <c r="E175" s="30" t="n"/>
      <c r="F175" s="30" t="n"/>
      <c r="G175" s="30" t="n"/>
      <c r="H175" s="30" t="n"/>
      <c r="I175" s="31" t="n"/>
      <c r="J175" s="30" t="n"/>
      <c r="K175" s="30" t="n"/>
      <c r="L175" s="30" t="n"/>
      <c r="M175" s="30" t="n"/>
      <c r="N175" s="32" t="n"/>
      <c r="O175" s="30" t="n"/>
      <c r="P175" s="32" t="n"/>
      <c r="Q175" s="30" t="n"/>
      <c r="R175" s="32" t="n"/>
      <c r="S175" s="30" t="n"/>
      <c r="T175" s="30" t="n"/>
      <c r="U175" s="30" t="n"/>
      <c r="V175" s="30" t="n"/>
      <c r="W175" s="29">
        <f>IF(H175="","",IF(H175="Kenya","Yes","No"))</f>
        <v/>
      </c>
      <c r="X175" s="29">
        <f>IF(B175="","",IF(COUNTIF($B$5:$B$3004,B175)&gt;1,"DUPLICATE","OK"))</f>
        <v/>
      </c>
      <c r="Y175" s="29">
        <f>IF(OR(U175="",V175="",V175="Excluded"),"",IF(COUNTIFS($U$5:$U$3004,U175,$V$5:$V$3004,"&lt;&gt;"&amp;V175,$V$5:$V$3004,"&lt;&gt;",$V$5:$V$3004,"&lt;&gt;Excluded")&gt;0,"LEAK RISK","OK"))</f>
        <v/>
      </c>
      <c r="Z175" s="30" t="n"/>
    </row>
    <row r="176">
      <c r="A176" s="30" t="n"/>
      <c r="B176" s="30" t="n"/>
      <c r="C176" s="30" t="n"/>
      <c r="D176" s="30" t="n"/>
      <c r="E176" s="30" t="n"/>
      <c r="F176" s="30" t="n"/>
      <c r="G176" s="30" t="n"/>
      <c r="H176" s="30" t="n"/>
      <c r="I176" s="31" t="n"/>
      <c r="J176" s="30" t="n"/>
      <c r="K176" s="30" t="n"/>
      <c r="L176" s="30" t="n"/>
      <c r="M176" s="30" t="n"/>
      <c r="N176" s="32" t="n"/>
      <c r="O176" s="30" t="n"/>
      <c r="P176" s="32" t="n"/>
      <c r="Q176" s="30" t="n"/>
      <c r="R176" s="32" t="n"/>
      <c r="S176" s="30" t="n"/>
      <c r="T176" s="30" t="n"/>
      <c r="U176" s="30" t="n"/>
      <c r="V176" s="30" t="n"/>
      <c r="W176" s="29">
        <f>IF(H176="","",IF(H176="Kenya","Yes","No"))</f>
        <v/>
      </c>
      <c r="X176" s="29">
        <f>IF(B176="","",IF(COUNTIF($B$5:$B$3004,B176)&gt;1,"DUPLICATE","OK"))</f>
        <v/>
      </c>
      <c r="Y176" s="29">
        <f>IF(OR(U176="",V176="",V176="Excluded"),"",IF(COUNTIFS($U$5:$U$3004,U176,$V$5:$V$3004,"&lt;&gt;"&amp;V176,$V$5:$V$3004,"&lt;&gt;",$V$5:$V$3004,"&lt;&gt;Excluded")&gt;0,"LEAK RISK","OK"))</f>
        <v/>
      </c>
      <c r="Z176" s="30" t="n"/>
    </row>
    <row r="177">
      <c r="A177" s="30" t="n"/>
      <c r="B177" s="30" t="n"/>
      <c r="C177" s="30" t="n"/>
      <c r="D177" s="30" t="n"/>
      <c r="E177" s="30" t="n"/>
      <c r="F177" s="30" t="n"/>
      <c r="G177" s="30" t="n"/>
      <c r="H177" s="30" t="n"/>
      <c r="I177" s="31" t="n"/>
      <c r="J177" s="30" t="n"/>
      <c r="K177" s="30" t="n"/>
      <c r="L177" s="30" t="n"/>
      <c r="M177" s="30" t="n"/>
      <c r="N177" s="32" t="n"/>
      <c r="O177" s="30" t="n"/>
      <c r="P177" s="32" t="n"/>
      <c r="Q177" s="30" t="n"/>
      <c r="R177" s="32" t="n"/>
      <c r="S177" s="30" t="n"/>
      <c r="T177" s="30" t="n"/>
      <c r="U177" s="30" t="n"/>
      <c r="V177" s="30" t="n"/>
      <c r="W177" s="29">
        <f>IF(H177="","",IF(H177="Kenya","Yes","No"))</f>
        <v/>
      </c>
      <c r="X177" s="29">
        <f>IF(B177="","",IF(COUNTIF($B$5:$B$3004,B177)&gt;1,"DUPLICATE","OK"))</f>
        <v/>
      </c>
      <c r="Y177" s="29">
        <f>IF(OR(U177="",V177="",V177="Excluded"),"",IF(COUNTIFS($U$5:$U$3004,U177,$V$5:$V$3004,"&lt;&gt;"&amp;V177,$V$5:$V$3004,"&lt;&gt;",$V$5:$V$3004,"&lt;&gt;Excluded")&gt;0,"LEAK RISK","OK"))</f>
        <v/>
      </c>
      <c r="Z177" s="30" t="n"/>
    </row>
    <row r="178">
      <c r="A178" s="30" t="n"/>
      <c r="B178" s="30" t="n"/>
      <c r="C178" s="30" t="n"/>
      <c r="D178" s="30" t="n"/>
      <c r="E178" s="30" t="n"/>
      <c r="F178" s="30" t="n"/>
      <c r="G178" s="30" t="n"/>
      <c r="H178" s="30" t="n"/>
      <c r="I178" s="31" t="n"/>
      <c r="J178" s="30" t="n"/>
      <c r="K178" s="30" t="n"/>
      <c r="L178" s="30" t="n"/>
      <c r="M178" s="30" t="n"/>
      <c r="N178" s="32" t="n"/>
      <c r="O178" s="30" t="n"/>
      <c r="P178" s="32" t="n"/>
      <c r="Q178" s="30" t="n"/>
      <c r="R178" s="32" t="n"/>
      <c r="S178" s="30" t="n"/>
      <c r="T178" s="30" t="n"/>
      <c r="U178" s="30" t="n"/>
      <c r="V178" s="30" t="n"/>
      <c r="W178" s="29">
        <f>IF(H178="","",IF(H178="Kenya","Yes","No"))</f>
        <v/>
      </c>
      <c r="X178" s="29">
        <f>IF(B178="","",IF(COUNTIF($B$5:$B$3004,B178)&gt;1,"DUPLICATE","OK"))</f>
        <v/>
      </c>
      <c r="Y178" s="29">
        <f>IF(OR(U178="",V178="",V178="Excluded"),"",IF(COUNTIFS($U$5:$U$3004,U178,$V$5:$V$3004,"&lt;&gt;"&amp;V178,$V$5:$V$3004,"&lt;&gt;",$V$5:$V$3004,"&lt;&gt;Excluded")&gt;0,"LEAK RISK","OK"))</f>
        <v/>
      </c>
      <c r="Z178" s="30" t="n"/>
    </row>
    <row r="179">
      <c r="A179" s="30" t="n"/>
      <c r="B179" s="30" t="n"/>
      <c r="C179" s="30" t="n"/>
      <c r="D179" s="30" t="n"/>
      <c r="E179" s="30" t="n"/>
      <c r="F179" s="30" t="n"/>
      <c r="G179" s="30" t="n"/>
      <c r="H179" s="30" t="n"/>
      <c r="I179" s="31" t="n"/>
      <c r="J179" s="30" t="n"/>
      <c r="K179" s="30" t="n"/>
      <c r="L179" s="30" t="n"/>
      <c r="M179" s="30" t="n"/>
      <c r="N179" s="32" t="n"/>
      <c r="O179" s="30" t="n"/>
      <c r="P179" s="32" t="n"/>
      <c r="Q179" s="30" t="n"/>
      <c r="R179" s="32" t="n"/>
      <c r="S179" s="30" t="n"/>
      <c r="T179" s="30" t="n"/>
      <c r="U179" s="30" t="n"/>
      <c r="V179" s="30" t="n"/>
      <c r="W179" s="29">
        <f>IF(H179="","",IF(H179="Kenya","Yes","No"))</f>
        <v/>
      </c>
      <c r="X179" s="29">
        <f>IF(B179="","",IF(COUNTIF($B$5:$B$3004,B179)&gt;1,"DUPLICATE","OK"))</f>
        <v/>
      </c>
      <c r="Y179" s="29">
        <f>IF(OR(U179="",V179="",V179="Excluded"),"",IF(COUNTIFS($U$5:$U$3004,U179,$V$5:$V$3004,"&lt;&gt;"&amp;V179,$V$5:$V$3004,"&lt;&gt;",$V$5:$V$3004,"&lt;&gt;Excluded")&gt;0,"LEAK RISK","OK"))</f>
        <v/>
      </c>
      <c r="Z179" s="30" t="n"/>
    </row>
    <row r="180">
      <c r="A180" s="30" t="n"/>
      <c r="B180" s="30" t="n"/>
      <c r="C180" s="30" t="n"/>
      <c r="D180" s="30" t="n"/>
      <c r="E180" s="30" t="n"/>
      <c r="F180" s="30" t="n"/>
      <c r="G180" s="30" t="n"/>
      <c r="H180" s="30" t="n"/>
      <c r="I180" s="31" t="n"/>
      <c r="J180" s="30" t="n"/>
      <c r="K180" s="30" t="n"/>
      <c r="L180" s="30" t="n"/>
      <c r="M180" s="30" t="n"/>
      <c r="N180" s="32" t="n"/>
      <c r="O180" s="30" t="n"/>
      <c r="P180" s="32" t="n"/>
      <c r="Q180" s="30" t="n"/>
      <c r="R180" s="32" t="n"/>
      <c r="S180" s="30" t="n"/>
      <c r="T180" s="30" t="n"/>
      <c r="U180" s="30" t="n"/>
      <c r="V180" s="30" t="n"/>
      <c r="W180" s="29">
        <f>IF(H180="","",IF(H180="Kenya","Yes","No"))</f>
        <v/>
      </c>
      <c r="X180" s="29">
        <f>IF(B180="","",IF(COUNTIF($B$5:$B$3004,B180)&gt;1,"DUPLICATE","OK"))</f>
        <v/>
      </c>
      <c r="Y180" s="29">
        <f>IF(OR(U180="",V180="",V180="Excluded"),"",IF(COUNTIFS($U$5:$U$3004,U180,$V$5:$V$3004,"&lt;&gt;"&amp;V180,$V$5:$V$3004,"&lt;&gt;",$V$5:$V$3004,"&lt;&gt;Excluded")&gt;0,"LEAK RISK","OK"))</f>
        <v/>
      </c>
      <c r="Z180" s="30" t="n"/>
    </row>
    <row r="181">
      <c r="A181" s="30" t="n"/>
      <c r="B181" s="30" t="n"/>
      <c r="C181" s="30" t="n"/>
      <c r="D181" s="30" t="n"/>
      <c r="E181" s="30" t="n"/>
      <c r="F181" s="30" t="n"/>
      <c r="G181" s="30" t="n"/>
      <c r="H181" s="30" t="n"/>
      <c r="I181" s="31" t="n"/>
      <c r="J181" s="30" t="n"/>
      <c r="K181" s="30" t="n"/>
      <c r="L181" s="30" t="n"/>
      <c r="M181" s="30" t="n"/>
      <c r="N181" s="32" t="n"/>
      <c r="O181" s="30" t="n"/>
      <c r="P181" s="32" t="n"/>
      <c r="Q181" s="30" t="n"/>
      <c r="R181" s="32" t="n"/>
      <c r="S181" s="30" t="n"/>
      <c r="T181" s="30" t="n"/>
      <c r="U181" s="30" t="n"/>
      <c r="V181" s="30" t="n"/>
      <c r="W181" s="29">
        <f>IF(H181="","",IF(H181="Kenya","Yes","No"))</f>
        <v/>
      </c>
      <c r="X181" s="29">
        <f>IF(B181="","",IF(COUNTIF($B$5:$B$3004,B181)&gt;1,"DUPLICATE","OK"))</f>
        <v/>
      </c>
      <c r="Y181" s="29">
        <f>IF(OR(U181="",V181="",V181="Excluded"),"",IF(COUNTIFS($U$5:$U$3004,U181,$V$5:$V$3004,"&lt;&gt;"&amp;V181,$V$5:$V$3004,"&lt;&gt;",$V$5:$V$3004,"&lt;&gt;Excluded")&gt;0,"LEAK RISK","OK"))</f>
        <v/>
      </c>
      <c r="Z181" s="30" t="n"/>
    </row>
    <row r="182">
      <c r="A182" s="30" t="n"/>
      <c r="B182" s="30" t="n"/>
      <c r="C182" s="30" t="n"/>
      <c r="D182" s="30" t="n"/>
      <c r="E182" s="30" t="n"/>
      <c r="F182" s="30" t="n"/>
      <c r="G182" s="30" t="n"/>
      <c r="H182" s="30" t="n"/>
      <c r="I182" s="31" t="n"/>
      <c r="J182" s="30" t="n"/>
      <c r="K182" s="30" t="n"/>
      <c r="L182" s="30" t="n"/>
      <c r="M182" s="30" t="n"/>
      <c r="N182" s="32" t="n"/>
      <c r="O182" s="30" t="n"/>
      <c r="P182" s="32" t="n"/>
      <c r="Q182" s="30" t="n"/>
      <c r="R182" s="32" t="n"/>
      <c r="S182" s="30" t="n"/>
      <c r="T182" s="30" t="n"/>
      <c r="U182" s="30" t="n"/>
      <c r="V182" s="30" t="n"/>
      <c r="W182" s="29">
        <f>IF(H182="","",IF(H182="Kenya","Yes","No"))</f>
        <v/>
      </c>
      <c r="X182" s="29">
        <f>IF(B182="","",IF(COUNTIF($B$5:$B$3004,B182)&gt;1,"DUPLICATE","OK"))</f>
        <v/>
      </c>
      <c r="Y182" s="29">
        <f>IF(OR(U182="",V182="",V182="Excluded"),"",IF(COUNTIFS($U$5:$U$3004,U182,$V$5:$V$3004,"&lt;&gt;"&amp;V182,$V$5:$V$3004,"&lt;&gt;",$V$5:$V$3004,"&lt;&gt;Excluded")&gt;0,"LEAK RISK","OK"))</f>
        <v/>
      </c>
      <c r="Z182" s="30" t="n"/>
    </row>
    <row r="183">
      <c r="A183" s="30" t="n"/>
      <c r="B183" s="30" t="n"/>
      <c r="C183" s="30" t="n"/>
      <c r="D183" s="30" t="n"/>
      <c r="E183" s="30" t="n"/>
      <c r="F183" s="30" t="n"/>
      <c r="G183" s="30" t="n"/>
      <c r="H183" s="30" t="n"/>
      <c r="I183" s="31" t="n"/>
      <c r="J183" s="30" t="n"/>
      <c r="K183" s="30" t="n"/>
      <c r="L183" s="30" t="n"/>
      <c r="M183" s="30" t="n"/>
      <c r="N183" s="32" t="n"/>
      <c r="O183" s="30" t="n"/>
      <c r="P183" s="32" t="n"/>
      <c r="Q183" s="30" t="n"/>
      <c r="R183" s="32" t="n"/>
      <c r="S183" s="30" t="n"/>
      <c r="T183" s="30" t="n"/>
      <c r="U183" s="30" t="n"/>
      <c r="V183" s="30" t="n"/>
      <c r="W183" s="29">
        <f>IF(H183="","",IF(H183="Kenya","Yes","No"))</f>
        <v/>
      </c>
      <c r="X183" s="29">
        <f>IF(B183="","",IF(COUNTIF($B$5:$B$3004,B183)&gt;1,"DUPLICATE","OK"))</f>
        <v/>
      </c>
      <c r="Y183" s="29">
        <f>IF(OR(U183="",V183="",V183="Excluded"),"",IF(COUNTIFS($U$5:$U$3004,U183,$V$5:$V$3004,"&lt;&gt;"&amp;V183,$V$5:$V$3004,"&lt;&gt;",$V$5:$V$3004,"&lt;&gt;Excluded")&gt;0,"LEAK RISK","OK"))</f>
        <v/>
      </c>
      <c r="Z183" s="30" t="n"/>
    </row>
    <row r="184">
      <c r="A184" s="30" t="n"/>
      <c r="B184" s="30" t="n"/>
      <c r="C184" s="30" t="n"/>
      <c r="D184" s="30" t="n"/>
      <c r="E184" s="30" t="n"/>
      <c r="F184" s="30" t="n"/>
      <c r="G184" s="30" t="n"/>
      <c r="H184" s="30" t="n"/>
      <c r="I184" s="31" t="n"/>
      <c r="J184" s="30" t="n"/>
      <c r="K184" s="30" t="n"/>
      <c r="L184" s="30" t="n"/>
      <c r="M184" s="30" t="n"/>
      <c r="N184" s="32" t="n"/>
      <c r="O184" s="30" t="n"/>
      <c r="P184" s="32" t="n"/>
      <c r="Q184" s="30" t="n"/>
      <c r="R184" s="32" t="n"/>
      <c r="S184" s="30" t="n"/>
      <c r="T184" s="30" t="n"/>
      <c r="U184" s="30" t="n"/>
      <c r="V184" s="30" t="n"/>
      <c r="W184" s="29">
        <f>IF(H184="","",IF(H184="Kenya","Yes","No"))</f>
        <v/>
      </c>
      <c r="X184" s="29">
        <f>IF(B184="","",IF(COUNTIF($B$5:$B$3004,B184)&gt;1,"DUPLICATE","OK"))</f>
        <v/>
      </c>
      <c r="Y184" s="29">
        <f>IF(OR(U184="",V184="",V184="Excluded"),"",IF(COUNTIFS($U$5:$U$3004,U184,$V$5:$V$3004,"&lt;&gt;"&amp;V184,$V$5:$V$3004,"&lt;&gt;",$V$5:$V$3004,"&lt;&gt;Excluded")&gt;0,"LEAK RISK","OK"))</f>
        <v/>
      </c>
      <c r="Z184" s="30" t="n"/>
    </row>
    <row r="185">
      <c r="A185" s="30" t="n"/>
      <c r="B185" s="30" t="n"/>
      <c r="C185" s="30" t="n"/>
      <c r="D185" s="30" t="n"/>
      <c r="E185" s="30" t="n"/>
      <c r="F185" s="30" t="n"/>
      <c r="G185" s="30" t="n"/>
      <c r="H185" s="30" t="n"/>
      <c r="I185" s="31" t="n"/>
      <c r="J185" s="30" t="n"/>
      <c r="K185" s="30" t="n"/>
      <c r="L185" s="30" t="n"/>
      <c r="M185" s="30" t="n"/>
      <c r="N185" s="32" t="n"/>
      <c r="O185" s="30" t="n"/>
      <c r="P185" s="32" t="n"/>
      <c r="Q185" s="30" t="n"/>
      <c r="R185" s="32" t="n"/>
      <c r="S185" s="30" t="n"/>
      <c r="T185" s="30" t="n"/>
      <c r="U185" s="30" t="n"/>
      <c r="V185" s="30" t="n"/>
      <c r="W185" s="29">
        <f>IF(H185="","",IF(H185="Kenya","Yes","No"))</f>
        <v/>
      </c>
      <c r="X185" s="29">
        <f>IF(B185="","",IF(COUNTIF($B$5:$B$3004,B185)&gt;1,"DUPLICATE","OK"))</f>
        <v/>
      </c>
      <c r="Y185" s="29">
        <f>IF(OR(U185="",V185="",V185="Excluded"),"",IF(COUNTIFS($U$5:$U$3004,U185,$V$5:$V$3004,"&lt;&gt;"&amp;V185,$V$5:$V$3004,"&lt;&gt;",$V$5:$V$3004,"&lt;&gt;Excluded")&gt;0,"LEAK RISK","OK"))</f>
        <v/>
      </c>
      <c r="Z185" s="30" t="n"/>
    </row>
    <row r="186">
      <c r="A186" s="30" t="n"/>
      <c r="B186" s="30" t="n"/>
      <c r="C186" s="30" t="n"/>
      <c r="D186" s="30" t="n"/>
      <c r="E186" s="30" t="n"/>
      <c r="F186" s="30" t="n"/>
      <c r="G186" s="30" t="n"/>
      <c r="H186" s="30" t="n"/>
      <c r="I186" s="31" t="n"/>
      <c r="J186" s="30" t="n"/>
      <c r="K186" s="30" t="n"/>
      <c r="L186" s="30" t="n"/>
      <c r="M186" s="30" t="n"/>
      <c r="N186" s="32" t="n"/>
      <c r="O186" s="30" t="n"/>
      <c r="P186" s="32" t="n"/>
      <c r="Q186" s="30" t="n"/>
      <c r="R186" s="32" t="n"/>
      <c r="S186" s="30" t="n"/>
      <c r="T186" s="30" t="n"/>
      <c r="U186" s="30" t="n"/>
      <c r="V186" s="30" t="n"/>
      <c r="W186" s="29">
        <f>IF(H186="","",IF(H186="Kenya","Yes","No"))</f>
        <v/>
      </c>
      <c r="X186" s="29">
        <f>IF(B186="","",IF(COUNTIF($B$5:$B$3004,B186)&gt;1,"DUPLICATE","OK"))</f>
        <v/>
      </c>
      <c r="Y186" s="29">
        <f>IF(OR(U186="",V186="",V186="Excluded"),"",IF(COUNTIFS($U$5:$U$3004,U186,$V$5:$V$3004,"&lt;&gt;"&amp;V186,$V$5:$V$3004,"&lt;&gt;",$V$5:$V$3004,"&lt;&gt;Excluded")&gt;0,"LEAK RISK","OK"))</f>
        <v/>
      </c>
      <c r="Z186" s="30" t="n"/>
    </row>
    <row r="187">
      <c r="A187" s="30" t="n"/>
      <c r="B187" s="30" t="n"/>
      <c r="C187" s="30" t="n"/>
      <c r="D187" s="30" t="n"/>
      <c r="E187" s="30" t="n"/>
      <c r="F187" s="30" t="n"/>
      <c r="G187" s="30" t="n"/>
      <c r="H187" s="30" t="n"/>
      <c r="I187" s="31" t="n"/>
      <c r="J187" s="30" t="n"/>
      <c r="K187" s="30" t="n"/>
      <c r="L187" s="30" t="n"/>
      <c r="M187" s="30" t="n"/>
      <c r="N187" s="32" t="n"/>
      <c r="O187" s="30" t="n"/>
      <c r="P187" s="32" t="n"/>
      <c r="Q187" s="30" t="n"/>
      <c r="R187" s="32" t="n"/>
      <c r="S187" s="30" t="n"/>
      <c r="T187" s="30" t="n"/>
      <c r="U187" s="30" t="n"/>
      <c r="V187" s="30" t="n"/>
      <c r="W187" s="29">
        <f>IF(H187="","",IF(H187="Kenya","Yes","No"))</f>
        <v/>
      </c>
      <c r="X187" s="29">
        <f>IF(B187="","",IF(COUNTIF($B$5:$B$3004,B187)&gt;1,"DUPLICATE","OK"))</f>
        <v/>
      </c>
      <c r="Y187" s="29">
        <f>IF(OR(U187="",V187="",V187="Excluded"),"",IF(COUNTIFS($U$5:$U$3004,U187,$V$5:$V$3004,"&lt;&gt;"&amp;V187,$V$5:$V$3004,"&lt;&gt;",$V$5:$V$3004,"&lt;&gt;Excluded")&gt;0,"LEAK RISK","OK"))</f>
        <v/>
      </c>
      <c r="Z187" s="30" t="n"/>
    </row>
    <row r="188">
      <c r="A188" s="30" t="n"/>
      <c r="B188" s="30" t="n"/>
      <c r="C188" s="30" t="n"/>
      <c r="D188" s="30" t="n"/>
      <c r="E188" s="30" t="n"/>
      <c r="F188" s="30" t="n"/>
      <c r="G188" s="30" t="n"/>
      <c r="H188" s="30" t="n"/>
      <c r="I188" s="31" t="n"/>
      <c r="J188" s="30" t="n"/>
      <c r="K188" s="30" t="n"/>
      <c r="L188" s="30" t="n"/>
      <c r="M188" s="30" t="n"/>
      <c r="N188" s="32" t="n"/>
      <c r="O188" s="30" t="n"/>
      <c r="P188" s="32" t="n"/>
      <c r="Q188" s="30" t="n"/>
      <c r="R188" s="32" t="n"/>
      <c r="S188" s="30" t="n"/>
      <c r="T188" s="30" t="n"/>
      <c r="U188" s="30" t="n"/>
      <c r="V188" s="30" t="n"/>
      <c r="W188" s="29">
        <f>IF(H188="","",IF(H188="Kenya","Yes","No"))</f>
        <v/>
      </c>
      <c r="X188" s="29">
        <f>IF(B188="","",IF(COUNTIF($B$5:$B$3004,B188)&gt;1,"DUPLICATE","OK"))</f>
        <v/>
      </c>
      <c r="Y188" s="29">
        <f>IF(OR(U188="",V188="",V188="Excluded"),"",IF(COUNTIFS($U$5:$U$3004,U188,$V$5:$V$3004,"&lt;&gt;"&amp;V188,$V$5:$V$3004,"&lt;&gt;",$V$5:$V$3004,"&lt;&gt;Excluded")&gt;0,"LEAK RISK","OK"))</f>
        <v/>
      </c>
      <c r="Z188" s="30" t="n"/>
    </row>
    <row r="189">
      <c r="A189" s="30" t="n"/>
      <c r="B189" s="30" t="n"/>
      <c r="C189" s="30" t="n"/>
      <c r="D189" s="30" t="n"/>
      <c r="E189" s="30" t="n"/>
      <c r="F189" s="30" t="n"/>
      <c r="G189" s="30" t="n"/>
      <c r="H189" s="30" t="n"/>
      <c r="I189" s="31" t="n"/>
      <c r="J189" s="30" t="n"/>
      <c r="K189" s="30" t="n"/>
      <c r="L189" s="30" t="n"/>
      <c r="M189" s="30" t="n"/>
      <c r="N189" s="32" t="n"/>
      <c r="O189" s="30" t="n"/>
      <c r="P189" s="32" t="n"/>
      <c r="Q189" s="30" t="n"/>
      <c r="R189" s="32" t="n"/>
      <c r="S189" s="30" t="n"/>
      <c r="T189" s="30" t="n"/>
      <c r="U189" s="30" t="n"/>
      <c r="V189" s="30" t="n"/>
      <c r="W189" s="29">
        <f>IF(H189="","",IF(H189="Kenya","Yes","No"))</f>
        <v/>
      </c>
      <c r="X189" s="29">
        <f>IF(B189="","",IF(COUNTIF($B$5:$B$3004,B189)&gt;1,"DUPLICATE","OK"))</f>
        <v/>
      </c>
      <c r="Y189" s="29">
        <f>IF(OR(U189="",V189="",V189="Excluded"),"",IF(COUNTIFS($U$5:$U$3004,U189,$V$5:$V$3004,"&lt;&gt;"&amp;V189,$V$5:$V$3004,"&lt;&gt;",$V$5:$V$3004,"&lt;&gt;Excluded")&gt;0,"LEAK RISK","OK"))</f>
        <v/>
      </c>
      <c r="Z189" s="30" t="n"/>
    </row>
    <row r="190">
      <c r="A190" s="30" t="n"/>
      <c r="B190" s="30" t="n"/>
      <c r="C190" s="30" t="n"/>
      <c r="D190" s="30" t="n"/>
      <c r="E190" s="30" t="n"/>
      <c r="F190" s="30" t="n"/>
      <c r="G190" s="30" t="n"/>
      <c r="H190" s="30" t="n"/>
      <c r="I190" s="31" t="n"/>
      <c r="J190" s="30" t="n"/>
      <c r="K190" s="30" t="n"/>
      <c r="L190" s="30" t="n"/>
      <c r="M190" s="30" t="n"/>
      <c r="N190" s="32" t="n"/>
      <c r="O190" s="30" t="n"/>
      <c r="P190" s="32" t="n"/>
      <c r="Q190" s="30" t="n"/>
      <c r="R190" s="32" t="n"/>
      <c r="S190" s="30" t="n"/>
      <c r="T190" s="30" t="n"/>
      <c r="U190" s="30" t="n"/>
      <c r="V190" s="30" t="n"/>
      <c r="W190" s="29">
        <f>IF(H190="","",IF(H190="Kenya","Yes","No"))</f>
        <v/>
      </c>
      <c r="X190" s="29">
        <f>IF(B190="","",IF(COUNTIF($B$5:$B$3004,B190)&gt;1,"DUPLICATE","OK"))</f>
        <v/>
      </c>
      <c r="Y190" s="29">
        <f>IF(OR(U190="",V190="",V190="Excluded"),"",IF(COUNTIFS($U$5:$U$3004,U190,$V$5:$V$3004,"&lt;&gt;"&amp;V190,$V$5:$V$3004,"&lt;&gt;",$V$5:$V$3004,"&lt;&gt;Excluded")&gt;0,"LEAK RISK","OK"))</f>
        <v/>
      </c>
      <c r="Z190" s="30" t="n"/>
    </row>
    <row r="191">
      <c r="A191" s="30" t="n"/>
      <c r="B191" s="30" t="n"/>
      <c r="C191" s="30" t="n"/>
      <c r="D191" s="30" t="n"/>
      <c r="E191" s="30" t="n"/>
      <c r="F191" s="30" t="n"/>
      <c r="G191" s="30" t="n"/>
      <c r="H191" s="30" t="n"/>
      <c r="I191" s="31" t="n"/>
      <c r="J191" s="30" t="n"/>
      <c r="K191" s="30" t="n"/>
      <c r="L191" s="30" t="n"/>
      <c r="M191" s="30" t="n"/>
      <c r="N191" s="32" t="n"/>
      <c r="O191" s="30" t="n"/>
      <c r="P191" s="32" t="n"/>
      <c r="Q191" s="30" t="n"/>
      <c r="R191" s="32" t="n"/>
      <c r="S191" s="30" t="n"/>
      <c r="T191" s="30" t="n"/>
      <c r="U191" s="30" t="n"/>
      <c r="V191" s="30" t="n"/>
      <c r="W191" s="29">
        <f>IF(H191="","",IF(H191="Kenya","Yes","No"))</f>
        <v/>
      </c>
      <c r="X191" s="29">
        <f>IF(B191="","",IF(COUNTIF($B$5:$B$3004,B191)&gt;1,"DUPLICATE","OK"))</f>
        <v/>
      </c>
      <c r="Y191" s="29">
        <f>IF(OR(U191="",V191="",V191="Excluded"),"",IF(COUNTIFS($U$5:$U$3004,U191,$V$5:$V$3004,"&lt;&gt;"&amp;V191,$V$5:$V$3004,"&lt;&gt;",$V$5:$V$3004,"&lt;&gt;Excluded")&gt;0,"LEAK RISK","OK"))</f>
        <v/>
      </c>
      <c r="Z191" s="30" t="n"/>
    </row>
    <row r="192">
      <c r="A192" s="30" t="n"/>
      <c r="B192" s="30" t="n"/>
      <c r="C192" s="30" t="n"/>
      <c r="D192" s="30" t="n"/>
      <c r="E192" s="30" t="n"/>
      <c r="F192" s="30" t="n"/>
      <c r="G192" s="30" t="n"/>
      <c r="H192" s="30" t="n"/>
      <c r="I192" s="31" t="n"/>
      <c r="J192" s="30" t="n"/>
      <c r="K192" s="30" t="n"/>
      <c r="L192" s="30" t="n"/>
      <c r="M192" s="30" t="n"/>
      <c r="N192" s="32" t="n"/>
      <c r="O192" s="30" t="n"/>
      <c r="P192" s="32" t="n"/>
      <c r="Q192" s="30" t="n"/>
      <c r="R192" s="32" t="n"/>
      <c r="S192" s="30" t="n"/>
      <c r="T192" s="30" t="n"/>
      <c r="U192" s="30" t="n"/>
      <c r="V192" s="30" t="n"/>
      <c r="W192" s="29">
        <f>IF(H192="","",IF(H192="Kenya","Yes","No"))</f>
        <v/>
      </c>
      <c r="X192" s="29">
        <f>IF(B192="","",IF(COUNTIF($B$5:$B$3004,B192)&gt;1,"DUPLICATE","OK"))</f>
        <v/>
      </c>
      <c r="Y192" s="29">
        <f>IF(OR(U192="",V192="",V192="Excluded"),"",IF(COUNTIFS($U$5:$U$3004,U192,$V$5:$V$3004,"&lt;&gt;"&amp;V192,$V$5:$V$3004,"&lt;&gt;",$V$5:$V$3004,"&lt;&gt;Excluded")&gt;0,"LEAK RISK","OK"))</f>
        <v/>
      </c>
      <c r="Z192" s="30" t="n"/>
    </row>
    <row r="193">
      <c r="A193" s="30" t="n"/>
      <c r="B193" s="30" t="n"/>
      <c r="C193" s="30" t="n"/>
      <c r="D193" s="30" t="n"/>
      <c r="E193" s="30" t="n"/>
      <c r="F193" s="30" t="n"/>
      <c r="G193" s="30" t="n"/>
      <c r="H193" s="30" t="n"/>
      <c r="I193" s="31" t="n"/>
      <c r="J193" s="30" t="n"/>
      <c r="K193" s="30" t="n"/>
      <c r="L193" s="30" t="n"/>
      <c r="M193" s="30" t="n"/>
      <c r="N193" s="32" t="n"/>
      <c r="O193" s="30" t="n"/>
      <c r="P193" s="32" t="n"/>
      <c r="Q193" s="30" t="n"/>
      <c r="R193" s="32" t="n"/>
      <c r="S193" s="30" t="n"/>
      <c r="T193" s="30" t="n"/>
      <c r="U193" s="30" t="n"/>
      <c r="V193" s="30" t="n"/>
      <c r="W193" s="29">
        <f>IF(H193="","",IF(H193="Kenya","Yes","No"))</f>
        <v/>
      </c>
      <c r="X193" s="29">
        <f>IF(B193="","",IF(COUNTIF($B$5:$B$3004,B193)&gt;1,"DUPLICATE","OK"))</f>
        <v/>
      </c>
      <c r="Y193" s="29">
        <f>IF(OR(U193="",V193="",V193="Excluded"),"",IF(COUNTIFS($U$5:$U$3004,U193,$V$5:$V$3004,"&lt;&gt;"&amp;V193,$V$5:$V$3004,"&lt;&gt;",$V$5:$V$3004,"&lt;&gt;Excluded")&gt;0,"LEAK RISK","OK"))</f>
        <v/>
      </c>
      <c r="Z193" s="30" t="n"/>
    </row>
    <row r="194">
      <c r="A194" s="30" t="n"/>
      <c r="B194" s="30" t="n"/>
      <c r="C194" s="30" t="n"/>
      <c r="D194" s="30" t="n"/>
      <c r="E194" s="30" t="n"/>
      <c r="F194" s="30" t="n"/>
      <c r="G194" s="30" t="n"/>
      <c r="H194" s="30" t="n"/>
      <c r="I194" s="31" t="n"/>
      <c r="J194" s="30" t="n"/>
      <c r="K194" s="30" t="n"/>
      <c r="L194" s="30" t="n"/>
      <c r="M194" s="30" t="n"/>
      <c r="N194" s="32" t="n"/>
      <c r="O194" s="30" t="n"/>
      <c r="P194" s="32" t="n"/>
      <c r="Q194" s="30" t="n"/>
      <c r="R194" s="32" t="n"/>
      <c r="S194" s="30" t="n"/>
      <c r="T194" s="30" t="n"/>
      <c r="U194" s="30" t="n"/>
      <c r="V194" s="30" t="n"/>
      <c r="W194" s="29">
        <f>IF(H194="","",IF(H194="Kenya","Yes","No"))</f>
        <v/>
      </c>
      <c r="X194" s="29">
        <f>IF(B194="","",IF(COUNTIF($B$5:$B$3004,B194)&gt;1,"DUPLICATE","OK"))</f>
        <v/>
      </c>
      <c r="Y194" s="29">
        <f>IF(OR(U194="",V194="",V194="Excluded"),"",IF(COUNTIFS($U$5:$U$3004,U194,$V$5:$V$3004,"&lt;&gt;"&amp;V194,$V$5:$V$3004,"&lt;&gt;",$V$5:$V$3004,"&lt;&gt;Excluded")&gt;0,"LEAK RISK","OK"))</f>
        <v/>
      </c>
      <c r="Z194" s="30" t="n"/>
    </row>
    <row r="195">
      <c r="A195" s="30" t="n"/>
      <c r="B195" s="30" t="n"/>
      <c r="C195" s="30" t="n"/>
      <c r="D195" s="30" t="n"/>
      <c r="E195" s="30" t="n"/>
      <c r="F195" s="30" t="n"/>
      <c r="G195" s="30" t="n"/>
      <c r="H195" s="30" t="n"/>
      <c r="I195" s="31" t="n"/>
      <c r="J195" s="30" t="n"/>
      <c r="K195" s="30" t="n"/>
      <c r="L195" s="30" t="n"/>
      <c r="M195" s="30" t="n"/>
      <c r="N195" s="32" t="n"/>
      <c r="O195" s="30" t="n"/>
      <c r="P195" s="32" t="n"/>
      <c r="Q195" s="30" t="n"/>
      <c r="R195" s="32" t="n"/>
      <c r="S195" s="30" t="n"/>
      <c r="T195" s="30" t="n"/>
      <c r="U195" s="30" t="n"/>
      <c r="V195" s="30" t="n"/>
      <c r="W195" s="29">
        <f>IF(H195="","",IF(H195="Kenya","Yes","No"))</f>
        <v/>
      </c>
      <c r="X195" s="29">
        <f>IF(B195="","",IF(COUNTIF($B$5:$B$3004,B195)&gt;1,"DUPLICATE","OK"))</f>
        <v/>
      </c>
      <c r="Y195" s="29">
        <f>IF(OR(U195="",V195="",V195="Excluded"),"",IF(COUNTIFS($U$5:$U$3004,U195,$V$5:$V$3004,"&lt;&gt;"&amp;V195,$V$5:$V$3004,"&lt;&gt;",$V$5:$V$3004,"&lt;&gt;Excluded")&gt;0,"LEAK RISK","OK"))</f>
        <v/>
      </c>
      <c r="Z195" s="30" t="n"/>
    </row>
    <row r="196">
      <c r="A196" s="30" t="n"/>
      <c r="B196" s="30" t="n"/>
      <c r="C196" s="30" t="n"/>
      <c r="D196" s="30" t="n"/>
      <c r="E196" s="30" t="n"/>
      <c r="F196" s="30" t="n"/>
      <c r="G196" s="30" t="n"/>
      <c r="H196" s="30" t="n"/>
      <c r="I196" s="31" t="n"/>
      <c r="J196" s="30" t="n"/>
      <c r="K196" s="30" t="n"/>
      <c r="L196" s="30" t="n"/>
      <c r="M196" s="30" t="n"/>
      <c r="N196" s="32" t="n"/>
      <c r="O196" s="30" t="n"/>
      <c r="P196" s="32" t="n"/>
      <c r="Q196" s="30" t="n"/>
      <c r="R196" s="32" t="n"/>
      <c r="S196" s="30" t="n"/>
      <c r="T196" s="30" t="n"/>
      <c r="U196" s="30" t="n"/>
      <c r="V196" s="30" t="n"/>
      <c r="W196" s="29">
        <f>IF(H196="","",IF(H196="Kenya","Yes","No"))</f>
        <v/>
      </c>
      <c r="X196" s="29">
        <f>IF(B196="","",IF(COUNTIF($B$5:$B$3004,B196)&gt;1,"DUPLICATE","OK"))</f>
        <v/>
      </c>
      <c r="Y196" s="29">
        <f>IF(OR(U196="",V196="",V196="Excluded"),"",IF(COUNTIFS($U$5:$U$3004,U196,$V$5:$V$3004,"&lt;&gt;"&amp;V196,$V$5:$V$3004,"&lt;&gt;",$V$5:$V$3004,"&lt;&gt;Excluded")&gt;0,"LEAK RISK","OK"))</f>
        <v/>
      </c>
      <c r="Z196" s="30" t="n"/>
    </row>
    <row r="197">
      <c r="A197" s="30" t="n"/>
      <c r="B197" s="30" t="n"/>
      <c r="C197" s="30" t="n"/>
      <c r="D197" s="30" t="n"/>
      <c r="E197" s="30" t="n"/>
      <c r="F197" s="30" t="n"/>
      <c r="G197" s="30" t="n"/>
      <c r="H197" s="30" t="n"/>
      <c r="I197" s="31" t="n"/>
      <c r="J197" s="30" t="n"/>
      <c r="K197" s="30" t="n"/>
      <c r="L197" s="30" t="n"/>
      <c r="M197" s="30" t="n"/>
      <c r="N197" s="32" t="n"/>
      <c r="O197" s="30" t="n"/>
      <c r="P197" s="32" t="n"/>
      <c r="Q197" s="30" t="n"/>
      <c r="R197" s="32" t="n"/>
      <c r="S197" s="30" t="n"/>
      <c r="T197" s="30" t="n"/>
      <c r="U197" s="30" t="n"/>
      <c r="V197" s="30" t="n"/>
      <c r="W197" s="29">
        <f>IF(H197="","",IF(H197="Kenya","Yes","No"))</f>
        <v/>
      </c>
      <c r="X197" s="29">
        <f>IF(B197="","",IF(COUNTIF($B$5:$B$3004,B197)&gt;1,"DUPLICATE","OK"))</f>
        <v/>
      </c>
      <c r="Y197" s="29">
        <f>IF(OR(U197="",V197="",V197="Excluded"),"",IF(COUNTIFS($U$5:$U$3004,U197,$V$5:$V$3004,"&lt;&gt;"&amp;V197,$V$5:$V$3004,"&lt;&gt;",$V$5:$V$3004,"&lt;&gt;Excluded")&gt;0,"LEAK RISK","OK"))</f>
        <v/>
      </c>
      <c r="Z197" s="30" t="n"/>
    </row>
    <row r="198">
      <c r="A198" s="30" t="n"/>
      <c r="B198" s="30" t="n"/>
      <c r="C198" s="30" t="n"/>
      <c r="D198" s="30" t="n"/>
      <c r="E198" s="30" t="n"/>
      <c r="F198" s="30" t="n"/>
      <c r="G198" s="30" t="n"/>
      <c r="H198" s="30" t="n"/>
      <c r="I198" s="31" t="n"/>
      <c r="J198" s="30" t="n"/>
      <c r="K198" s="30" t="n"/>
      <c r="L198" s="30" t="n"/>
      <c r="M198" s="30" t="n"/>
      <c r="N198" s="32" t="n"/>
      <c r="O198" s="30" t="n"/>
      <c r="P198" s="32" t="n"/>
      <c r="Q198" s="30" t="n"/>
      <c r="R198" s="32" t="n"/>
      <c r="S198" s="30" t="n"/>
      <c r="T198" s="30" t="n"/>
      <c r="U198" s="30" t="n"/>
      <c r="V198" s="30" t="n"/>
      <c r="W198" s="29">
        <f>IF(H198="","",IF(H198="Kenya","Yes","No"))</f>
        <v/>
      </c>
      <c r="X198" s="29">
        <f>IF(B198="","",IF(COUNTIF($B$5:$B$3004,B198)&gt;1,"DUPLICATE","OK"))</f>
        <v/>
      </c>
      <c r="Y198" s="29">
        <f>IF(OR(U198="",V198="",V198="Excluded"),"",IF(COUNTIFS($U$5:$U$3004,U198,$V$5:$V$3004,"&lt;&gt;"&amp;V198,$V$5:$V$3004,"&lt;&gt;",$V$5:$V$3004,"&lt;&gt;Excluded")&gt;0,"LEAK RISK","OK"))</f>
        <v/>
      </c>
      <c r="Z198" s="30" t="n"/>
    </row>
    <row r="199">
      <c r="A199" s="30" t="n"/>
      <c r="B199" s="30" t="n"/>
      <c r="C199" s="30" t="n"/>
      <c r="D199" s="30" t="n"/>
      <c r="E199" s="30" t="n"/>
      <c r="F199" s="30" t="n"/>
      <c r="G199" s="30" t="n"/>
      <c r="H199" s="30" t="n"/>
      <c r="I199" s="31" t="n"/>
      <c r="J199" s="30" t="n"/>
      <c r="K199" s="30" t="n"/>
      <c r="L199" s="30" t="n"/>
      <c r="M199" s="30" t="n"/>
      <c r="N199" s="32" t="n"/>
      <c r="O199" s="30" t="n"/>
      <c r="P199" s="32" t="n"/>
      <c r="Q199" s="30" t="n"/>
      <c r="R199" s="32" t="n"/>
      <c r="S199" s="30" t="n"/>
      <c r="T199" s="30" t="n"/>
      <c r="U199" s="30" t="n"/>
      <c r="V199" s="30" t="n"/>
      <c r="W199" s="29">
        <f>IF(H199="","",IF(H199="Kenya","Yes","No"))</f>
        <v/>
      </c>
      <c r="X199" s="29">
        <f>IF(B199="","",IF(COUNTIF($B$5:$B$3004,B199)&gt;1,"DUPLICATE","OK"))</f>
        <v/>
      </c>
      <c r="Y199" s="29">
        <f>IF(OR(U199="",V199="",V199="Excluded"),"",IF(COUNTIFS($U$5:$U$3004,U199,$V$5:$V$3004,"&lt;&gt;"&amp;V199,$V$5:$V$3004,"&lt;&gt;",$V$5:$V$3004,"&lt;&gt;Excluded")&gt;0,"LEAK RISK","OK"))</f>
        <v/>
      </c>
      <c r="Z199" s="30" t="n"/>
    </row>
    <row r="200">
      <c r="A200" s="30" t="n"/>
      <c r="B200" s="30" t="n"/>
      <c r="C200" s="30" t="n"/>
      <c r="D200" s="30" t="n"/>
      <c r="E200" s="30" t="n"/>
      <c r="F200" s="30" t="n"/>
      <c r="G200" s="30" t="n"/>
      <c r="H200" s="30" t="n"/>
      <c r="I200" s="31" t="n"/>
      <c r="J200" s="30" t="n"/>
      <c r="K200" s="30" t="n"/>
      <c r="L200" s="30" t="n"/>
      <c r="M200" s="30" t="n"/>
      <c r="N200" s="32" t="n"/>
      <c r="O200" s="30" t="n"/>
      <c r="P200" s="32" t="n"/>
      <c r="Q200" s="30" t="n"/>
      <c r="R200" s="32" t="n"/>
      <c r="S200" s="30" t="n"/>
      <c r="T200" s="30" t="n"/>
      <c r="U200" s="30" t="n"/>
      <c r="V200" s="30" t="n"/>
      <c r="W200" s="29">
        <f>IF(H200="","",IF(H200="Kenya","Yes","No"))</f>
        <v/>
      </c>
      <c r="X200" s="29">
        <f>IF(B200="","",IF(COUNTIF($B$5:$B$3004,B200)&gt;1,"DUPLICATE","OK"))</f>
        <v/>
      </c>
      <c r="Y200" s="29">
        <f>IF(OR(U200="",V200="",V200="Excluded"),"",IF(COUNTIFS($U$5:$U$3004,U200,$V$5:$V$3004,"&lt;&gt;"&amp;V200,$V$5:$V$3004,"&lt;&gt;",$V$5:$V$3004,"&lt;&gt;Excluded")&gt;0,"LEAK RISK","OK"))</f>
        <v/>
      </c>
      <c r="Z200" s="30" t="n"/>
    </row>
    <row r="201">
      <c r="A201" s="30" t="n"/>
      <c r="B201" s="30" t="n"/>
      <c r="C201" s="30" t="n"/>
      <c r="D201" s="30" t="n"/>
      <c r="E201" s="30" t="n"/>
      <c r="F201" s="30" t="n"/>
      <c r="G201" s="30" t="n"/>
      <c r="H201" s="30" t="n"/>
      <c r="I201" s="31" t="n"/>
      <c r="J201" s="30" t="n"/>
      <c r="K201" s="30" t="n"/>
      <c r="L201" s="30" t="n"/>
      <c r="M201" s="30" t="n"/>
      <c r="N201" s="32" t="n"/>
      <c r="O201" s="30" t="n"/>
      <c r="P201" s="32" t="n"/>
      <c r="Q201" s="30" t="n"/>
      <c r="R201" s="32" t="n"/>
      <c r="S201" s="30" t="n"/>
      <c r="T201" s="30" t="n"/>
      <c r="U201" s="30" t="n"/>
      <c r="V201" s="30" t="n"/>
      <c r="W201" s="29">
        <f>IF(H201="","",IF(H201="Kenya","Yes","No"))</f>
        <v/>
      </c>
      <c r="X201" s="29">
        <f>IF(B201="","",IF(COUNTIF($B$5:$B$3004,B201)&gt;1,"DUPLICATE","OK"))</f>
        <v/>
      </c>
      <c r="Y201" s="29">
        <f>IF(OR(U201="",V201="",V201="Excluded"),"",IF(COUNTIFS($U$5:$U$3004,U201,$V$5:$V$3004,"&lt;&gt;"&amp;V201,$V$5:$V$3004,"&lt;&gt;",$V$5:$V$3004,"&lt;&gt;Excluded")&gt;0,"LEAK RISK","OK"))</f>
        <v/>
      </c>
      <c r="Z201" s="30" t="n"/>
    </row>
    <row r="202">
      <c r="A202" s="30" t="n"/>
      <c r="B202" s="30" t="n"/>
      <c r="C202" s="30" t="n"/>
      <c r="D202" s="30" t="n"/>
      <c r="E202" s="30" t="n"/>
      <c r="F202" s="30" t="n"/>
      <c r="G202" s="30" t="n"/>
      <c r="H202" s="30" t="n"/>
      <c r="I202" s="31" t="n"/>
      <c r="J202" s="30" t="n"/>
      <c r="K202" s="30" t="n"/>
      <c r="L202" s="30" t="n"/>
      <c r="M202" s="30" t="n"/>
      <c r="N202" s="32" t="n"/>
      <c r="O202" s="30" t="n"/>
      <c r="P202" s="32" t="n"/>
      <c r="Q202" s="30" t="n"/>
      <c r="R202" s="32" t="n"/>
      <c r="S202" s="30" t="n"/>
      <c r="T202" s="30" t="n"/>
      <c r="U202" s="30" t="n"/>
      <c r="V202" s="30" t="n"/>
      <c r="W202" s="29">
        <f>IF(H202="","",IF(H202="Kenya","Yes","No"))</f>
        <v/>
      </c>
      <c r="X202" s="29">
        <f>IF(B202="","",IF(COUNTIF($B$5:$B$3004,B202)&gt;1,"DUPLICATE","OK"))</f>
        <v/>
      </c>
      <c r="Y202" s="29">
        <f>IF(OR(U202="",V202="",V202="Excluded"),"",IF(COUNTIFS($U$5:$U$3004,U202,$V$5:$V$3004,"&lt;&gt;"&amp;V202,$V$5:$V$3004,"&lt;&gt;",$V$5:$V$3004,"&lt;&gt;Excluded")&gt;0,"LEAK RISK","OK"))</f>
        <v/>
      </c>
      <c r="Z202" s="30" t="n"/>
    </row>
    <row r="203">
      <c r="A203" s="30" t="n"/>
      <c r="B203" s="30" t="n"/>
      <c r="C203" s="30" t="n"/>
      <c r="D203" s="30" t="n"/>
      <c r="E203" s="30" t="n"/>
      <c r="F203" s="30" t="n"/>
      <c r="G203" s="30" t="n"/>
      <c r="H203" s="30" t="n"/>
      <c r="I203" s="31" t="n"/>
      <c r="J203" s="30" t="n"/>
      <c r="K203" s="30" t="n"/>
      <c r="L203" s="30" t="n"/>
      <c r="M203" s="30" t="n"/>
      <c r="N203" s="32" t="n"/>
      <c r="O203" s="30" t="n"/>
      <c r="P203" s="32" t="n"/>
      <c r="Q203" s="30" t="n"/>
      <c r="R203" s="32" t="n"/>
      <c r="S203" s="30" t="n"/>
      <c r="T203" s="30" t="n"/>
      <c r="U203" s="30" t="n"/>
      <c r="V203" s="30" t="n"/>
      <c r="W203" s="29">
        <f>IF(H203="","",IF(H203="Kenya","Yes","No"))</f>
        <v/>
      </c>
      <c r="X203" s="29">
        <f>IF(B203="","",IF(COUNTIF($B$5:$B$3004,B203)&gt;1,"DUPLICATE","OK"))</f>
        <v/>
      </c>
      <c r="Y203" s="29">
        <f>IF(OR(U203="",V203="",V203="Excluded"),"",IF(COUNTIFS($U$5:$U$3004,U203,$V$5:$V$3004,"&lt;&gt;"&amp;V203,$V$5:$V$3004,"&lt;&gt;",$V$5:$V$3004,"&lt;&gt;Excluded")&gt;0,"LEAK RISK","OK"))</f>
        <v/>
      </c>
      <c r="Z203" s="30" t="n"/>
    </row>
    <row r="204">
      <c r="A204" s="30" t="n"/>
      <c r="B204" s="30" t="n"/>
      <c r="C204" s="30" t="n"/>
      <c r="D204" s="30" t="n"/>
      <c r="E204" s="30" t="n"/>
      <c r="F204" s="30" t="n"/>
      <c r="G204" s="30" t="n"/>
      <c r="H204" s="30" t="n"/>
      <c r="I204" s="31" t="n"/>
      <c r="J204" s="30" t="n"/>
      <c r="K204" s="30" t="n"/>
      <c r="L204" s="30" t="n"/>
      <c r="M204" s="30" t="n"/>
      <c r="N204" s="32" t="n"/>
      <c r="O204" s="30" t="n"/>
      <c r="P204" s="32" t="n"/>
      <c r="Q204" s="30" t="n"/>
      <c r="R204" s="32" t="n"/>
      <c r="S204" s="30" t="n"/>
      <c r="T204" s="30" t="n"/>
      <c r="U204" s="30" t="n"/>
      <c r="V204" s="30" t="n"/>
      <c r="W204" s="29">
        <f>IF(H204="","",IF(H204="Kenya","Yes","No"))</f>
        <v/>
      </c>
      <c r="X204" s="29">
        <f>IF(B204="","",IF(COUNTIF($B$5:$B$3004,B204)&gt;1,"DUPLICATE","OK"))</f>
        <v/>
      </c>
      <c r="Y204" s="29">
        <f>IF(OR(U204="",V204="",V204="Excluded"),"",IF(COUNTIFS($U$5:$U$3004,U204,$V$5:$V$3004,"&lt;&gt;"&amp;V204,$V$5:$V$3004,"&lt;&gt;",$V$5:$V$3004,"&lt;&gt;Excluded")&gt;0,"LEAK RISK","OK"))</f>
        <v/>
      </c>
      <c r="Z204" s="30" t="n"/>
    </row>
    <row r="205">
      <c r="A205" s="30" t="n"/>
      <c r="B205" s="30" t="n"/>
      <c r="C205" s="30" t="n"/>
      <c r="D205" s="30" t="n"/>
      <c r="E205" s="30" t="n"/>
      <c r="F205" s="30" t="n"/>
      <c r="G205" s="30" t="n"/>
      <c r="H205" s="30" t="n"/>
      <c r="I205" s="31" t="n"/>
      <c r="J205" s="30" t="n"/>
      <c r="K205" s="30" t="n"/>
      <c r="L205" s="30" t="n"/>
      <c r="M205" s="30" t="n"/>
      <c r="N205" s="32" t="n"/>
      <c r="O205" s="30" t="n"/>
      <c r="P205" s="32" t="n"/>
      <c r="Q205" s="30" t="n"/>
      <c r="R205" s="32" t="n"/>
      <c r="S205" s="30" t="n"/>
      <c r="T205" s="30" t="n"/>
      <c r="U205" s="30" t="n"/>
      <c r="V205" s="30" t="n"/>
      <c r="W205" s="29">
        <f>IF(H205="","",IF(H205="Kenya","Yes","No"))</f>
        <v/>
      </c>
      <c r="X205" s="29">
        <f>IF(B205="","",IF(COUNTIF($B$5:$B$3004,B205)&gt;1,"DUPLICATE","OK"))</f>
        <v/>
      </c>
      <c r="Y205" s="29">
        <f>IF(OR(U205="",V205="",V205="Excluded"),"",IF(COUNTIFS($U$5:$U$3004,U205,$V$5:$V$3004,"&lt;&gt;"&amp;V205,$V$5:$V$3004,"&lt;&gt;",$V$5:$V$3004,"&lt;&gt;Excluded")&gt;0,"LEAK RISK","OK"))</f>
        <v/>
      </c>
      <c r="Z205" s="30" t="n"/>
    </row>
    <row r="206">
      <c r="A206" s="30" t="n"/>
      <c r="B206" s="30" t="n"/>
      <c r="C206" s="30" t="n"/>
      <c r="D206" s="30" t="n"/>
      <c r="E206" s="30" t="n"/>
      <c r="F206" s="30" t="n"/>
      <c r="G206" s="30" t="n"/>
      <c r="H206" s="30" t="n"/>
      <c r="I206" s="31" t="n"/>
      <c r="J206" s="30" t="n"/>
      <c r="K206" s="30" t="n"/>
      <c r="L206" s="30" t="n"/>
      <c r="M206" s="30" t="n"/>
      <c r="N206" s="32" t="n"/>
      <c r="O206" s="30" t="n"/>
      <c r="P206" s="32" t="n"/>
      <c r="Q206" s="30" t="n"/>
      <c r="R206" s="32" t="n"/>
      <c r="S206" s="30" t="n"/>
      <c r="T206" s="30" t="n"/>
      <c r="U206" s="30" t="n"/>
      <c r="V206" s="30" t="n"/>
      <c r="W206" s="29">
        <f>IF(H206="","",IF(H206="Kenya","Yes","No"))</f>
        <v/>
      </c>
      <c r="X206" s="29">
        <f>IF(B206="","",IF(COUNTIF($B$5:$B$3004,B206)&gt;1,"DUPLICATE","OK"))</f>
        <v/>
      </c>
      <c r="Y206" s="29">
        <f>IF(OR(U206="",V206="",V206="Excluded"),"",IF(COUNTIFS($U$5:$U$3004,U206,$V$5:$V$3004,"&lt;&gt;"&amp;V206,$V$5:$V$3004,"&lt;&gt;",$V$5:$V$3004,"&lt;&gt;Excluded")&gt;0,"LEAK RISK","OK"))</f>
        <v/>
      </c>
      <c r="Z206" s="30" t="n"/>
    </row>
    <row r="207">
      <c r="A207" s="30" t="n"/>
      <c r="B207" s="30" t="n"/>
      <c r="C207" s="30" t="n"/>
      <c r="D207" s="30" t="n"/>
      <c r="E207" s="30" t="n"/>
      <c r="F207" s="30" t="n"/>
      <c r="G207" s="30" t="n"/>
      <c r="H207" s="30" t="n"/>
      <c r="I207" s="31" t="n"/>
      <c r="J207" s="30" t="n"/>
      <c r="K207" s="30" t="n"/>
      <c r="L207" s="30" t="n"/>
      <c r="M207" s="30" t="n"/>
      <c r="N207" s="32" t="n"/>
      <c r="O207" s="30" t="n"/>
      <c r="P207" s="32" t="n"/>
      <c r="Q207" s="30" t="n"/>
      <c r="R207" s="32" t="n"/>
      <c r="S207" s="30" t="n"/>
      <c r="T207" s="30" t="n"/>
      <c r="U207" s="30" t="n"/>
      <c r="V207" s="30" t="n"/>
      <c r="W207" s="29">
        <f>IF(H207="","",IF(H207="Kenya","Yes","No"))</f>
        <v/>
      </c>
      <c r="X207" s="29">
        <f>IF(B207="","",IF(COUNTIF($B$5:$B$3004,B207)&gt;1,"DUPLICATE","OK"))</f>
        <v/>
      </c>
      <c r="Y207" s="29">
        <f>IF(OR(U207="",V207="",V207="Excluded"),"",IF(COUNTIFS($U$5:$U$3004,U207,$V$5:$V$3004,"&lt;&gt;"&amp;V207,$V$5:$V$3004,"&lt;&gt;",$V$5:$V$3004,"&lt;&gt;Excluded")&gt;0,"LEAK RISK","OK"))</f>
        <v/>
      </c>
      <c r="Z207" s="30" t="n"/>
    </row>
    <row r="208">
      <c r="A208" s="30" t="n"/>
      <c r="B208" s="30" t="n"/>
      <c r="C208" s="30" t="n"/>
      <c r="D208" s="30" t="n"/>
      <c r="E208" s="30" t="n"/>
      <c r="F208" s="30" t="n"/>
      <c r="G208" s="30" t="n"/>
      <c r="H208" s="30" t="n"/>
      <c r="I208" s="31" t="n"/>
      <c r="J208" s="30" t="n"/>
      <c r="K208" s="30" t="n"/>
      <c r="L208" s="30" t="n"/>
      <c r="M208" s="30" t="n"/>
      <c r="N208" s="32" t="n"/>
      <c r="O208" s="30" t="n"/>
      <c r="P208" s="32" t="n"/>
      <c r="Q208" s="30" t="n"/>
      <c r="R208" s="32" t="n"/>
      <c r="S208" s="30" t="n"/>
      <c r="T208" s="30" t="n"/>
      <c r="U208" s="30" t="n"/>
      <c r="V208" s="30" t="n"/>
      <c r="W208" s="29">
        <f>IF(H208="","",IF(H208="Kenya","Yes","No"))</f>
        <v/>
      </c>
      <c r="X208" s="29">
        <f>IF(B208="","",IF(COUNTIF($B$5:$B$3004,B208)&gt;1,"DUPLICATE","OK"))</f>
        <v/>
      </c>
      <c r="Y208" s="29">
        <f>IF(OR(U208="",V208="",V208="Excluded"),"",IF(COUNTIFS($U$5:$U$3004,U208,$V$5:$V$3004,"&lt;&gt;"&amp;V208,$V$5:$V$3004,"&lt;&gt;",$V$5:$V$3004,"&lt;&gt;Excluded")&gt;0,"LEAK RISK","OK"))</f>
        <v/>
      </c>
      <c r="Z208" s="30" t="n"/>
    </row>
    <row r="209">
      <c r="A209" s="30" t="n"/>
      <c r="B209" s="30" t="n"/>
      <c r="C209" s="30" t="n"/>
      <c r="D209" s="30" t="n"/>
      <c r="E209" s="30" t="n"/>
      <c r="F209" s="30" t="n"/>
      <c r="G209" s="30" t="n"/>
      <c r="H209" s="30" t="n"/>
      <c r="I209" s="31" t="n"/>
      <c r="J209" s="30" t="n"/>
      <c r="K209" s="30" t="n"/>
      <c r="L209" s="30" t="n"/>
      <c r="M209" s="30" t="n"/>
      <c r="N209" s="32" t="n"/>
      <c r="O209" s="30" t="n"/>
      <c r="P209" s="32" t="n"/>
      <c r="Q209" s="30" t="n"/>
      <c r="R209" s="32" t="n"/>
      <c r="S209" s="30" t="n"/>
      <c r="T209" s="30" t="n"/>
      <c r="U209" s="30" t="n"/>
      <c r="V209" s="30" t="n"/>
      <c r="W209" s="29">
        <f>IF(H209="","",IF(H209="Kenya","Yes","No"))</f>
        <v/>
      </c>
      <c r="X209" s="29">
        <f>IF(B209="","",IF(COUNTIF($B$5:$B$3004,B209)&gt;1,"DUPLICATE","OK"))</f>
        <v/>
      </c>
      <c r="Y209" s="29">
        <f>IF(OR(U209="",V209="",V209="Excluded"),"",IF(COUNTIFS($U$5:$U$3004,U209,$V$5:$V$3004,"&lt;&gt;"&amp;V209,$V$5:$V$3004,"&lt;&gt;",$V$5:$V$3004,"&lt;&gt;Excluded")&gt;0,"LEAK RISK","OK"))</f>
        <v/>
      </c>
      <c r="Z209" s="30" t="n"/>
    </row>
    <row r="210">
      <c r="A210" s="30" t="n"/>
      <c r="B210" s="30" t="n"/>
      <c r="C210" s="30" t="n"/>
      <c r="D210" s="30" t="n"/>
      <c r="E210" s="30" t="n"/>
      <c r="F210" s="30" t="n"/>
      <c r="G210" s="30" t="n"/>
      <c r="H210" s="30" t="n"/>
      <c r="I210" s="31" t="n"/>
      <c r="J210" s="30" t="n"/>
      <c r="K210" s="30" t="n"/>
      <c r="L210" s="30" t="n"/>
      <c r="M210" s="30" t="n"/>
      <c r="N210" s="32" t="n"/>
      <c r="O210" s="30" t="n"/>
      <c r="P210" s="32" t="n"/>
      <c r="Q210" s="30" t="n"/>
      <c r="R210" s="32" t="n"/>
      <c r="S210" s="30" t="n"/>
      <c r="T210" s="30" t="n"/>
      <c r="U210" s="30" t="n"/>
      <c r="V210" s="30" t="n"/>
      <c r="W210" s="29">
        <f>IF(H210="","",IF(H210="Kenya","Yes","No"))</f>
        <v/>
      </c>
      <c r="X210" s="29">
        <f>IF(B210="","",IF(COUNTIF($B$5:$B$3004,B210)&gt;1,"DUPLICATE","OK"))</f>
        <v/>
      </c>
      <c r="Y210" s="29">
        <f>IF(OR(U210="",V210="",V210="Excluded"),"",IF(COUNTIFS($U$5:$U$3004,U210,$V$5:$V$3004,"&lt;&gt;"&amp;V210,$V$5:$V$3004,"&lt;&gt;",$V$5:$V$3004,"&lt;&gt;Excluded")&gt;0,"LEAK RISK","OK"))</f>
        <v/>
      </c>
      <c r="Z210" s="30" t="n"/>
    </row>
    <row r="211">
      <c r="A211" s="30" t="n"/>
      <c r="B211" s="30" t="n"/>
      <c r="C211" s="30" t="n"/>
      <c r="D211" s="30" t="n"/>
      <c r="E211" s="30" t="n"/>
      <c r="F211" s="30" t="n"/>
      <c r="G211" s="30" t="n"/>
      <c r="H211" s="30" t="n"/>
      <c r="I211" s="31" t="n"/>
      <c r="J211" s="30" t="n"/>
      <c r="K211" s="30" t="n"/>
      <c r="L211" s="30" t="n"/>
      <c r="M211" s="30" t="n"/>
      <c r="N211" s="32" t="n"/>
      <c r="O211" s="30" t="n"/>
      <c r="P211" s="32" t="n"/>
      <c r="Q211" s="30" t="n"/>
      <c r="R211" s="32" t="n"/>
      <c r="S211" s="30" t="n"/>
      <c r="T211" s="30" t="n"/>
      <c r="U211" s="30" t="n"/>
      <c r="V211" s="30" t="n"/>
      <c r="W211" s="29">
        <f>IF(H211="","",IF(H211="Kenya","Yes","No"))</f>
        <v/>
      </c>
      <c r="X211" s="29">
        <f>IF(B211="","",IF(COUNTIF($B$5:$B$3004,B211)&gt;1,"DUPLICATE","OK"))</f>
        <v/>
      </c>
      <c r="Y211" s="29">
        <f>IF(OR(U211="",V211="",V211="Excluded"),"",IF(COUNTIFS($U$5:$U$3004,U211,$V$5:$V$3004,"&lt;&gt;"&amp;V211,$V$5:$V$3004,"&lt;&gt;",$V$5:$V$3004,"&lt;&gt;Excluded")&gt;0,"LEAK RISK","OK"))</f>
        <v/>
      </c>
      <c r="Z211" s="30" t="n"/>
    </row>
    <row r="212">
      <c r="A212" s="30" t="n"/>
      <c r="B212" s="30" t="n"/>
      <c r="C212" s="30" t="n"/>
      <c r="D212" s="30" t="n"/>
      <c r="E212" s="30" t="n"/>
      <c r="F212" s="30" t="n"/>
      <c r="G212" s="30" t="n"/>
      <c r="H212" s="30" t="n"/>
      <c r="I212" s="31" t="n"/>
      <c r="J212" s="30" t="n"/>
      <c r="K212" s="30" t="n"/>
      <c r="L212" s="30" t="n"/>
      <c r="M212" s="30" t="n"/>
      <c r="N212" s="32" t="n"/>
      <c r="O212" s="30" t="n"/>
      <c r="P212" s="32" t="n"/>
      <c r="Q212" s="30" t="n"/>
      <c r="R212" s="32" t="n"/>
      <c r="S212" s="30" t="n"/>
      <c r="T212" s="30" t="n"/>
      <c r="U212" s="30" t="n"/>
      <c r="V212" s="30" t="n"/>
      <c r="W212" s="29">
        <f>IF(H212="","",IF(H212="Kenya","Yes","No"))</f>
        <v/>
      </c>
      <c r="X212" s="29">
        <f>IF(B212="","",IF(COUNTIF($B$5:$B$3004,B212)&gt;1,"DUPLICATE","OK"))</f>
        <v/>
      </c>
      <c r="Y212" s="29">
        <f>IF(OR(U212="",V212="",V212="Excluded"),"",IF(COUNTIFS($U$5:$U$3004,U212,$V$5:$V$3004,"&lt;&gt;"&amp;V212,$V$5:$V$3004,"&lt;&gt;",$V$5:$V$3004,"&lt;&gt;Excluded")&gt;0,"LEAK RISK","OK"))</f>
        <v/>
      </c>
      <c r="Z212" s="30" t="n"/>
    </row>
    <row r="213">
      <c r="A213" s="30" t="n"/>
      <c r="B213" s="30" t="n"/>
      <c r="C213" s="30" t="n"/>
      <c r="D213" s="30" t="n"/>
      <c r="E213" s="30" t="n"/>
      <c r="F213" s="30" t="n"/>
      <c r="G213" s="30" t="n"/>
      <c r="H213" s="30" t="n"/>
      <c r="I213" s="31" t="n"/>
      <c r="J213" s="30" t="n"/>
      <c r="K213" s="30" t="n"/>
      <c r="L213" s="30" t="n"/>
      <c r="M213" s="30" t="n"/>
      <c r="N213" s="32" t="n"/>
      <c r="O213" s="30" t="n"/>
      <c r="P213" s="32" t="n"/>
      <c r="Q213" s="30" t="n"/>
      <c r="R213" s="32" t="n"/>
      <c r="S213" s="30" t="n"/>
      <c r="T213" s="30" t="n"/>
      <c r="U213" s="30" t="n"/>
      <c r="V213" s="30" t="n"/>
      <c r="W213" s="29">
        <f>IF(H213="","",IF(H213="Kenya","Yes","No"))</f>
        <v/>
      </c>
      <c r="X213" s="29">
        <f>IF(B213="","",IF(COUNTIF($B$5:$B$3004,B213)&gt;1,"DUPLICATE","OK"))</f>
        <v/>
      </c>
      <c r="Y213" s="29">
        <f>IF(OR(U213="",V213="",V213="Excluded"),"",IF(COUNTIFS($U$5:$U$3004,U213,$V$5:$V$3004,"&lt;&gt;"&amp;V213,$V$5:$V$3004,"&lt;&gt;",$V$5:$V$3004,"&lt;&gt;Excluded")&gt;0,"LEAK RISK","OK"))</f>
        <v/>
      </c>
      <c r="Z213" s="30" t="n"/>
    </row>
    <row r="214">
      <c r="A214" s="30" t="n"/>
      <c r="B214" s="30" t="n"/>
      <c r="C214" s="30" t="n"/>
      <c r="D214" s="30" t="n"/>
      <c r="E214" s="30" t="n"/>
      <c r="F214" s="30" t="n"/>
      <c r="G214" s="30" t="n"/>
      <c r="H214" s="30" t="n"/>
      <c r="I214" s="31" t="n"/>
      <c r="J214" s="30" t="n"/>
      <c r="K214" s="30" t="n"/>
      <c r="L214" s="30" t="n"/>
      <c r="M214" s="30" t="n"/>
      <c r="N214" s="32" t="n"/>
      <c r="O214" s="30" t="n"/>
      <c r="P214" s="32" t="n"/>
      <c r="Q214" s="30" t="n"/>
      <c r="R214" s="32" t="n"/>
      <c r="S214" s="30" t="n"/>
      <c r="T214" s="30" t="n"/>
      <c r="U214" s="30" t="n"/>
      <c r="V214" s="30" t="n"/>
      <c r="W214" s="29">
        <f>IF(H214="","",IF(H214="Kenya","Yes","No"))</f>
        <v/>
      </c>
      <c r="X214" s="29">
        <f>IF(B214="","",IF(COUNTIF($B$5:$B$3004,B214)&gt;1,"DUPLICATE","OK"))</f>
        <v/>
      </c>
      <c r="Y214" s="29">
        <f>IF(OR(U214="",V214="",V214="Excluded"),"",IF(COUNTIFS($U$5:$U$3004,U214,$V$5:$V$3004,"&lt;&gt;"&amp;V214,$V$5:$V$3004,"&lt;&gt;",$V$5:$V$3004,"&lt;&gt;Excluded")&gt;0,"LEAK RISK","OK"))</f>
        <v/>
      </c>
      <c r="Z214" s="30" t="n"/>
    </row>
    <row r="215">
      <c r="A215" s="30" t="n"/>
      <c r="B215" s="30" t="n"/>
      <c r="C215" s="30" t="n"/>
      <c r="D215" s="30" t="n"/>
      <c r="E215" s="30" t="n"/>
      <c r="F215" s="30" t="n"/>
      <c r="G215" s="30" t="n"/>
      <c r="H215" s="30" t="n"/>
      <c r="I215" s="31" t="n"/>
      <c r="J215" s="30" t="n"/>
      <c r="K215" s="30" t="n"/>
      <c r="L215" s="30" t="n"/>
      <c r="M215" s="30" t="n"/>
      <c r="N215" s="32" t="n"/>
      <c r="O215" s="30" t="n"/>
      <c r="P215" s="32" t="n"/>
      <c r="Q215" s="30" t="n"/>
      <c r="R215" s="32" t="n"/>
      <c r="S215" s="30" t="n"/>
      <c r="T215" s="30" t="n"/>
      <c r="U215" s="30" t="n"/>
      <c r="V215" s="30" t="n"/>
      <c r="W215" s="29">
        <f>IF(H215="","",IF(H215="Kenya","Yes","No"))</f>
        <v/>
      </c>
      <c r="X215" s="29">
        <f>IF(B215="","",IF(COUNTIF($B$5:$B$3004,B215)&gt;1,"DUPLICATE","OK"))</f>
        <v/>
      </c>
      <c r="Y215" s="29">
        <f>IF(OR(U215="",V215="",V215="Excluded"),"",IF(COUNTIFS($U$5:$U$3004,U215,$V$5:$V$3004,"&lt;&gt;"&amp;V215,$V$5:$V$3004,"&lt;&gt;",$V$5:$V$3004,"&lt;&gt;Excluded")&gt;0,"LEAK RISK","OK"))</f>
        <v/>
      </c>
      <c r="Z215" s="30" t="n"/>
    </row>
    <row r="216">
      <c r="A216" s="30" t="n"/>
      <c r="B216" s="30" t="n"/>
      <c r="C216" s="30" t="n"/>
      <c r="D216" s="30" t="n"/>
      <c r="E216" s="30" t="n"/>
      <c r="F216" s="30" t="n"/>
      <c r="G216" s="30" t="n"/>
      <c r="H216" s="30" t="n"/>
      <c r="I216" s="31" t="n"/>
      <c r="J216" s="30" t="n"/>
      <c r="K216" s="30" t="n"/>
      <c r="L216" s="30" t="n"/>
      <c r="M216" s="30" t="n"/>
      <c r="N216" s="32" t="n"/>
      <c r="O216" s="30" t="n"/>
      <c r="P216" s="32" t="n"/>
      <c r="Q216" s="30" t="n"/>
      <c r="R216" s="32" t="n"/>
      <c r="S216" s="30" t="n"/>
      <c r="T216" s="30" t="n"/>
      <c r="U216" s="30" t="n"/>
      <c r="V216" s="30" t="n"/>
      <c r="W216" s="29">
        <f>IF(H216="","",IF(H216="Kenya","Yes","No"))</f>
        <v/>
      </c>
      <c r="X216" s="29">
        <f>IF(B216="","",IF(COUNTIF($B$5:$B$3004,B216)&gt;1,"DUPLICATE","OK"))</f>
        <v/>
      </c>
      <c r="Y216" s="29">
        <f>IF(OR(U216="",V216="",V216="Excluded"),"",IF(COUNTIFS($U$5:$U$3004,U216,$V$5:$V$3004,"&lt;&gt;"&amp;V216,$V$5:$V$3004,"&lt;&gt;",$V$5:$V$3004,"&lt;&gt;Excluded")&gt;0,"LEAK RISK","OK"))</f>
        <v/>
      </c>
      <c r="Z216" s="30" t="n"/>
    </row>
    <row r="217">
      <c r="A217" s="30" t="n"/>
      <c r="B217" s="30" t="n"/>
      <c r="C217" s="30" t="n"/>
      <c r="D217" s="30" t="n"/>
      <c r="E217" s="30" t="n"/>
      <c r="F217" s="30" t="n"/>
      <c r="G217" s="30" t="n"/>
      <c r="H217" s="30" t="n"/>
      <c r="I217" s="31" t="n"/>
      <c r="J217" s="30" t="n"/>
      <c r="K217" s="30" t="n"/>
      <c r="L217" s="30" t="n"/>
      <c r="M217" s="30" t="n"/>
      <c r="N217" s="32" t="n"/>
      <c r="O217" s="30" t="n"/>
      <c r="P217" s="32" t="n"/>
      <c r="Q217" s="30" t="n"/>
      <c r="R217" s="32" t="n"/>
      <c r="S217" s="30" t="n"/>
      <c r="T217" s="30" t="n"/>
      <c r="U217" s="30" t="n"/>
      <c r="V217" s="30" t="n"/>
      <c r="W217" s="29">
        <f>IF(H217="","",IF(H217="Kenya","Yes","No"))</f>
        <v/>
      </c>
      <c r="X217" s="29">
        <f>IF(B217="","",IF(COUNTIF($B$5:$B$3004,B217)&gt;1,"DUPLICATE","OK"))</f>
        <v/>
      </c>
      <c r="Y217" s="29">
        <f>IF(OR(U217="",V217="",V217="Excluded"),"",IF(COUNTIFS($U$5:$U$3004,U217,$V$5:$V$3004,"&lt;&gt;"&amp;V217,$V$5:$V$3004,"&lt;&gt;",$V$5:$V$3004,"&lt;&gt;Excluded")&gt;0,"LEAK RISK","OK"))</f>
        <v/>
      </c>
      <c r="Z217" s="30" t="n"/>
    </row>
    <row r="218">
      <c r="A218" s="30" t="n"/>
      <c r="B218" s="30" t="n"/>
      <c r="C218" s="30" t="n"/>
      <c r="D218" s="30" t="n"/>
      <c r="E218" s="30" t="n"/>
      <c r="F218" s="30" t="n"/>
      <c r="G218" s="30" t="n"/>
      <c r="H218" s="30" t="n"/>
      <c r="I218" s="31" t="n"/>
      <c r="J218" s="30" t="n"/>
      <c r="K218" s="30" t="n"/>
      <c r="L218" s="30" t="n"/>
      <c r="M218" s="30" t="n"/>
      <c r="N218" s="32" t="n"/>
      <c r="O218" s="30" t="n"/>
      <c r="P218" s="32" t="n"/>
      <c r="Q218" s="30" t="n"/>
      <c r="R218" s="32" t="n"/>
      <c r="S218" s="30" t="n"/>
      <c r="T218" s="30" t="n"/>
      <c r="U218" s="30" t="n"/>
      <c r="V218" s="30" t="n"/>
      <c r="W218" s="29">
        <f>IF(H218="","",IF(H218="Kenya","Yes","No"))</f>
        <v/>
      </c>
      <c r="X218" s="29">
        <f>IF(B218="","",IF(COUNTIF($B$5:$B$3004,B218)&gt;1,"DUPLICATE","OK"))</f>
        <v/>
      </c>
      <c r="Y218" s="29">
        <f>IF(OR(U218="",V218="",V218="Excluded"),"",IF(COUNTIFS($U$5:$U$3004,U218,$V$5:$V$3004,"&lt;&gt;"&amp;V218,$V$5:$V$3004,"&lt;&gt;",$V$5:$V$3004,"&lt;&gt;Excluded")&gt;0,"LEAK RISK","OK"))</f>
        <v/>
      </c>
      <c r="Z218" s="30" t="n"/>
    </row>
    <row r="219">
      <c r="A219" s="30" t="n"/>
      <c r="B219" s="30" t="n"/>
      <c r="C219" s="30" t="n"/>
      <c r="D219" s="30" t="n"/>
      <c r="E219" s="30" t="n"/>
      <c r="F219" s="30" t="n"/>
      <c r="G219" s="30" t="n"/>
      <c r="H219" s="30" t="n"/>
      <c r="I219" s="31" t="n"/>
      <c r="J219" s="30" t="n"/>
      <c r="K219" s="30" t="n"/>
      <c r="L219" s="30" t="n"/>
      <c r="M219" s="30" t="n"/>
      <c r="N219" s="32" t="n"/>
      <c r="O219" s="30" t="n"/>
      <c r="P219" s="32" t="n"/>
      <c r="Q219" s="30" t="n"/>
      <c r="R219" s="32" t="n"/>
      <c r="S219" s="30" t="n"/>
      <c r="T219" s="30" t="n"/>
      <c r="U219" s="30" t="n"/>
      <c r="V219" s="30" t="n"/>
      <c r="W219" s="29">
        <f>IF(H219="","",IF(H219="Kenya","Yes","No"))</f>
        <v/>
      </c>
      <c r="X219" s="29">
        <f>IF(B219="","",IF(COUNTIF($B$5:$B$3004,B219)&gt;1,"DUPLICATE","OK"))</f>
        <v/>
      </c>
      <c r="Y219" s="29">
        <f>IF(OR(U219="",V219="",V219="Excluded"),"",IF(COUNTIFS($U$5:$U$3004,U219,$V$5:$V$3004,"&lt;&gt;"&amp;V219,$V$5:$V$3004,"&lt;&gt;",$V$5:$V$3004,"&lt;&gt;Excluded")&gt;0,"LEAK RISK","OK"))</f>
        <v/>
      </c>
      <c r="Z219" s="30" t="n"/>
    </row>
    <row r="220">
      <c r="A220" s="30" t="n"/>
      <c r="B220" s="30" t="n"/>
      <c r="C220" s="30" t="n"/>
      <c r="D220" s="30" t="n"/>
      <c r="E220" s="30" t="n"/>
      <c r="F220" s="30" t="n"/>
      <c r="G220" s="30" t="n"/>
      <c r="H220" s="30" t="n"/>
      <c r="I220" s="31" t="n"/>
      <c r="J220" s="30" t="n"/>
      <c r="K220" s="30" t="n"/>
      <c r="L220" s="30" t="n"/>
      <c r="M220" s="30" t="n"/>
      <c r="N220" s="32" t="n"/>
      <c r="O220" s="30" t="n"/>
      <c r="P220" s="32" t="n"/>
      <c r="Q220" s="30" t="n"/>
      <c r="R220" s="32" t="n"/>
      <c r="S220" s="30" t="n"/>
      <c r="T220" s="30" t="n"/>
      <c r="U220" s="30" t="n"/>
      <c r="V220" s="30" t="n"/>
      <c r="W220" s="29">
        <f>IF(H220="","",IF(H220="Kenya","Yes","No"))</f>
        <v/>
      </c>
      <c r="X220" s="29">
        <f>IF(B220="","",IF(COUNTIF($B$5:$B$3004,B220)&gt;1,"DUPLICATE","OK"))</f>
        <v/>
      </c>
      <c r="Y220" s="29">
        <f>IF(OR(U220="",V220="",V220="Excluded"),"",IF(COUNTIFS($U$5:$U$3004,U220,$V$5:$V$3004,"&lt;&gt;"&amp;V220,$V$5:$V$3004,"&lt;&gt;",$V$5:$V$3004,"&lt;&gt;Excluded")&gt;0,"LEAK RISK","OK"))</f>
        <v/>
      </c>
      <c r="Z220" s="30" t="n"/>
    </row>
    <row r="221">
      <c r="A221" s="30" t="n"/>
      <c r="B221" s="30" t="n"/>
      <c r="C221" s="30" t="n"/>
      <c r="D221" s="30" t="n"/>
      <c r="E221" s="30" t="n"/>
      <c r="F221" s="30" t="n"/>
      <c r="G221" s="30" t="n"/>
      <c r="H221" s="30" t="n"/>
      <c r="I221" s="31" t="n"/>
      <c r="J221" s="30" t="n"/>
      <c r="K221" s="30" t="n"/>
      <c r="L221" s="30" t="n"/>
      <c r="M221" s="30" t="n"/>
      <c r="N221" s="32" t="n"/>
      <c r="O221" s="30" t="n"/>
      <c r="P221" s="32" t="n"/>
      <c r="Q221" s="30" t="n"/>
      <c r="R221" s="32" t="n"/>
      <c r="S221" s="30" t="n"/>
      <c r="T221" s="30" t="n"/>
      <c r="U221" s="30" t="n"/>
      <c r="V221" s="30" t="n"/>
      <c r="W221" s="29">
        <f>IF(H221="","",IF(H221="Kenya","Yes","No"))</f>
        <v/>
      </c>
      <c r="X221" s="29">
        <f>IF(B221="","",IF(COUNTIF($B$5:$B$3004,B221)&gt;1,"DUPLICATE","OK"))</f>
        <v/>
      </c>
      <c r="Y221" s="29">
        <f>IF(OR(U221="",V221="",V221="Excluded"),"",IF(COUNTIFS($U$5:$U$3004,U221,$V$5:$V$3004,"&lt;&gt;"&amp;V221,$V$5:$V$3004,"&lt;&gt;",$V$5:$V$3004,"&lt;&gt;Excluded")&gt;0,"LEAK RISK","OK"))</f>
        <v/>
      </c>
      <c r="Z221" s="30" t="n"/>
    </row>
    <row r="222">
      <c r="A222" s="30" t="n"/>
      <c r="B222" s="30" t="n"/>
      <c r="C222" s="30" t="n"/>
      <c r="D222" s="30" t="n"/>
      <c r="E222" s="30" t="n"/>
      <c r="F222" s="30" t="n"/>
      <c r="G222" s="30" t="n"/>
      <c r="H222" s="30" t="n"/>
      <c r="I222" s="31" t="n"/>
      <c r="J222" s="30" t="n"/>
      <c r="K222" s="30" t="n"/>
      <c r="L222" s="30" t="n"/>
      <c r="M222" s="30" t="n"/>
      <c r="N222" s="32" t="n"/>
      <c r="O222" s="30" t="n"/>
      <c r="P222" s="32" t="n"/>
      <c r="Q222" s="30" t="n"/>
      <c r="R222" s="32" t="n"/>
      <c r="S222" s="30" t="n"/>
      <c r="T222" s="30" t="n"/>
      <c r="U222" s="30" t="n"/>
      <c r="V222" s="30" t="n"/>
      <c r="W222" s="29">
        <f>IF(H222="","",IF(H222="Kenya","Yes","No"))</f>
        <v/>
      </c>
      <c r="X222" s="29">
        <f>IF(B222="","",IF(COUNTIF($B$5:$B$3004,B222)&gt;1,"DUPLICATE","OK"))</f>
        <v/>
      </c>
      <c r="Y222" s="29">
        <f>IF(OR(U222="",V222="",V222="Excluded"),"",IF(COUNTIFS($U$5:$U$3004,U222,$V$5:$V$3004,"&lt;&gt;"&amp;V222,$V$5:$V$3004,"&lt;&gt;",$V$5:$V$3004,"&lt;&gt;Excluded")&gt;0,"LEAK RISK","OK"))</f>
        <v/>
      </c>
      <c r="Z222" s="30" t="n"/>
    </row>
    <row r="223">
      <c r="A223" s="30" t="n"/>
      <c r="B223" s="30" t="n"/>
      <c r="C223" s="30" t="n"/>
      <c r="D223" s="30" t="n"/>
      <c r="E223" s="30" t="n"/>
      <c r="F223" s="30" t="n"/>
      <c r="G223" s="30" t="n"/>
      <c r="H223" s="30" t="n"/>
      <c r="I223" s="31" t="n"/>
      <c r="J223" s="30" t="n"/>
      <c r="K223" s="30" t="n"/>
      <c r="L223" s="30" t="n"/>
      <c r="M223" s="30" t="n"/>
      <c r="N223" s="32" t="n"/>
      <c r="O223" s="30" t="n"/>
      <c r="P223" s="32" t="n"/>
      <c r="Q223" s="30" t="n"/>
      <c r="R223" s="32" t="n"/>
      <c r="S223" s="30" t="n"/>
      <c r="T223" s="30" t="n"/>
      <c r="U223" s="30" t="n"/>
      <c r="V223" s="30" t="n"/>
      <c r="W223" s="29">
        <f>IF(H223="","",IF(H223="Kenya","Yes","No"))</f>
        <v/>
      </c>
      <c r="X223" s="29">
        <f>IF(B223="","",IF(COUNTIF($B$5:$B$3004,B223)&gt;1,"DUPLICATE","OK"))</f>
        <v/>
      </c>
      <c r="Y223" s="29">
        <f>IF(OR(U223="",V223="",V223="Excluded"),"",IF(COUNTIFS($U$5:$U$3004,U223,$V$5:$V$3004,"&lt;&gt;"&amp;V223,$V$5:$V$3004,"&lt;&gt;",$V$5:$V$3004,"&lt;&gt;Excluded")&gt;0,"LEAK RISK","OK"))</f>
        <v/>
      </c>
      <c r="Z223" s="30" t="n"/>
    </row>
    <row r="224">
      <c r="A224" s="30" t="n"/>
      <c r="B224" s="30" t="n"/>
      <c r="C224" s="30" t="n"/>
      <c r="D224" s="30" t="n"/>
      <c r="E224" s="30" t="n"/>
      <c r="F224" s="30" t="n"/>
      <c r="G224" s="30" t="n"/>
      <c r="H224" s="30" t="n"/>
      <c r="I224" s="31" t="n"/>
      <c r="J224" s="30" t="n"/>
      <c r="K224" s="30" t="n"/>
      <c r="L224" s="30" t="n"/>
      <c r="M224" s="30" t="n"/>
      <c r="N224" s="32" t="n"/>
      <c r="O224" s="30" t="n"/>
      <c r="P224" s="32" t="n"/>
      <c r="Q224" s="30" t="n"/>
      <c r="R224" s="32" t="n"/>
      <c r="S224" s="30" t="n"/>
      <c r="T224" s="30" t="n"/>
      <c r="U224" s="30" t="n"/>
      <c r="V224" s="30" t="n"/>
      <c r="W224" s="29">
        <f>IF(H224="","",IF(H224="Kenya","Yes","No"))</f>
        <v/>
      </c>
      <c r="X224" s="29">
        <f>IF(B224="","",IF(COUNTIF($B$5:$B$3004,B224)&gt;1,"DUPLICATE","OK"))</f>
        <v/>
      </c>
      <c r="Y224" s="29">
        <f>IF(OR(U224="",V224="",V224="Excluded"),"",IF(COUNTIFS($U$5:$U$3004,U224,$V$5:$V$3004,"&lt;&gt;"&amp;V224,$V$5:$V$3004,"&lt;&gt;",$V$5:$V$3004,"&lt;&gt;Excluded")&gt;0,"LEAK RISK","OK"))</f>
        <v/>
      </c>
      <c r="Z224" s="30" t="n"/>
    </row>
    <row r="225">
      <c r="A225" s="30" t="n"/>
      <c r="B225" s="30" t="n"/>
      <c r="C225" s="30" t="n"/>
      <c r="D225" s="30" t="n"/>
      <c r="E225" s="30" t="n"/>
      <c r="F225" s="30" t="n"/>
      <c r="G225" s="30" t="n"/>
      <c r="H225" s="30" t="n"/>
      <c r="I225" s="31" t="n"/>
      <c r="J225" s="30" t="n"/>
      <c r="K225" s="30" t="n"/>
      <c r="L225" s="30" t="n"/>
      <c r="M225" s="30" t="n"/>
      <c r="N225" s="32" t="n"/>
      <c r="O225" s="30" t="n"/>
      <c r="P225" s="32" t="n"/>
      <c r="Q225" s="30" t="n"/>
      <c r="R225" s="32" t="n"/>
      <c r="S225" s="30" t="n"/>
      <c r="T225" s="30" t="n"/>
      <c r="U225" s="30" t="n"/>
      <c r="V225" s="30" t="n"/>
      <c r="W225" s="29">
        <f>IF(H225="","",IF(H225="Kenya","Yes","No"))</f>
        <v/>
      </c>
      <c r="X225" s="29">
        <f>IF(B225="","",IF(COUNTIF($B$5:$B$3004,B225)&gt;1,"DUPLICATE","OK"))</f>
        <v/>
      </c>
      <c r="Y225" s="29">
        <f>IF(OR(U225="",V225="",V225="Excluded"),"",IF(COUNTIFS($U$5:$U$3004,U225,$V$5:$V$3004,"&lt;&gt;"&amp;V225,$V$5:$V$3004,"&lt;&gt;",$V$5:$V$3004,"&lt;&gt;Excluded")&gt;0,"LEAK RISK","OK"))</f>
        <v/>
      </c>
      <c r="Z225" s="30" t="n"/>
    </row>
    <row r="226">
      <c r="A226" s="30" t="n"/>
      <c r="B226" s="30" t="n"/>
      <c r="C226" s="30" t="n"/>
      <c r="D226" s="30" t="n"/>
      <c r="E226" s="30" t="n"/>
      <c r="F226" s="30" t="n"/>
      <c r="G226" s="30" t="n"/>
      <c r="H226" s="30" t="n"/>
      <c r="I226" s="31" t="n"/>
      <c r="J226" s="30" t="n"/>
      <c r="K226" s="30" t="n"/>
      <c r="L226" s="30" t="n"/>
      <c r="M226" s="30" t="n"/>
      <c r="N226" s="32" t="n"/>
      <c r="O226" s="30" t="n"/>
      <c r="P226" s="32" t="n"/>
      <c r="Q226" s="30" t="n"/>
      <c r="R226" s="32" t="n"/>
      <c r="S226" s="30" t="n"/>
      <c r="T226" s="30" t="n"/>
      <c r="U226" s="30" t="n"/>
      <c r="V226" s="30" t="n"/>
      <c r="W226" s="29">
        <f>IF(H226="","",IF(H226="Kenya","Yes","No"))</f>
        <v/>
      </c>
      <c r="X226" s="29">
        <f>IF(B226="","",IF(COUNTIF($B$5:$B$3004,B226)&gt;1,"DUPLICATE","OK"))</f>
        <v/>
      </c>
      <c r="Y226" s="29">
        <f>IF(OR(U226="",V226="",V226="Excluded"),"",IF(COUNTIFS($U$5:$U$3004,U226,$V$5:$V$3004,"&lt;&gt;"&amp;V226,$V$5:$V$3004,"&lt;&gt;",$V$5:$V$3004,"&lt;&gt;Excluded")&gt;0,"LEAK RISK","OK"))</f>
        <v/>
      </c>
      <c r="Z226" s="30" t="n"/>
    </row>
    <row r="227">
      <c r="A227" s="30" t="n"/>
      <c r="B227" s="30" t="n"/>
      <c r="C227" s="30" t="n"/>
      <c r="D227" s="30" t="n"/>
      <c r="E227" s="30" t="n"/>
      <c r="F227" s="30" t="n"/>
      <c r="G227" s="30" t="n"/>
      <c r="H227" s="30" t="n"/>
      <c r="I227" s="31" t="n"/>
      <c r="J227" s="30" t="n"/>
      <c r="K227" s="30" t="n"/>
      <c r="L227" s="30" t="n"/>
      <c r="M227" s="30" t="n"/>
      <c r="N227" s="32" t="n"/>
      <c r="O227" s="30" t="n"/>
      <c r="P227" s="32" t="n"/>
      <c r="Q227" s="30" t="n"/>
      <c r="R227" s="32" t="n"/>
      <c r="S227" s="30" t="n"/>
      <c r="T227" s="30" t="n"/>
      <c r="U227" s="30" t="n"/>
      <c r="V227" s="30" t="n"/>
      <c r="W227" s="29">
        <f>IF(H227="","",IF(H227="Kenya","Yes","No"))</f>
        <v/>
      </c>
      <c r="X227" s="29">
        <f>IF(B227="","",IF(COUNTIF($B$5:$B$3004,B227)&gt;1,"DUPLICATE","OK"))</f>
        <v/>
      </c>
      <c r="Y227" s="29">
        <f>IF(OR(U227="",V227="",V227="Excluded"),"",IF(COUNTIFS($U$5:$U$3004,U227,$V$5:$V$3004,"&lt;&gt;"&amp;V227,$V$5:$V$3004,"&lt;&gt;",$V$5:$V$3004,"&lt;&gt;Excluded")&gt;0,"LEAK RISK","OK"))</f>
        <v/>
      </c>
      <c r="Z227" s="30" t="n"/>
    </row>
    <row r="228">
      <c r="A228" s="30" t="n"/>
      <c r="B228" s="30" t="n"/>
      <c r="C228" s="30" t="n"/>
      <c r="D228" s="30" t="n"/>
      <c r="E228" s="30" t="n"/>
      <c r="F228" s="30" t="n"/>
      <c r="G228" s="30" t="n"/>
      <c r="H228" s="30" t="n"/>
      <c r="I228" s="31" t="n"/>
      <c r="J228" s="30" t="n"/>
      <c r="K228" s="30" t="n"/>
      <c r="L228" s="30" t="n"/>
      <c r="M228" s="30" t="n"/>
      <c r="N228" s="32" t="n"/>
      <c r="O228" s="30" t="n"/>
      <c r="P228" s="32" t="n"/>
      <c r="Q228" s="30" t="n"/>
      <c r="R228" s="32" t="n"/>
      <c r="S228" s="30" t="n"/>
      <c r="T228" s="30" t="n"/>
      <c r="U228" s="30" t="n"/>
      <c r="V228" s="30" t="n"/>
      <c r="W228" s="29">
        <f>IF(H228="","",IF(H228="Kenya","Yes","No"))</f>
        <v/>
      </c>
      <c r="X228" s="29">
        <f>IF(B228="","",IF(COUNTIF($B$5:$B$3004,B228)&gt;1,"DUPLICATE","OK"))</f>
        <v/>
      </c>
      <c r="Y228" s="29">
        <f>IF(OR(U228="",V228="",V228="Excluded"),"",IF(COUNTIFS($U$5:$U$3004,U228,$V$5:$V$3004,"&lt;&gt;"&amp;V228,$V$5:$V$3004,"&lt;&gt;",$V$5:$V$3004,"&lt;&gt;Excluded")&gt;0,"LEAK RISK","OK"))</f>
        <v/>
      </c>
      <c r="Z228" s="30" t="n"/>
    </row>
    <row r="229">
      <c r="A229" s="30" t="n"/>
      <c r="B229" s="30" t="n"/>
      <c r="C229" s="30" t="n"/>
      <c r="D229" s="30" t="n"/>
      <c r="E229" s="30" t="n"/>
      <c r="F229" s="30" t="n"/>
      <c r="G229" s="30" t="n"/>
      <c r="H229" s="30" t="n"/>
      <c r="I229" s="31" t="n"/>
      <c r="J229" s="30" t="n"/>
      <c r="K229" s="30" t="n"/>
      <c r="L229" s="30" t="n"/>
      <c r="M229" s="30" t="n"/>
      <c r="N229" s="32" t="n"/>
      <c r="O229" s="30" t="n"/>
      <c r="P229" s="32" t="n"/>
      <c r="Q229" s="30" t="n"/>
      <c r="R229" s="32" t="n"/>
      <c r="S229" s="30" t="n"/>
      <c r="T229" s="30" t="n"/>
      <c r="U229" s="30" t="n"/>
      <c r="V229" s="30" t="n"/>
      <c r="W229" s="29">
        <f>IF(H229="","",IF(H229="Kenya","Yes","No"))</f>
        <v/>
      </c>
      <c r="X229" s="29">
        <f>IF(B229="","",IF(COUNTIF($B$5:$B$3004,B229)&gt;1,"DUPLICATE","OK"))</f>
        <v/>
      </c>
      <c r="Y229" s="29">
        <f>IF(OR(U229="",V229="",V229="Excluded"),"",IF(COUNTIFS($U$5:$U$3004,U229,$V$5:$V$3004,"&lt;&gt;"&amp;V229,$V$5:$V$3004,"&lt;&gt;",$V$5:$V$3004,"&lt;&gt;Excluded")&gt;0,"LEAK RISK","OK"))</f>
        <v/>
      </c>
      <c r="Z229" s="30" t="n"/>
    </row>
    <row r="230">
      <c r="A230" s="30" t="n"/>
      <c r="B230" s="30" t="n"/>
      <c r="C230" s="30" t="n"/>
      <c r="D230" s="30" t="n"/>
      <c r="E230" s="30" t="n"/>
      <c r="F230" s="30" t="n"/>
      <c r="G230" s="30" t="n"/>
      <c r="H230" s="30" t="n"/>
      <c r="I230" s="31" t="n"/>
      <c r="J230" s="30" t="n"/>
      <c r="K230" s="30" t="n"/>
      <c r="L230" s="30" t="n"/>
      <c r="M230" s="30" t="n"/>
      <c r="N230" s="32" t="n"/>
      <c r="O230" s="30" t="n"/>
      <c r="P230" s="32" t="n"/>
      <c r="Q230" s="30" t="n"/>
      <c r="R230" s="32" t="n"/>
      <c r="S230" s="30" t="n"/>
      <c r="T230" s="30" t="n"/>
      <c r="U230" s="30" t="n"/>
      <c r="V230" s="30" t="n"/>
      <c r="W230" s="29">
        <f>IF(H230="","",IF(H230="Kenya","Yes","No"))</f>
        <v/>
      </c>
      <c r="X230" s="29">
        <f>IF(B230="","",IF(COUNTIF($B$5:$B$3004,B230)&gt;1,"DUPLICATE","OK"))</f>
        <v/>
      </c>
      <c r="Y230" s="29">
        <f>IF(OR(U230="",V230="",V230="Excluded"),"",IF(COUNTIFS($U$5:$U$3004,U230,$V$5:$V$3004,"&lt;&gt;"&amp;V230,$V$5:$V$3004,"&lt;&gt;",$V$5:$V$3004,"&lt;&gt;Excluded")&gt;0,"LEAK RISK","OK"))</f>
        <v/>
      </c>
      <c r="Z230" s="30" t="n"/>
    </row>
    <row r="231">
      <c r="A231" s="30" t="n"/>
      <c r="B231" s="30" t="n"/>
      <c r="C231" s="30" t="n"/>
      <c r="D231" s="30" t="n"/>
      <c r="E231" s="30" t="n"/>
      <c r="F231" s="30" t="n"/>
      <c r="G231" s="30" t="n"/>
      <c r="H231" s="30" t="n"/>
      <c r="I231" s="31" t="n"/>
      <c r="J231" s="30" t="n"/>
      <c r="K231" s="30" t="n"/>
      <c r="L231" s="30" t="n"/>
      <c r="M231" s="30" t="n"/>
      <c r="N231" s="32" t="n"/>
      <c r="O231" s="30" t="n"/>
      <c r="P231" s="32" t="n"/>
      <c r="Q231" s="30" t="n"/>
      <c r="R231" s="32" t="n"/>
      <c r="S231" s="30" t="n"/>
      <c r="T231" s="30" t="n"/>
      <c r="U231" s="30" t="n"/>
      <c r="V231" s="30" t="n"/>
      <c r="W231" s="29">
        <f>IF(H231="","",IF(H231="Kenya","Yes","No"))</f>
        <v/>
      </c>
      <c r="X231" s="29">
        <f>IF(B231="","",IF(COUNTIF($B$5:$B$3004,B231)&gt;1,"DUPLICATE","OK"))</f>
        <v/>
      </c>
      <c r="Y231" s="29">
        <f>IF(OR(U231="",V231="",V231="Excluded"),"",IF(COUNTIFS($U$5:$U$3004,U231,$V$5:$V$3004,"&lt;&gt;"&amp;V231,$V$5:$V$3004,"&lt;&gt;",$V$5:$V$3004,"&lt;&gt;Excluded")&gt;0,"LEAK RISK","OK"))</f>
        <v/>
      </c>
      <c r="Z231" s="30" t="n"/>
    </row>
    <row r="232">
      <c r="A232" s="30" t="n"/>
      <c r="B232" s="30" t="n"/>
      <c r="C232" s="30" t="n"/>
      <c r="D232" s="30" t="n"/>
      <c r="E232" s="30" t="n"/>
      <c r="F232" s="30" t="n"/>
      <c r="G232" s="30" t="n"/>
      <c r="H232" s="30" t="n"/>
      <c r="I232" s="31" t="n"/>
      <c r="J232" s="30" t="n"/>
      <c r="K232" s="30" t="n"/>
      <c r="L232" s="30" t="n"/>
      <c r="M232" s="30" t="n"/>
      <c r="N232" s="32" t="n"/>
      <c r="O232" s="30" t="n"/>
      <c r="P232" s="32" t="n"/>
      <c r="Q232" s="30" t="n"/>
      <c r="R232" s="32" t="n"/>
      <c r="S232" s="30" t="n"/>
      <c r="T232" s="30" t="n"/>
      <c r="U232" s="30" t="n"/>
      <c r="V232" s="30" t="n"/>
      <c r="W232" s="29">
        <f>IF(H232="","",IF(H232="Kenya","Yes","No"))</f>
        <v/>
      </c>
      <c r="X232" s="29">
        <f>IF(B232="","",IF(COUNTIF($B$5:$B$3004,B232)&gt;1,"DUPLICATE","OK"))</f>
        <v/>
      </c>
      <c r="Y232" s="29">
        <f>IF(OR(U232="",V232="",V232="Excluded"),"",IF(COUNTIFS($U$5:$U$3004,U232,$V$5:$V$3004,"&lt;&gt;"&amp;V232,$V$5:$V$3004,"&lt;&gt;",$V$5:$V$3004,"&lt;&gt;Excluded")&gt;0,"LEAK RISK","OK"))</f>
        <v/>
      </c>
      <c r="Z232" s="30" t="n"/>
    </row>
    <row r="233">
      <c r="A233" s="30" t="n"/>
      <c r="B233" s="30" t="n"/>
      <c r="C233" s="30" t="n"/>
      <c r="D233" s="30" t="n"/>
      <c r="E233" s="30" t="n"/>
      <c r="F233" s="30" t="n"/>
      <c r="G233" s="30" t="n"/>
      <c r="H233" s="30" t="n"/>
      <c r="I233" s="31" t="n"/>
      <c r="J233" s="30" t="n"/>
      <c r="K233" s="30" t="n"/>
      <c r="L233" s="30" t="n"/>
      <c r="M233" s="30" t="n"/>
      <c r="N233" s="32" t="n"/>
      <c r="O233" s="30" t="n"/>
      <c r="P233" s="32" t="n"/>
      <c r="Q233" s="30" t="n"/>
      <c r="R233" s="32" t="n"/>
      <c r="S233" s="30" t="n"/>
      <c r="T233" s="30" t="n"/>
      <c r="U233" s="30" t="n"/>
      <c r="V233" s="30" t="n"/>
      <c r="W233" s="29">
        <f>IF(H233="","",IF(H233="Kenya","Yes","No"))</f>
        <v/>
      </c>
      <c r="X233" s="29">
        <f>IF(B233="","",IF(COUNTIF($B$5:$B$3004,B233)&gt;1,"DUPLICATE","OK"))</f>
        <v/>
      </c>
      <c r="Y233" s="29">
        <f>IF(OR(U233="",V233="",V233="Excluded"),"",IF(COUNTIFS($U$5:$U$3004,U233,$V$5:$V$3004,"&lt;&gt;"&amp;V233,$V$5:$V$3004,"&lt;&gt;",$V$5:$V$3004,"&lt;&gt;Excluded")&gt;0,"LEAK RISK","OK"))</f>
        <v/>
      </c>
      <c r="Z233" s="30" t="n"/>
    </row>
    <row r="234">
      <c r="A234" s="30" t="n"/>
      <c r="B234" s="30" t="n"/>
      <c r="C234" s="30" t="n"/>
      <c r="D234" s="30" t="n"/>
      <c r="E234" s="30" t="n"/>
      <c r="F234" s="30" t="n"/>
      <c r="G234" s="30" t="n"/>
      <c r="H234" s="30" t="n"/>
      <c r="I234" s="31" t="n"/>
      <c r="J234" s="30" t="n"/>
      <c r="K234" s="30" t="n"/>
      <c r="L234" s="30" t="n"/>
      <c r="M234" s="30" t="n"/>
      <c r="N234" s="32" t="n"/>
      <c r="O234" s="30" t="n"/>
      <c r="P234" s="32" t="n"/>
      <c r="Q234" s="30" t="n"/>
      <c r="R234" s="32" t="n"/>
      <c r="S234" s="30" t="n"/>
      <c r="T234" s="30" t="n"/>
      <c r="U234" s="30" t="n"/>
      <c r="V234" s="30" t="n"/>
      <c r="W234" s="29">
        <f>IF(H234="","",IF(H234="Kenya","Yes","No"))</f>
        <v/>
      </c>
      <c r="X234" s="29">
        <f>IF(B234="","",IF(COUNTIF($B$5:$B$3004,B234)&gt;1,"DUPLICATE","OK"))</f>
        <v/>
      </c>
      <c r="Y234" s="29">
        <f>IF(OR(U234="",V234="",V234="Excluded"),"",IF(COUNTIFS($U$5:$U$3004,U234,$V$5:$V$3004,"&lt;&gt;"&amp;V234,$V$5:$V$3004,"&lt;&gt;",$V$5:$V$3004,"&lt;&gt;Excluded")&gt;0,"LEAK RISK","OK"))</f>
        <v/>
      </c>
      <c r="Z234" s="30" t="n"/>
    </row>
    <row r="235">
      <c r="A235" s="30" t="n"/>
      <c r="B235" s="30" t="n"/>
      <c r="C235" s="30" t="n"/>
      <c r="D235" s="30" t="n"/>
      <c r="E235" s="30" t="n"/>
      <c r="F235" s="30" t="n"/>
      <c r="G235" s="30" t="n"/>
      <c r="H235" s="30" t="n"/>
      <c r="I235" s="31" t="n"/>
      <c r="J235" s="30" t="n"/>
      <c r="K235" s="30" t="n"/>
      <c r="L235" s="30" t="n"/>
      <c r="M235" s="30" t="n"/>
      <c r="N235" s="32" t="n"/>
      <c r="O235" s="30" t="n"/>
      <c r="P235" s="32" t="n"/>
      <c r="Q235" s="30" t="n"/>
      <c r="R235" s="32" t="n"/>
      <c r="S235" s="30" t="n"/>
      <c r="T235" s="30" t="n"/>
      <c r="U235" s="30" t="n"/>
      <c r="V235" s="30" t="n"/>
      <c r="W235" s="29">
        <f>IF(H235="","",IF(H235="Kenya","Yes","No"))</f>
        <v/>
      </c>
      <c r="X235" s="29">
        <f>IF(B235="","",IF(COUNTIF($B$5:$B$3004,B235)&gt;1,"DUPLICATE","OK"))</f>
        <v/>
      </c>
      <c r="Y235" s="29">
        <f>IF(OR(U235="",V235="",V235="Excluded"),"",IF(COUNTIFS($U$5:$U$3004,U235,$V$5:$V$3004,"&lt;&gt;"&amp;V235,$V$5:$V$3004,"&lt;&gt;",$V$5:$V$3004,"&lt;&gt;Excluded")&gt;0,"LEAK RISK","OK"))</f>
        <v/>
      </c>
      <c r="Z235" s="30" t="n"/>
    </row>
    <row r="236">
      <c r="A236" s="30" t="n"/>
      <c r="B236" s="30" t="n"/>
      <c r="C236" s="30" t="n"/>
      <c r="D236" s="30" t="n"/>
      <c r="E236" s="30" t="n"/>
      <c r="F236" s="30" t="n"/>
      <c r="G236" s="30" t="n"/>
      <c r="H236" s="30" t="n"/>
      <c r="I236" s="31" t="n"/>
      <c r="J236" s="30" t="n"/>
      <c r="K236" s="30" t="n"/>
      <c r="L236" s="30" t="n"/>
      <c r="M236" s="30" t="n"/>
      <c r="N236" s="32" t="n"/>
      <c r="O236" s="30" t="n"/>
      <c r="P236" s="32" t="n"/>
      <c r="Q236" s="30" t="n"/>
      <c r="R236" s="32" t="n"/>
      <c r="S236" s="30" t="n"/>
      <c r="T236" s="30" t="n"/>
      <c r="U236" s="30" t="n"/>
      <c r="V236" s="30" t="n"/>
      <c r="W236" s="29">
        <f>IF(H236="","",IF(H236="Kenya","Yes","No"))</f>
        <v/>
      </c>
      <c r="X236" s="29">
        <f>IF(B236="","",IF(COUNTIF($B$5:$B$3004,B236)&gt;1,"DUPLICATE","OK"))</f>
        <v/>
      </c>
      <c r="Y236" s="29">
        <f>IF(OR(U236="",V236="",V236="Excluded"),"",IF(COUNTIFS($U$5:$U$3004,U236,$V$5:$V$3004,"&lt;&gt;"&amp;V236,$V$5:$V$3004,"&lt;&gt;",$V$5:$V$3004,"&lt;&gt;Excluded")&gt;0,"LEAK RISK","OK"))</f>
        <v/>
      </c>
      <c r="Z236" s="30" t="n"/>
    </row>
    <row r="237">
      <c r="A237" s="30" t="n"/>
      <c r="B237" s="30" t="n"/>
      <c r="C237" s="30" t="n"/>
      <c r="D237" s="30" t="n"/>
      <c r="E237" s="30" t="n"/>
      <c r="F237" s="30" t="n"/>
      <c r="G237" s="30" t="n"/>
      <c r="H237" s="30" t="n"/>
      <c r="I237" s="31" t="n"/>
      <c r="J237" s="30" t="n"/>
      <c r="K237" s="30" t="n"/>
      <c r="L237" s="30" t="n"/>
      <c r="M237" s="30" t="n"/>
      <c r="N237" s="32" t="n"/>
      <c r="O237" s="30" t="n"/>
      <c r="P237" s="32" t="n"/>
      <c r="Q237" s="30" t="n"/>
      <c r="R237" s="32" t="n"/>
      <c r="S237" s="30" t="n"/>
      <c r="T237" s="30" t="n"/>
      <c r="U237" s="30" t="n"/>
      <c r="V237" s="30" t="n"/>
      <c r="W237" s="29">
        <f>IF(H237="","",IF(H237="Kenya","Yes","No"))</f>
        <v/>
      </c>
      <c r="X237" s="29">
        <f>IF(B237="","",IF(COUNTIF($B$5:$B$3004,B237)&gt;1,"DUPLICATE","OK"))</f>
        <v/>
      </c>
      <c r="Y237" s="29">
        <f>IF(OR(U237="",V237="",V237="Excluded"),"",IF(COUNTIFS($U$5:$U$3004,U237,$V$5:$V$3004,"&lt;&gt;"&amp;V237,$V$5:$V$3004,"&lt;&gt;",$V$5:$V$3004,"&lt;&gt;Excluded")&gt;0,"LEAK RISK","OK"))</f>
        <v/>
      </c>
      <c r="Z237" s="30" t="n"/>
    </row>
    <row r="238">
      <c r="A238" s="30" t="n"/>
      <c r="B238" s="30" t="n"/>
      <c r="C238" s="30" t="n"/>
      <c r="D238" s="30" t="n"/>
      <c r="E238" s="30" t="n"/>
      <c r="F238" s="30" t="n"/>
      <c r="G238" s="30" t="n"/>
      <c r="H238" s="30" t="n"/>
      <c r="I238" s="31" t="n"/>
      <c r="J238" s="30" t="n"/>
      <c r="K238" s="30" t="n"/>
      <c r="L238" s="30" t="n"/>
      <c r="M238" s="30" t="n"/>
      <c r="N238" s="32" t="n"/>
      <c r="O238" s="30" t="n"/>
      <c r="P238" s="32" t="n"/>
      <c r="Q238" s="30" t="n"/>
      <c r="R238" s="32" t="n"/>
      <c r="S238" s="30" t="n"/>
      <c r="T238" s="30" t="n"/>
      <c r="U238" s="30" t="n"/>
      <c r="V238" s="30" t="n"/>
      <c r="W238" s="29">
        <f>IF(H238="","",IF(H238="Kenya","Yes","No"))</f>
        <v/>
      </c>
      <c r="X238" s="29">
        <f>IF(B238="","",IF(COUNTIF($B$5:$B$3004,B238)&gt;1,"DUPLICATE","OK"))</f>
        <v/>
      </c>
      <c r="Y238" s="29">
        <f>IF(OR(U238="",V238="",V238="Excluded"),"",IF(COUNTIFS($U$5:$U$3004,U238,$V$5:$V$3004,"&lt;&gt;"&amp;V238,$V$5:$V$3004,"&lt;&gt;",$V$5:$V$3004,"&lt;&gt;Excluded")&gt;0,"LEAK RISK","OK"))</f>
        <v/>
      </c>
      <c r="Z238" s="30" t="n"/>
    </row>
    <row r="239">
      <c r="A239" s="30" t="n"/>
      <c r="B239" s="30" t="n"/>
      <c r="C239" s="30" t="n"/>
      <c r="D239" s="30" t="n"/>
      <c r="E239" s="30" t="n"/>
      <c r="F239" s="30" t="n"/>
      <c r="G239" s="30" t="n"/>
      <c r="H239" s="30" t="n"/>
      <c r="I239" s="31" t="n"/>
      <c r="J239" s="30" t="n"/>
      <c r="K239" s="30" t="n"/>
      <c r="L239" s="30" t="n"/>
      <c r="M239" s="30" t="n"/>
      <c r="N239" s="32" t="n"/>
      <c r="O239" s="30" t="n"/>
      <c r="P239" s="32" t="n"/>
      <c r="Q239" s="30" t="n"/>
      <c r="R239" s="32" t="n"/>
      <c r="S239" s="30" t="n"/>
      <c r="T239" s="30" t="n"/>
      <c r="U239" s="30" t="n"/>
      <c r="V239" s="30" t="n"/>
      <c r="W239" s="29">
        <f>IF(H239="","",IF(H239="Kenya","Yes","No"))</f>
        <v/>
      </c>
      <c r="X239" s="29">
        <f>IF(B239="","",IF(COUNTIF($B$5:$B$3004,B239)&gt;1,"DUPLICATE","OK"))</f>
        <v/>
      </c>
      <c r="Y239" s="29">
        <f>IF(OR(U239="",V239="",V239="Excluded"),"",IF(COUNTIFS($U$5:$U$3004,U239,$V$5:$V$3004,"&lt;&gt;"&amp;V239,$V$5:$V$3004,"&lt;&gt;",$V$5:$V$3004,"&lt;&gt;Excluded")&gt;0,"LEAK RISK","OK"))</f>
        <v/>
      </c>
      <c r="Z239" s="30" t="n"/>
    </row>
    <row r="240">
      <c r="A240" s="30" t="n"/>
      <c r="B240" s="30" t="n"/>
      <c r="C240" s="30" t="n"/>
      <c r="D240" s="30" t="n"/>
      <c r="E240" s="30" t="n"/>
      <c r="F240" s="30" t="n"/>
      <c r="G240" s="30" t="n"/>
      <c r="H240" s="30" t="n"/>
      <c r="I240" s="31" t="n"/>
      <c r="J240" s="30" t="n"/>
      <c r="K240" s="30" t="n"/>
      <c r="L240" s="30" t="n"/>
      <c r="M240" s="30" t="n"/>
      <c r="N240" s="32" t="n"/>
      <c r="O240" s="30" t="n"/>
      <c r="P240" s="32" t="n"/>
      <c r="Q240" s="30" t="n"/>
      <c r="R240" s="32" t="n"/>
      <c r="S240" s="30" t="n"/>
      <c r="T240" s="30" t="n"/>
      <c r="U240" s="30" t="n"/>
      <c r="V240" s="30" t="n"/>
      <c r="W240" s="29">
        <f>IF(H240="","",IF(H240="Kenya","Yes","No"))</f>
        <v/>
      </c>
      <c r="X240" s="29">
        <f>IF(B240="","",IF(COUNTIF($B$5:$B$3004,B240)&gt;1,"DUPLICATE","OK"))</f>
        <v/>
      </c>
      <c r="Y240" s="29">
        <f>IF(OR(U240="",V240="",V240="Excluded"),"",IF(COUNTIFS($U$5:$U$3004,U240,$V$5:$V$3004,"&lt;&gt;"&amp;V240,$V$5:$V$3004,"&lt;&gt;",$V$5:$V$3004,"&lt;&gt;Excluded")&gt;0,"LEAK RISK","OK"))</f>
        <v/>
      </c>
      <c r="Z240" s="30" t="n"/>
    </row>
    <row r="241">
      <c r="A241" s="30" t="n"/>
      <c r="B241" s="30" t="n"/>
      <c r="C241" s="30" t="n"/>
      <c r="D241" s="30" t="n"/>
      <c r="E241" s="30" t="n"/>
      <c r="F241" s="30" t="n"/>
      <c r="G241" s="30" t="n"/>
      <c r="H241" s="30" t="n"/>
      <c r="I241" s="31" t="n"/>
      <c r="J241" s="30" t="n"/>
      <c r="K241" s="30" t="n"/>
      <c r="L241" s="30" t="n"/>
      <c r="M241" s="30" t="n"/>
      <c r="N241" s="32" t="n"/>
      <c r="O241" s="30" t="n"/>
      <c r="P241" s="32" t="n"/>
      <c r="Q241" s="30" t="n"/>
      <c r="R241" s="32" t="n"/>
      <c r="S241" s="30" t="n"/>
      <c r="T241" s="30" t="n"/>
      <c r="U241" s="30" t="n"/>
      <c r="V241" s="30" t="n"/>
      <c r="W241" s="29">
        <f>IF(H241="","",IF(H241="Kenya","Yes","No"))</f>
        <v/>
      </c>
      <c r="X241" s="29">
        <f>IF(B241="","",IF(COUNTIF($B$5:$B$3004,B241)&gt;1,"DUPLICATE","OK"))</f>
        <v/>
      </c>
      <c r="Y241" s="29">
        <f>IF(OR(U241="",V241="",V241="Excluded"),"",IF(COUNTIFS($U$5:$U$3004,U241,$V$5:$V$3004,"&lt;&gt;"&amp;V241,$V$5:$V$3004,"&lt;&gt;",$V$5:$V$3004,"&lt;&gt;Excluded")&gt;0,"LEAK RISK","OK"))</f>
        <v/>
      </c>
      <c r="Z241" s="30" t="n"/>
    </row>
    <row r="242">
      <c r="A242" s="30" t="n"/>
      <c r="B242" s="30" t="n"/>
      <c r="C242" s="30" t="n"/>
      <c r="D242" s="30" t="n"/>
      <c r="E242" s="30" t="n"/>
      <c r="F242" s="30" t="n"/>
      <c r="G242" s="30" t="n"/>
      <c r="H242" s="30" t="n"/>
      <c r="I242" s="31" t="n"/>
      <c r="J242" s="30" t="n"/>
      <c r="K242" s="30" t="n"/>
      <c r="L242" s="30" t="n"/>
      <c r="M242" s="30" t="n"/>
      <c r="N242" s="32" t="n"/>
      <c r="O242" s="30" t="n"/>
      <c r="P242" s="32" t="n"/>
      <c r="Q242" s="30" t="n"/>
      <c r="R242" s="32" t="n"/>
      <c r="S242" s="30" t="n"/>
      <c r="T242" s="30" t="n"/>
      <c r="U242" s="30" t="n"/>
      <c r="V242" s="30" t="n"/>
      <c r="W242" s="29">
        <f>IF(H242="","",IF(H242="Kenya","Yes","No"))</f>
        <v/>
      </c>
      <c r="X242" s="29">
        <f>IF(B242="","",IF(COUNTIF($B$5:$B$3004,B242)&gt;1,"DUPLICATE","OK"))</f>
        <v/>
      </c>
      <c r="Y242" s="29">
        <f>IF(OR(U242="",V242="",V242="Excluded"),"",IF(COUNTIFS($U$5:$U$3004,U242,$V$5:$V$3004,"&lt;&gt;"&amp;V242,$V$5:$V$3004,"&lt;&gt;",$V$5:$V$3004,"&lt;&gt;Excluded")&gt;0,"LEAK RISK","OK"))</f>
        <v/>
      </c>
      <c r="Z242" s="30" t="n"/>
    </row>
    <row r="243">
      <c r="A243" s="30" t="n"/>
      <c r="B243" s="30" t="n"/>
      <c r="C243" s="30" t="n"/>
      <c r="D243" s="30" t="n"/>
      <c r="E243" s="30" t="n"/>
      <c r="F243" s="30" t="n"/>
      <c r="G243" s="30" t="n"/>
      <c r="H243" s="30" t="n"/>
      <c r="I243" s="31" t="n"/>
      <c r="J243" s="30" t="n"/>
      <c r="K243" s="30" t="n"/>
      <c r="L243" s="30" t="n"/>
      <c r="M243" s="30" t="n"/>
      <c r="N243" s="32" t="n"/>
      <c r="O243" s="30" t="n"/>
      <c r="P243" s="32" t="n"/>
      <c r="Q243" s="30" t="n"/>
      <c r="R243" s="32" t="n"/>
      <c r="S243" s="30" t="n"/>
      <c r="T243" s="30" t="n"/>
      <c r="U243" s="30" t="n"/>
      <c r="V243" s="30" t="n"/>
      <c r="W243" s="29">
        <f>IF(H243="","",IF(H243="Kenya","Yes","No"))</f>
        <v/>
      </c>
      <c r="X243" s="29">
        <f>IF(B243="","",IF(COUNTIF($B$5:$B$3004,B243)&gt;1,"DUPLICATE","OK"))</f>
        <v/>
      </c>
      <c r="Y243" s="29">
        <f>IF(OR(U243="",V243="",V243="Excluded"),"",IF(COUNTIFS($U$5:$U$3004,U243,$V$5:$V$3004,"&lt;&gt;"&amp;V243,$V$5:$V$3004,"&lt;&gt;",$V$5:$V$3004,"&lt;&gt;Excluded")&gt;0,"LEAK RISK","OK"))</f>
        <v/>
      </c>
      <c r="Z243" s="30" t="n"/>
    </row>
    <row r="244">
      <c r="A244" s="30" t="n"/>
      <c r="B244" s="30" t="n"/>
      <c r="C244" s="30" t="n"/>
      <c r="D244" s="30" t="n"/>
      <c r="E244" s="30" t="n"/>
      <c r="F244" s="30" t="n"/>
      <c r="G244" s="30" t="n"/>
      <c r="H244" s="30" t="n"/>
      <c r="I244" s="31" t="n"/>
      <c r="J244" s="30" t="n"/>
      <c r="K244" s="30" t="n"/>
      <c r="L244" s="30" t="n"/>
      <c r="M244" s="30" t="n"/>
      <c r="N244" s="32" t="n"/>
      <c r="O244" s="30" t="n"/>
      <c r="P244" s="32" t="n"/>
      <c r="Q244" s="30" t="n"/>
      <c r="R244" s="32" t="n"/>
      <c r="S244" s="30" t="n"/>
      <c r="T244" s="30" t="n"/>
      <c r="U244" s="30" t="n"/>
      <c r="V244" s="30" t="n"/>
      <c r="W244" s="29">
        <f>IF(H244="","",IF(H244="Kenya","Yes","No"))</f>
        <v/>
      </c>
      <c r="X244" s="29">
        <f>IF(B244="","",IF(COUNTIF($B$5:$B$3004,B244)&gt;1,"DUPLICATE","OK"))</f>
        <v/>
      </c>
      <c r="Y244" s="29">
        <f>IF(OR(U244="",V244="",V244="Excluded"),"",IF(COUNTIFS($U$5:$U$3004,U244,$V$5:$V$3004,"&lt;&gt;"&amp;V244,$V$5:$V$3004,"&lt;&gt;",$V$5:$V$3004,"&lt;&gt;Excluded")&gt;0,"LEAK RISK","OK"))</f>
        <v/>
      </c>
      <c r="Z244" s="30" t="n"/>
    </row>
    <row r="245">
      <c r="A245" s="30" t="n"/>
      <c r="B245" s="30" t="n"/>
      <c r="C245" s="30" t="n"/>
      <c r="D245" s="30" t="n"/>
      <c r="E245" s="30" t="n"/>
      <c r="F245" s="30" t="n"/>
      <c r="G245" s="30" t="n"/>
      <c r="H245" s="30" t="n"/>
      <c r="I245" s="31" t="n"/>
      <c r="J245" s="30" t="n"/>
      <c r="K245" s="30" t="n"/>
      <c r="L245" s="30" t="n"/>
      <c r="M245" s="30" t="n"/>
      <c r="N245" s="32" t="n"/>
      <c r="O245" s="30" t="n"/>
      <c r="P245" s="32" t="n"/>
      <c r="Q245" s="30" t="n"/>
      <c r="R245" s="32" t="n"/>
      <c r="S245" s="30" t="n"/>
      <c r="T245" s="30" t="n"/>
      <c r="U245" s="30" t="n"/>
      <c r="V245" s="30" t="n"/>
      <c r="W245" s="29">
        <f>IF(H245="","",IF(H245="Kenya","Yes","No"))</f>
        <v/>
      </c>
      <c r="X245" s="29">
        <f>IF(B245="","",IF(COUNTIF($B$5:$B$3004,B245)&gt;1,"DUPLICATE","OK"))</f>
        <v/>
      </c>
      <c r="Y245" s="29">
        <f>IF(OR(U245="",V245="",V245="Excluded"),"",IF(COUNTIFS($U$5:$U$3004,U245,$V$5:$V$3004,"&lt;&gt;"&amp;V245,$V$5:$V$3004,"&lt;&gt;",$V$5:$V$3004,"&lt;&gt;Excluded")&gt;0,"LEAK RISK","OK"))</f>
        <v/>
      </c>
      <c r="Z245" s="30" t="n"/>
    </row>
    <row r="246">
      <c r="A246" s="30" t="n"/>
      <c r="B246" s="30" t="n"/>
      <c r="C246" s="30" t="n"/>
      <c r="D246" s="30" t="n"/>
      <c r="E246" s="30" t="n"/>
      <c r="F246" s="30" t="n"/>
      <c r="G246" s="30" t="n"/>
      <c r="H246" s="30" t="n"/>
      <c r="I246" s="31" t="n"/>
      <c r="J246" s="30" t="n"/>
      <c r="K246" s="30" t="n"/>
      <c r="L246" s="30" t="n"/>
      <c r="M246" s="30" t="n"/>
      <c r="N246" s="32" t="n"/>
      <c r="O246" s="30" t="n"/>
      <c r="P246" s="32" t="n"/>
      <c r="Q246" s="30" t="n"/>
      <c r="R246" s="32" t="n"/>
      <c r="S246" s="30" t="n"/>
      <c r="T246" s="30" t="n"/>
      <c r="U246" s="30" t="n"/>
      <c r="V246" s="30" t="n"/>
      <c r="W246" s="29">
        <f>IF(H246="","",IF(H246="Kenya","Yes","No"))</f>
        <v/>
      </c>
      <c r="X246" s="29">
        <f>IF(B246="","",IF(COUNTIF($B$5:$B$3004,B246)&gt;1,"DUPLICATE","OK"))</f>
        <v/>
      </c>
      <c r="Y246" s="29">
        <f>IF(OR(U246="",V246="",V246="Excluded"),"",IF(COUNTIFS($U$5:$U$3004,U246,$V$5:$V$3004,"&lt;&gt;"&amp;V246,$V$5:$V$3004,"&lt;&gt;",$V$5:$V$3004,"&lt;&gt;Excluded")&gt;0,"LEAK RISK","OK"))</f>
        <v/>
      </c>
      <c r="Z246" s="30" t="n"/>
    </row>
    <row r="247">
      <c r="A247" s="30" t="n"/>
      <c r="B247" s="30" t="n"/>
      <c r="C247" s="30" t="n"/>
      <c r="D247" s="30" t="n"/>
      <c r="E247" s="30" t="n"/>
      <c r="F247" s="30" t="n"/>
      <c r="G247" s="30" t="n"/>
      <c r="H247" s="30" t="n"/>
      <c r="I247" s="31" t="n"/>
      <c r="J247" s="30" t="n"/>
      <c r="K247" s="30" t="n"/>
      <c r="L247" s="30" t="n"/>
      <c r="M247" s="30" t="n"/>
      <c r="N247" s="32" t="n"/>
      <c r="O247" s="30" t="n"/>
      <c r="P247" s="32" t="n"/>
      <c r="Q247" s="30" t="n"/>
      <c r="R247" s="32" t="n"/>
      <c r="S247" s="30" t="n"/>
      <c r="T247" s="30" t="n"/>
      <c r="U247" s="30" t="n"/>
      <c r="V247" s="30" t="n"/>
      <c r="W247" s="29">
        <f>IF(H247="","",IF(H247="Kenya","Yes","No"))</f>
        <v/>
      </c>
      <c r="X247" s="29">
        <f>IF(B247="","",IF(COUNTIF($B$5:$B$3004,B247)&gt;1,"DUPLICATE","OK"))</f>
        <v/>
      </c>
      <c r="Y247" s="29">
        <f>IF(OR(U247="",V247="",V247="Excluded"),"",IF(COUNTIFS($U$5:$U$3004,U247,$V$5:$V$3004,"&lt;&gt;"&amp;V247,$V$5:$V$3004,"&lt;&gt;",$V$5:$V$3004,"&lt;&gt;Excluded")&gt;0,"LEAK RISK","OK"))</f>
        <v/>
      </c>
      <c r="Z247" s="30" t="n"/>
    </row>
    <row r="248">
      <c r="A248" s="30" t="n"/>
      <c r="B248" s="30" t="n"/>
      <c r="C248" s="30" t="n"/>
      <c r="D248" s="30" t="n"/>
      <c r="E248" s="30" t="n"/>
      <c r="F248" s="30" t="n"/>
      <c r="G248" s="30" t="n"/>
      <c r="H248" s="30" t="n"/>
      <c r="I248" s="31" t="n"/>
      <c r="J248" s="30" t="n"/>
      <c r="K248" s="30" t="n"/>
      <c r="L248" s="30" t="n"/>
      <c r="M248" s="30" t="n"/>
      <c r="N248" s="32" t="n"/>
      <c r="O248" s="30" t="n"/>
      <c r="P248" s="32" t="n"/>
      <c r="Q248" s="30" t="n"/>
      <c r="R248" s="32" t="n"/>
      <c r="S248" s="30" t="n"/>
      <c r="T248" s="30" t="n"/>
      <c r="U248" s="30" t="n"/>
      <c r="V248" s="30" t="n"/>
      <c r="W248" s="29">
        <f>IF(H248="","",IF(H248="Kenya","Yes","No"))</f>
        <v/>
      </c>
      <c r="X248" s="29">
        <f>IF(B248="","",IF(COUNTIF($B$5:$B$3004,B248)&gt;1,"DUPLICATE","OK"))</f>
        <v/>
      </c>
      <c r="Y248" s="29">
        <f>IF(OR(U248="",V248="",V248="Excluded"),"",IF(COUNTIFS($U$5:$U$3004,U248,$V$5:$V$3004,"&lt;&gt;"&amp;V248,$V$5:$V$3004,"&lt;&gt;",$V$5:$V$3004,"&lt;&gt;Excluded")&gt;0,"LEAK RISK","OK"))</f>
        <v/>
      </c>
      <c r="Z248" s="30" t="n"/>
    </row>
    <row r="249">
      <c r="A249" s="30" t="n"/>
      <c r="B249" s="30" t="n"/>
      <c r="C249" s="30" t="n"/>
      <c r="D249" s="30" t="n"/>
      <c r="E249" s="30" t="n"/>
      <c r="F249" s="30" t="n"/>
      <c r="G249" s="30" t="n"/>
      <c r="H249" s="30" t="n"/>
      <c r="I249" s="31" t="n"/>
      <c r="J249" s="30" t="n"/>
      <c r="K249" s="30" t="n"/>
      <c r="L249" s="30" t="n"/>
      <c r="M249" s="30" t="n"/>
      <c r="N249" s="32" t="n"/>
      <c r="O249" s="30" t="n"/>
      <c r="P249" s="32" t="n"/>
      <c r="Q249" s="30" t="n"/>
      <c r="R249" s="32" t="n"/>
      <c r="S249" s="30" t="n"/>
      <c r="T249" s="30" t="n"/>
      <c r="U249" s="30" t="n"/>
      <c r="V249" s="30" t="n"/>
      <c r="W249" s="29">
        <f>IF(H249="","",IF(H249="Kenya","Yes","No"))</f>
        <v/>
      </c>
      <c r="X249" s="29">
        <f>IF(B249="","",IF(COUNTIF($B$5:$B$3004,B249)&gt;1,"DUPLICATE","OK"))</f>
        <v/>
      </c>
      <c r="Y249" s="29">
        <f>IF(OR(U249="",V249="",V249="Excluded"),"",IF(COUNTIFS($U$5:$U$3004,U249,$V$5:$V$3004,"&lt;&gt;"&amp;V249,$V$5:$V$3004,"&lt;&gt;",$V$5:$V$3004,"&lt;&gt;Excluded")&gt;0,"LEAK RISK","OK"))</f>
        <v/>
      </c>
      <c r="Z249" s="30" t="n"/>
    </row>
    <row r="250">
      <c r="A250" s="30" t="n"/>
      <c r="B250" s="30" t="n"/>
      <c r="C250" s="30" t="n"/>
      <c r="D250" s="30" t="n"/>
      <c r="E250" s="30" t="n"/>
      <c r="F250" s="30" t="n"/>
      <c r="G250" s="30" t="n"/>
      <c r="H250" s="30" t="n"/>
      <c r="I250" s="31" t="n"/>
      <c r="J250" s="30" t="n"/>
      <c r="K250" s="30" t="n"/>
      <c r="L250" s="30" t="n"/>
      <c r="M250" s="30" t="n"/>
      <c r="N250" s="32" t="n"/>
      <c r="O250" s="30" t="n"/>
      <c r="P250" s="32" t="n"/>
      <c r="Q250" s="30" t="n"/>
      <c r="R250" s="32" t="n"/>
      <c r="S250" s="30" t="n"/>
      <c r="T250" s="30" t="n"/>
      <c r="U250" s="30" t="n"/>
      <c r="V250" s="30" t="n"/>
      <c r="W250" s="29">
        <f>IF(H250="","",IF(H250="Kenya","Yes","No"))</f>
        <v/>
      </c>
      <c r="X250" s="29">
        <f>IF(B250="","",IF(COUNTIF($B$5:$B$3004,B250)&gt;1,"DUPLICATE","OK"))</f>
        <v/>
      </c>
      <c r="Y250" s="29">
        <f>IF(OR(U250="",V250="",V250="Excluded"),"",IF(COUNTIFS($U$5:$U$3004,U250,$V$5:$V$3004,"&lt;&gt;"&amp;V250,$V$5:$V$3004,"&lt;&gt;",$V$5:$V$3004,"&lt;&gt;Excluded")&gt;0,"LEAK RISK","OK"))</f>
        <v/>
      </c>
      <c r="Z250" s="30" t="n"/>
    </row>
    <row r="251">
      <c r="A251" s="30" t="n"/>
      <c r="B251" s="30" t="n"/>
      <c r="C251" s="30" t="n"/>
      <c r="D251" s="30" t="n"/>
      <c r="E251" s="30" t="n"/>
      <c r="F251" s="30" t="n"/>
      <c r="G251" s="30" t="n"/>
      <c r="H251" s="30" t="n"/>
      <c r="I251" s="31" t="n"/>
      <c r="J251" s="30" t="n"/>
      <c r="K251" s="30" t="n"/>
      <c r="L251" s="30" t="n"/>
      <c r="M251" s="30" t="n"/>
      <c r="N251" s="32" t="n"/>
      <c r="O251" s="30" t="n"/>
      <c r="P251" s="32" t="n"/>
      <c r="Q251" s="30" t="n"/>
      <c r="R251" s="32" t="n"/>
      <c r="S251" s="30" t="n"/>
      <c r="T251" s="30" t="n"/>
      <c r="U251" s="30" t="n"/>
      <c r="V251" s="30" t="n"/>
      <c r="W251" s="29">
        <f>IF(H251="","",IF(H251="Kenya","Yes","No"))</f>
        <v/>
      </c>
      <c r="X251" s="29">
        <f>IF(B251="","",IF(COUNTIF($B$5:$B$3004,B251)&gt;1,"DUPLICATE","OK"))</f>
        <v/>
      </c>
      <c r="Y251" s="29">
        <f>IF(OR(U251="",V251="",V251="Excluded"),"",IF(COUNTIFS($U$5:$U$3004,U251,$V$5:$V$3004,"&lt;&gt;"&amp;V251,$V$5:$V$3004,"&lt;&gt;",$V$5:$V$3004,"&lt;&gt;Excluded")&gt;0,"LEAK RISK","OK"))</f>
        <v/>
      </c>
      <c r="Z251" s="30" t="n"/>
    </row>
    <row r="252">
      <c r="A252" s="30" t="n"/>
      <c r="B252" s="30" t="n"/>
      <c r="C252" s="30" t="n"/>
      <c r="D252" s="30" t="n"/>
      <c r="E252" s="30" t="n"/>
      <c r="F252" s="30" t="n"/>
      <c r="G252" s="30" t="n"/>
      <c r="H252" s="30" t="n"/>
      <c r="I252" s="31" t="n"/>
      <c r="J252" s="30" t="n"/>
      <c r="K252" s="30" t="n"/>
      <c r="L252" s="30" t="n"/>
      <c r="M252" s="30" t="n"/>
      <c r="N252" s="32" t="n"/>
      <c r="O252" s="30" t="n"/>
      <c r="P252" s="32" t="n"/>
      <c r="Q252" s="30" t="n"/>
      <c r="R252" s="32" t="n"/>
      <c r="S252" s="30" t="n"/>
      <c r="T252" s="30" t="n"/>
      <c r="U252" s="30" t="n"/>
      <c r="V252" s="30" t="n"/>
      <c r="W252" s="29">
        <f>IF(H252="","",IF(H252="Kenya","Yes","No"))</f>
        <v/>
      </c>
      <c r="X252" s="29">
        <f>IF(B252="","",IF(COUNTIF($B$5:$B$3004,B252)&gt;1,"DUPLICATE","OK"))</f>
        <v/>
      </c>
      <c r="Y252" s="29">
        <f>IF(OR(U252="",V252="",V252="Excluded"),"",IF(COUNTIFS($U$5:$U$3004,U252,$V$5:$V$3004,"&lt;&gt;"&amp;V252,$V$5:$V$3004,"&lt;&gt;",$V$5:$V$3004,"&lt;&gt;Excluded")&gt;0,"LEAK RISK","OK"))</f>
        <v/>
      </c>
      <c r="Z252" s="30" t="n"/>
    </row>
    <row r="253">
      <c r="A253" s="30" t="n"/>
      <c r="B253" s="30" t="n"/>
      <c r="C253" s="30" t="n"/>
      <c r="D253" s="30" t="n"/>
      <c r="E253" s="30" t="n"/>
      <c r="F253" s="30" t="n"/>
      <c r="G253" s="30" t="n"/>
      <c r="H253" s="30" t="n"/>
      <c r="I253" s="31" t="n"/>
      <c r="J253" s="30" t="n"/>
      <c r="K253" s="30" t="n"/>
      <c r="L253" s="30" t="n"/>
      <c r="M253" s="30" t="n"/>
      <c r="N253" s="32" t="n"/>
      <c r="O253" s="30" t="n"/>
      <c r="P253" s="32" t="n"/>
      <c r="Q253" s="30" t="n"/>
      <c r="R253" s="32" t="n"/>
      <c r="S253" s="30" t="n"/>
      <c r="T253" s="30" t="n"/>
      <c r="U253" s="30" t="n"/>
      <c r="V253" s="30" t="n"/>
      <c r="W253" s="29">
        <f>IF(H253="","",IF(H253="Kenya","Yes","No"))</f>
        <v/>
      </c>
      <c r="X253" s="29">
        <f>IF(B253="","",IF(COUNTIF($B$5:$B$3004,B253)&gt;1,"DUPLICATE","OK"))</f>
        <v/>
      </c>
      <c r="Y253" s="29">
        <f>IF(OR(U253="",V253="",V253="Excluded"),"",IF(COUNTIFS($U$5:$U$3004,U253,$V$5:$V$3004,"&lt;&gt;"&amp;V253,$V$5:$V$3004,"&lt;&gt;",$V$5:$V$3004,"&lt;&gt;Excluded")&gt;0,"LEAK RISK","OK"))</f>
        <v/>
      </c>
      <c r="Z253" s="30" t="n"/>
    </row>
    <row r="254">
      <c r="A254" s="30" t="n"/>
      <c r="B254" s="30" t="n"/>
      <c r="C254" s="30" t="n"/>
      <c r="D254" s="30" t="n"/>
      <c r="E254" s="30" t="n"/>
      <c r="F254" s="30" t="n"/>
      <c r="G254" s="30" t="n"/>
      <c r="H254" s="30" t="n"/>
      <c r="I254" s="31" t="n"/>
      <c r="J254" s="30" t="n"/>
      <c r="K254" s="30" t="n"/>
      <c r="L254" s="30" t="n"/>
      <c r="M254" s="30" t="n"/>
      <c r="N254" s="32" t="n"/>
      <c r="O254" s="30" t="n"/>
      <c r="P254" s="32" t="n"/>
      <c r="Q254" s="30" t="n"/>
      <c r="R254" s="32" t="n"/>
      <c r="S254" s="30" t="n"/>
      <c r="T254" s="30" t="n"/>
      <c r="U254" s="30" t="n"/>
      <c r="V254" s="30" t="n"/>
      <c r="W254" s="29">
        <f>IF(H254="","",IF(H254="Kenya","Yes","No"))</f>
        <v/>
      </c>
      <c r="X254" s="29">
        <f>IF(B254="","",IF(COUNTIF($B$5:$B$3004,B254)&gt;1,"DUPLICATE","OK"))</f>
        <v/>
      </c>
      <c r="Y254" s="29">
        <f>IF(OR(U254="",V254="",V254="Excluded"),"",IF(COUNTIFS($U$5:$U$3004,U254,$V$5:$V$3004,"&lt;&gt;"&amp;V254,$V$5:$V$3004,"&lt;&gt;",$V$5:$V$3004,"&lt;&gt;Excluded")&gt;0,"LEAK RISK","OK"))</f>
        <v/>
      </c>
      <c r="Z254" s="30" t="n"/>
    </row>
    <row r="255">
      <c r="A255" s="30" t="n"/>
      <c r="B255" s="30" t="n"/>
      <c r="C255" s="30" t="n"/>
      <c r="D255" s="30" t="n"/>
      <c r="E255" s="30" t="n"/>
      <c r="F255" s="30" t="n"/>
      <c r="G255" s="30" t="n"/>
      <c r="H255" s="30" t="n"/>
      <c r="I255" s="31" t="n"/>
      <c r="J255" s="30" t="n"/>
      <c r="K255" s="30" t="n"/>
      <c r="L255" s="30" t="n"/>
      <c r="M255" s="30" t="n"/>
      <c r="N255" s="32" t="n"/>
      <c r="O255" s="30" t="n"/>
      <c r="P255" s="32" t="n"/>
      <c r="Q255" s="30" t="n"/>
      <c r="R255" s="32" t="n"/>
      <c r="S255" s="30" t="n"/>
      <c r="T255" s="30" t="n"/>
      <c r="U255" s="30" t="n"/>
      <c r="V255" s="30" t="n"/>
      <c r="W255" s="29">
        <f>IF(H255="","",IF(H255="Kenya","Yes","No"))</f>
        <v/>
      </c>
      <c r="X255" s="29">
        <f>IF(B255="","",IF(COUNTIF($B$5:$B$3004,B255)&gt;1,"DUPLICATE","OK"))</f>
        <v/>
      </c>
      <c r="Y255" s="29">
        <f>IF(OR(U255="",V255="",V255="Excluded"),"",IF(COUNTIFS($U$5:$U$3004,U255,$V$5:$V$3004,"&lt;&gt;"&amp;V255,$V$5:$V$3004,"&lt;&gt;",$V$5:$V$3004,"&lt;&gt;Excluded")&gt;0,"LEAK RISK","OK"))</f>
        <v/>
      </c>
      <c r="Z255" s="30" t="n"/>
    </row>
    <row r="256">
      <c r="A256" s="30" t="n"/>
      <c r="B256" s="30" t="n"/>
      <c r="C256" s="30" t="n"/>
      <c r="D256" s="30" t="n"/>
      <c r="E256" s="30" t="n"/>
      <c r="F256" s="30" t="n"/>
      <c r="G256" s="30" t="n"/>
      <c r="H256" s="30" t="n"/>
      <c r="I256" s="31" t="n"/>
      <c r="J256" s="30" t="n"/>
      <c r="K256" s="30" t="n"/>
      <c r="L256" s="30" t="n"/>
      <c r="M256" s="30" t="n"/>
      <c r="N256" s="32" t="n"/>
      <c r="O256" s="30" t="n"/>
      <c r="P256" s="32" t="n"/>
      <c r="Q256" s="30" t="n"/>
      <c r="R256" s="32" t="n"/>
      <c r="S256" s="30" t="n"/>
      <c r="T256" s="30" t="n"/>
      <c r="U256" s="30" t="n"/>
      <c r="V256" s="30" t="n"/>
      <c r="W256" s="29">
        <f>IF(H256="","",IF(H256="Kenya","Yes","No"))</f>
        <v/>
      </c>
      <c r="X256" s="29">
        <f>IF(B256="","",IF(COUNTIF($B$5:$B$3004,B256)&gt;1,"DUPLICATE","OK"))</f>
        <v/>
      </c>
      <c r="Y256" s="29">
        <f>IF(OR(U256="",V256="",V256="Excluded"),"",IF(COUNTIFS($U$5:$U$3004,U256,$V$5:$V$3004,"&lt;&gt;"&amp;V256,$V$5:$V$3004,"&lt;&gt;",$V$5:$V$3004,"&lt;&gt;Excluded")&gt;0,"LEAK RISK","OK"))</f>
        <v/>
      </c>
      <c r="Z256" s="30" t="n"/>
    </row>
    <row r="257">
      <c r="A257" s="30" t="n"/>
      <c r="B257" s="30" t="n"/>
      <c r="C257" s="30" t="n"/>
      <c r="D257" s="30" t="n"/>
      <c r="E257" s="30" t="n"/>
      <c r="F257" s="30" t="n"/>
      <c r="G257" s="30" t="n"/>
      <c r="H257" s="30" t="n"/>
      <c r="I257" s="31" t="n"/>
      <c r="J257" s="30" t="n"/>
      <c r="K257" s="30" t="n"/>
      <c r="L257" s="30" t="n"/>
      <c r="M257" s="30" t="n"/>
      <c r="N257" s="32" t="n"/>
      <c r="O257" s="30" t="n"/>
      <c r="P257" s="32" t="n"/>
      <c r="Q257" s="30" t="n"/>
      <c r="R257" s="32" t="n"/>
      <c r="S257" s="30" t="n"/>
      <c r="T257" s="30" t="n"/>
      <c r="U257" s="30" t="n"/>
      <c r="V257" s="30" t="n"/>
      <c r="W257" s="29">
        <f>IF(H257="","",IF(H257="Kenya","Yes","No"))</f>
        <v/>
      </c>
      <c r="X257" s="29">
        <f>IF(B257="","",IF(COUNTIF($B$5:$B$3004,B257)&gt;1,"DUPLICATE","OK"))</f>
        <v/>
      </c>
      <c r="Y257" s="29">
        <f>IF(OR(U257="",V257="",V257="Excluded"),"",IF(COUNTIFS($U$5:$U$3004,U257,$V$5:$V$3004,"&lt;&gt;"&amp;V257,$V$5:$V$3004,"&lt;&gt;",$V$5:$V$3004,"&lt;&gt;Excluded")&gt;0,"LEAK RISK","OK"))</f>
        <v/>
      </c>
      <c r="Z257" s="30" t="n"/>
    </row>
    <row r="258">
      <c r="A258" s="30" t="n"/>
      <c r="B258" s="30" t="n"/>
      <c r="C258" s="30" t="n"/>
      <c r="D258" s="30" t="n"/>
      <c r="E258" s="30" t="n"/>
      <c r="F258" s="30" t="n"/>
      <c r="G258" s="30" t="n"/>
      <c r="H258" s="30" t="n"/>
      <c r="I258" s="31" t="n"/>
      <c r="J258" s="30" t="n"/>
      <c r="K258" s="30" t="n"/>
      <c r="L258" s="30" t="n"/>
      <c r="M258" s="30" t="n"/>
      <c r="N258" s="32" t="n"/>
      <c r="O258" s="30" t="n"/>
      <c r="P258" s="32" t="n"/>
      <c r="Q258" s="30" t="n"/>
      <c r="R258" s="32" t="n"/>
      <c r="S258" s="30" t="n"/>
      <c r="T258" s="30" t="n"/>
      <c r="U258" s="30" t="n"/>
      <c r="V258" s="30" t="n"/>
      <c r="W258" s="29">
        <f>IF(H258="","",IF(H258="Kenya","Yes","No"))</f>
        <v/>
      </c>
      <c r="X258" s="29">
        <f>IF(B258="","",IF(COUNTIF($B$5:$B$3004,B258)&gt;1,"DUPLICATE","OK"))</f>
        <v/>
      </c>
      <c r="Y258" s="29">
        <f>IF(OR(U258="",V258="",V258="Excluded"),"",IF(COUNTIFS($U$5:$U$3004,U258,$V$5:$V$3004,"&lt;&gt;"&amp;V258,$V$5:$V$3004,"&lt;&gt;",$V$5:$V$3004,"&lt;&gt;Excluded")&gt;0,"LEAK RISK","OK"))</f>
        <v/>
      </c>
      <c r="Z258" s="30" t="n"/>
    </row>
    <row r="259">
      <c r="A259" s="30" t="n"/>
      <c r="B259" s="30" t="n"/>
      <c r="C259" s="30" t="n"/>
      <c r="D259" s="30" t="n"/>
      <c r="E259" s="30" t="n"/>
      <c r="F259" s="30" t="n"/>
      <c r="G259" s="30" t="n"/>
      <c r="H259" s="30" t="n"/>
      <c r="I259" s="31" t="n"/>
      <c r="J259" s="30" t="n"/>
      <c r="K259" s="30" t="n"/>
      <c r="L259" s="30" t="n"/>
      <c r="M259" s="30" t="n"/>
      <c r="N259" s="32" t="n"/>
      <c r="O259" s="30" t="n"/>
      <c r="P259" s="32" t="n"/>
      <c r="Q259" s="30" t="n"/>
      <c r="R259" s="32" t="n"/>
      <c r="S259" s="30" t="n"/>
      <c r="T259" s="30" t="n"/>
      <c r="U259" s="30" t="n"/>
      <c r="V259" s="30" t="n"/>
      <c r="W259" s="29">
        <f>IF(H259="","",IF(H259="Kenya","Yes","No"))</f>
        <v/>
      </c>
      <c r="X259" s="29">
        <f>IF(B259="","",IF(COUNTIF($B$5:$B$3004,B259)&gt;1,"DUPLICATE","OK"))</f>
        <v/>
      </c>
      <c r="Y259" s="29">
        <f>IF(OR(U259="",V259="",V259="Excluded"),"",IF(COUNTIFS($U$5:$U$3004,U259,$V$5:$V$3004,"&lt;&gt;"&amp;V259,$V$5:$V$3004,"&lt;&gt;",$V$5:$V$3004,"&lt;&gt;Excluded")&gt;0,"LEAK RISK","OK"))</f>
        <v/>
      </c>
      <c r="Z259" s="30" t="n"/>
    </row>
    <row r="260">
      <c r="A260" s="30" t="n"/>
      <c r="B260" s="30" t="n"/>
      <c r="C260" s="30" t="n"/>
      <c r="D260" s="30" t="n"/>
      <c r="E260" s="30" t="n"/>
      <c r="F260" s="30" t="n"/>
      <c r="G260" s="30" t="n"/>
      <c r="H260" s="30" t="n"/>
      <c r="I260" s="31" t="n"/>
      <c r="J260" s="30" t="n"/>
      <c r="K260" s="30" t="n"/>
      <c r="L260" s="30" t="n"/>
      <c r="M260" s="30" t="n"/>
      <c r="N260" s="32" t="n"/>
      <c r="O260" s="30" t="n"/>
      <c r="P260" s="32" t="n"/>
      <c r="Q260" s="30" t="n"/>
      <c r="R260" s="32" t="n"/>
      <c r="S260" s="30" t="n"/>
      <c r="T260" s="30" t="n"/>
      <c r="U260" s="30" t="n"/>
      <c r="V260" s="30" t="n"/>
      <c r="W260" s="29">
        <f>IF(H260="","",IF(H260="Kenya","Yes","No"))</f>
        <v/>
      </c>
      <c r="X260" s="29">
        <f>IF(B260="","",IF(COUNTIF($B$5:$B$3004,B260)&gt;1,"DUPLICATE","OK"))</f>
        <v/>
      </c>
      <c r="Y260" s="29">
        <f>IF(OR(U260="",V260="",V260="Excluded"),"",IF(COUNTIFS($U$5:$U$3004,U260,$V$5:$V$3004,"&lt;&gt;"&amp;V260,$V$5:$V$3004,"&lt;&gt;",$V$5:$V$3004,"&lt;&gt;Excluded")&gt;0,"LEAK RISK","OK"))</f>
        <v/>
      </c>
      <c r="Z260" s="30" t="n"/>
    </row>
    <row r="261">
      <c r="A261" s="30" t="n"/>
      <c r="B261" s="30" t="n"/>
      <c r="C261" s="30" t="n"/>
      <c r="D261" s="30" t="n"/>
      <c r="E261" s="30" t="n"/>
      <c r="F261" s="30" t="n"/>
      <c r="G261" s="30" t="n"/>
      <c r="H261" s="30" t="n"/>
      <c r="I261" s="31" t="n"/>
      <c r="J261" s="30" t="n"/>
      <c r="K261" s="30" t="n"/>
      <c r="L261" s="30" t="n"/>
      <c r="M261" s="30" t="n"/>
      <c r="N261" s="32" t="n"/>
      <c r="O261" s="30" t="n"/>
      <c r="P261" s="32" t="n"/>
      <c r="Q261" s="30" t="n"/>
      <c r="R261" s="32" t="n"/>
      <c r="S261" s="30" t="n"/>
      <c r="T261" s="30" t="n"/>
      <c r="U261" s="30" t="n"/>
      <c r="V261" s="30" t="n"/>
      <c r="W261" s="29">
        <f>IF(H261="","",IF(H261="Kenya","Yes","No"))</f>
        <v/>
      </c>
      <c r="X261" s="29">
        <f>IF(B261="","",IF(COUNTIF($B$5:$B$3004,B261)&gt;1,"DUPLICATE","OK"))</f>
        <v/>
      </c>
      <c r="Y261" s="29">
        <f>IF(OR(U261="",V261="",V261="Excluded"),"",IF(COUNTIFS($U$5:$U$3004,U261,$V$5:$V$3004,"&lt;&gt;"&amp;V261,$V$5:$V$3004,"&lt;&gt;",$V$5:$V$3004,"&lt;&gt;Excluded")&gt;0,"LEAK RISK","OK"))</f>
        <v/>
      </c>
      <c r="Z261" s="30" t="n"/>
    </row>
    <row r="262">
      <c r="A262" s="30" t="n"/>
      <c r="B262" s="30" t="n"/>
      <c r="C262" s="30" t="n"/>
      <c r="D262" s="30" t="n"/>
      <c r="E262" s="30" t="n"/>
      <c r="F262" s="30" t="n"/>
      <c r="G262" s="30" t="n"/>
      <c r="H262" s="30" t="n"/>
      <c r="I262" s="31" t="n"/>
      <c r="J262" s="30" t="n"/>
      <c r="K262" s="30" t="n"/>
      <c r="L262" s="30" t="n"/>
      <c r="M262" s="30" t="n"/>
      <c r="N262" s="32" t="n"/>
      <c r="O262" s="30" t="n"/>
      <c r="P262" s="32" t="n"/>
      <c r="Q262" s="30" t="n"/>
      <c r="R262" s="32" t="n"/>
      <c r="S262" s="30" t="n"/>
      <c r="T262" s="30" t="n"/>
      <c r="U262" s="30" t="n"/>
      <c r="V262" s="30" t="n"/>
      <c r="W262" s="29">
        <f>IF(H262="","",IF(H262="Kenya","Yes","No"))</f>
        <v/>
      </c>
      <c r="X262" s="29">
        <f>IF(B262="","",IF(COUNTIF($B$5:$B$3004,B262)&gt;1,"DUPLICATE","OK"))</f>
        <v/>
      </c>
      <c r="Y262" s="29">
        <f>IF(OR(U262="",V262="",V262="Excluded"),"",IF(COUNTIFS($U$5:$U$3004,U262,$V$5:$V$3004,"&lt;&gt;"&amp;V262,$V$5:$V$3004,"&lt;&gt;",$V$5:$V$3004,"&lt;&gt;Excluded")&gt;0,"LEAK RISK","OK"))</f>
        <v/>
      </c>
      <c r="Z262" s="30" t="n"/>
    </row>
    <row r="263">
      <c r="A263" s="30" t="n"/>
      <c r="B263" s="30" t="n"/>
      <c r="C263" s="30" t="n"/>
      <c r="D263" s="30" t="n"/>
      <c r="E263" s="30" t="n"/>
      <c r="F263" s="30" t="n"/>
      <c r="G263" s="30" t="n"/>
      <c r="H263" s="30" t="n"/>
      <c r="I263" s="31" t="n"/>
      <c r="J263" s="30" t="n"/>
      <c r="K263" s="30" t="n"/>
      <c r="L263" s="30" t="n"/>
      <c r="M263" s="30" t="n"/>
      <c r="N263" s="32" t="n"/>
      <c r="O263" s="30" t="n"/>
      <c r="P263" s="32" t="n"/>
      <c r="Q263" s="30" t="n"/>
      <c r="R263" s="32" t="n"/>
      <c r="S263" s="30" t="n"/>
      <c r="T263" s="30" t="n"/>
      <c r="U263" s="30" t="n"/>
      <c r="V263" s="30" t="n"/>
      <c r="W263" s="29">
        <f>IF(H263="","",IF(H263="Kenya","Yes","No"))</f>
        <v/>
      </c>
      <c r="X263" s="29">
        <f>IF(B263="","",IF(COUNTIF($B$5:$B$3004,B263)&gt;1,"DUPLICATE","OK"))</f>
        <v/>
      </c>
      <c r="Y263" s="29">
        <f>IF(OR(U263="",V263="",V263="Excluded"),"",IF(COUNTIFS($U$5:$U$3004,U263,$V$5:$V$3004,"&lt;&gt;"&amp;V263,$V$5:$V$3004,"&lt;&gt;",$V$5:$V$3004,"&lt;&gt;Excluded")&gt;0,"LEAK RISK","OK"))</f>
        <v/>
      </c>
      <c r="Z263" s="30" t="n"/>
    </row>
    <row r="264">
      <c r="A264" s="30" t="n"/>
      <c r="B264" s="30" t="n"/>
      <c r="C264" s="30" t="n"/>
      <c r="D264" s="30" t="n"/>
      <c r="E264" s="30" t="n"/>
      <c r="F264" s="30" t="n"/>
      <c r="G264" s="30" t="n"/>
      <c r="H264" s="30" t="n"/>
      <c r="I264" s="31" t="n"/>
      <c r="J264" s="30" t="n"/>
      <c r="K264" s="30" t="n"/>
      <c r="L264" s="30" t="n"/>
      <c r="M264" s="30" t="n"/>
      <c r="N264" s="32" t="n"/>
      <c r="O264" s="30" t="n"/>
      <c r="P264" s="32" t="n"/>
      <c r="Q264" s="30" t="n"/>
      <c r="R264" s="32" t="n"/>
      <c r="S264" s="30" t="n"/>
      <c r="T264" s="30" t="n"/>
      <c r="U264" s="30" t="n"/>
      <c r="V264" s="30" t="n"/>
      <c r="W264" s="29">
        <f>IF(H264="","",IF(H264="Kenya","Yes","No"))</f>
        <v/>
      </c>
      <c r="X264" s="29">
        <f>IF(B264="","",IF(COUNTIF($B$5:$B$3004,B264)&gt;1,"DUPLICATE","OK"))</f>
        <v/>
      </c>
      <c r="Y264" s="29">
        <f>IF(OR(U264="",V264="",V264="Excluded"),"",IF(COUNTIFS($U$5:$U$3004,U264,$V$5:$V$3004,"&lt;&gt;"&amp;V264,$V$5:$V$3004,"&lt;&gt;",$V$5:$V$3004,"&lt;&gt;Excluded")&gt;0,"LEAK RISK","OK"))</f>
        <v/>
      </c>
      <c r="Z264" s="30" t="n"/>
    </row>
    <row r="265">
      <c r="A265" s="30" t="n"/>
      <c r="B265" s="30" t="n"/>
      <c r="C265" s="30" t="n"/>
      <c r="D265" s="30" t="n"/>
      <c r="E265" s="30" t="n"/>
      <c r="F265" s="30" t="n"/>
      <c r="G265" s="30" t="n"/>
      <c r="H265" s="30" t="n"/>
      <c r="I265" s="31" t="n"/>
      <c r="J265" s="30" t="n"/>
      <c r="K265" s="30" t="n"/>
      <c r="L265" s="30" t="n"/>
      <c r="M265" s="30" t="n"/>
      <c r="N265" s="32" t="n"/>
      <c r="O265" s="30" t="n"/>
      <c r="P265" s="32" t="n"/>
      <c r="Q265" s="30" t="n"/>
      <c r="R265" s="32" t="n"/>
      <c r="S265" s="30" t="n"/>
      <c r="T265" s="30" t="n"/>
      <c r="U265" s="30" t="n"/>
      <c r="V265" s="30" t="n"/>
      <c r="W265" s="29">
        <f>IF(H265="","",IF(H265="Kenya","Yes","No"))</f>
        <v/>
      </c>
      <c r="X265" s="29">
        <f>IF(B265="","",IF(COUNTIF($B$5:$B$3004,B265)&gt;1,"DUPLICATE","OK"))</f>
        <v/>
      </c>
      <c r="Y265" s="29">
        <f>IF(OR(U265="",V265="",V265="Excluded"),"",IF(COUNTIFS($U$5:$U$3004,U265,$V$5:$V$3004,"&lt;&gt;"&amp;V265,$V$5:$V$3004,"&lt;&gt;",$V$5:$V$3004,"&lt;&gt;Excluded")&gt;0,"LEAK RISK","OK"))</f>
        <v/>
      </c>
      <c r="Z265" s="30" t="n"/>
    </row>
    <row r="266">
      <c r="A266" s="30" t="n"/>
      <c r="B266" s="30" t="n"/>
      <c r="C266" s="30" t="n"/>
      <c r="D266" s="30" t="n"/>
      <c r="E266" s="30" t="n"/>
      <c r="F266" s="30" t="n"/>
      <c r="G266" s="30" t="n"/>
      <c r="H266" s="30" t="n"/>
      <c r="I266" s="31" t="n"/>
      <c r="J266" s="30" t="n"/>
      <c r="K266" s="30" t="n"/>
      <c r="L266" s="30" t="n"/>
      <c r="M266" s="30" t="n"/>
      <c r="N266" s="32" t="n"/>
      <c r="O266" s="30" t="n"/>
      <c r="P266" s="32" t="n"/>
      <c r="Q266" s="30" t="n"/>
      <c r="R266" s="32" t="n"/>
      <c r="S266" s="30" t="n"/>
      <c r="T266" s="30" t="n"/>
      <c r="U266" s="30" t="n"/>
      <c r="V266" s="30" t="n"/>
      <c r="W266" s="29">
        <f>IF(H266="","",IF(H266="Kenya","Yes","No"))</f>
        <v/>
      </c>
      <c r="X266" s="29">
        <f>IF(B266="","",IF(COUNTIF($B$5:$B$3004,B266)&gt;1,"DUPLICATE","OK"))</f>
        <v/>
      </c>
      <c r="Y266" s="29">
        <f>IF(OR(U266="",V266="",V266="Excluded"),"",IF(COUNTIFS($U$5:$U$3004,U266,$V$5:$V$3004,"&lt;&gt;"&amp;V266,$V$5:$V$3004,"&lt;&gt;",$V$5:$V$3004,"&lt;&gt;Excluded")&gt;0,"LEAK RISK","OK"))</f>
        <v/>
      </c>
      <c r="Z266" s="30" t="n"/>
    </row>
    <row r="267">
      <c r="A267" s="30" t="n"/>
      <c r="B267" s="30" t="n"/>
      <c r="C267" s="30" t="n"/>
      <c r="D267" s="30" t="n"/>
      <c r="E267" s="30" t="n"/>
      <c r="F267" s="30" t="n"/>
      <c r="G267" s="30" t="n"/>
      <c r="H267" s="30" t="n"/>
      <c r="I267" s="31" t="n"/>
      <c r="J267" s="30" t="n"/>
      <c r="K267" s="30" t="n"/>
      <c r="L267" s="30" t="n"/>
      <c r="M267" s="30" t="n"/>
      <c r="N267" s="32" t="n"/>
      <c r="O267" s="30" t="n"/>
      <c r="P267" s="32" t="n"/>
      <c r="Q267" s="30" t="n"/>
      <c r="R267" s="32" t="n"/>
      <c r="S267" s="30" t="n"/>
      <c r="T267" s="30" t="n"/>
      <c r="U267" s="30" t="n"/>
      <c r="V267" s="30" t="n"/>
      <c r="W267" s="29">
        <f>IF(H267="","",IF(H267="Kenya","Yes","No"))</f>
        <v/>
      </c>
      <c r="X267" s="29">
        <f>IF(B267="","",IF(COUNTIF($B$5:$B$3004,B267)&gt;1,"DUPLICATE","OK"))</f>
        <v/>
      </c>
      <c r="Y267" s="29">
        <f>IF(OR(U267="",V267="",V267="Excluded"),"",IF(COUNTIFS($U$5:$U$3004,U267,$V$5:$V$3004,"&lt;&gt;"&amp;V267,$V$5:$V$3004,"&lt;&gt;",$V$5:$V$3004,"&lt;&gt;Excluded")&gt;0,"LEAK RISK","OK"))</f>
        <v/>
      </c>
      <c r="Z267" s="30" t="n"/>
    </row>
    <row r="268">
      <c r="A268" s="30" t="n"/>
      <c r="B268" s="30" t="n"/>
      <c r="C268" s="30" t="n"/>
      <c r="D268" s="30" t="n"/>
      <c r="E268" s="30" t="n"/>
      <c r="F268" s="30" t="n"/>
      <c r="G268" s="30" t="n"/>
      <c r="H268" s="30" t="n"/>
      <c r="I268" s="31" t="n"/>
      <c r="J268" s="30" t="n"/>
      <c r="K268" s="30" t="n"/>
      <c r="L268" s="30" t="n"/>
      <c r="M268" s="30" t="n"/>
      <c r="N268" s="32" t="n"/>
      <c r="O268" s="30" t="n"/>
      <c r="P268" s="32" t="n"/>
      <c r="Q268" s="30" t="n"/>
      <c r="R268" s="32" t="n"/>
      <c r="S268" s="30" t="n"/>
      <c r="T268" s="30" t="n"/>
      <c r="U268" s="30" t="n"/>
      <c r="V268" s="30" t="n"/>
      <c r="W268" s="29">
        <f>IF(H268="","",IF(H268="Kenya","Yes","No"))</f>
        <v/>
      </c>
      <c r="X268" s="29">
        <f>IF(B268="","",IF(COUNTIF($B$5:$B$3004,B268)&gt;1,"DUPLICATE","OK"))</f>
        <v/>
      </c>
      <c r="Y268" s="29">
        <f>IF(OR(U268="",V268="",V268="Excluded"),"",IF(COUNTIFS($U$5:$U$3004,U268,$V$5:$V$3004,"&lt;&gt;"&amp;V268,$V$5:$V$3004,"&lt;&gt;",$V$5:$V$3004,"&lt;&gt;Excluded")&gt;0,"LEAK RISK","OK"))</f>
        <v/>
      </c>
      <c r="Z268" s="30" t="n"/>
    </row>
    <row r="269">
      <c r="A269" s="30" t="n"/>
      <c r="B269" s="30" t="n"/>
      <c r="C269" s="30" t="n"/>
      <c r="D269" s="30" t="n"/>
      <c r="E269" s="30" t="n"/>
      <c r="F269" s="30" t="n"/>
      <c r="G269" s="30" t="n"/>
      <c r="H269" s="30" t="n"/>
      <c r="I269" s="31" t="n"/>
      <c r="J269" s="30" t="n"/>
      <c r="K269" s="30" t="n"/>
      <c r="L269" s="30" t="n"/>
      <c r="M269" s="30" t="n"/>
      <c r="N269" s="32" t="n"/>
      <c r="O269" s="30" t="n"/>
      <c r="P269" s="32" t="n"/>
      <c r="Q269" s="30" t="n"/>
      <c r="R269" s="32" t="n"/>
      <c r="S269" s="30" t="n"/>
      <c r="T269" s="30" t="n"/>
      <c r="U269" s="30" t="n"/>
      <c r="V269" s="30" t="n"/>
      <c r="W269" s="29">
        <f>IF(H269="","",IF(H269="Kenya","Yes","No"))</f>
        <v/>
      </c>
      <c r="X269" s="29">
        <f>IF(B269="","",IF(COUNTIF($B$5:$B$3004,B269)&gt;1,"DUPLICATE","OK"))</f>
        <v/>
      </c>
      <c r="Y269" s="29">
        <f>IF(OR(U269="",V269="",V269="Excluded"),"",IF(COUNTIFS($U$5:$U$3004,U269,$V$5:$V$3004,"&lt;&gt;"&amp;V269,$V$5:$V$3004,"&lt;&gt;",$V$5:$V$3004,"&lt;&gt;Excluded")&gt;0,"LEAK RISK","OK"))</f>
        <v/>
      </c>
      <c r="Z269" s="30" t="n"/>
    </row>
    <row r="270">
      <c r="A270" s="30" t="n"/>
      <c r="B270" s="30" t="n"/>
      <c r="C270" s="30" t="n"/>
      <c r="D270" s="30" t="n"/>
      <c r="E270" s="30" t="n"/>
      <c r="F270" s="30" t="n"/>
      <c r="G270" s="30" t="n"/>
      <c r="H270" s="30" t="n"/>
      <c r="I270" s="31" t="n"/>
      <c r="J270" s="30" t="n"/>
      <c r="K270" s="30" t="n"/>
      <c r="L270" s="30" t="n"/>
      <c r="M270" s="30" t="n"/>
      <c r="N270" s="32" t="n"/>
      <c r="O270" s="30" t="n"/>
      <c r="P270" s="32" t="n"/>
      <c r="Q270" s="30" t="n"/>
      <c r="R270" s="32" t="n"/>
      <c r="S270" s="30" t="n"/>
      <c r="T270" s="30" t="n"/>
      <c r="U270" s="30" t="n"/>
      <c r="V270" s="30" t="n"/>
      <c r="W270" s="29">
        <f>IF(H270="","",IF(H270="Kenya","Yes","No"))</f>
        <v/>
      </c>
      <c r="X270" s="29">
        <f>IF(B270="","",IF(COUNTIF($B$5:$B$3004,B270)&gt;1,"DUPLICATE","OK"))</f>
        <v/>
      </c>
      <c r="Y270" s="29">
        <f>IF(OR(U270="",V270="",V270="Excluded"),"",IF(COUNTIFS($U$5:$U$3004,U270,$V$5:$V$3004,"&lt;&gt;"&amp;V270,$V$5:$V$3004,"&lt;&gt;",$V$5:$V$3004,"&lt;&gt;Excluded")&gt;0,"LEAK RISK","OK"))</f>
        <v/>
      </c>
      <c r="Z270" s="30" t="n"/>
    </row>
    <row r="271">
      <c r="A271" s="30" t="n"/>
      <c r="B271" s="30" t="n"/>
      <c r="C271" s="30" t="n"/>
      <c r="D271" s="30" t="n"/>
      <c r="E271" s="30" t="n"/>
      <c r="F271" s="30" t="n"/>
      <c r="G271" s="30" t="n"/>
      <c r="H271" s="30" t="n"/>
      <c r="I271" s="31" t="n"/>
      <c r="J271" s="30" t="n"/>
      <c r="K271" s="30" t="n"/>
      <c r="L271" s="30" t="n"/>
      <c r="M271" s="30" t="n"/>
      <c r="N271" s="32" t="n"/>
      <c r="O271" s="30" t="n"/>
      <c r="P271" s="32" t="n"/>
      <c r="Q271" s="30" t="n"/>
      <c r="R271" s="32" t="n"/>
      <c r="S271" s="30" t="n"/>
      <c r="T271" s="30" t="n"/>
      <c r="U271" s="30" t="n"/>
      <c r="V271" s="30" t="n"/>
      <c r="W271" s="29">
        <f>IF(H271="","",IF(H271="Kenya","Yes","No"))</f>
        <v/>
      </c>
      <c r="X271" s="29">
        <f>IF(B271="","",IF(COUNTIF($B$5:$B$3004,B271)&gt;1,"DUPLICATE","OK"))</f>
        <v/>
      </c>
      <c r="Y271" s="29">
        <f>IF(OR(U271="",V271="",V271="Excluded"),"",IF(COUNTIFS($U$5:$U$3004,U271,$V$5:$V$3004,"&lt;&gt;"&amp;V271,$V$5:$V$3004,"&lt;&gt;",$V$5:$V$3004,"&lt;&gt;Excluded")&gt;0,"LEAK RISK","OK"))</f>
        <v/>
      </c>
      <c r="Z271" s="30" t="n"/>
    </row>
    <row r="272">
      <c r="A272" s="30" t="n"/>
      <c r="B272" s="30" t="n"/>
      <c r="C272" s="30" t="n"/>
      <c r="D272" s="30" t="n"/>
      <c r="E272" s="30" t="n"/>
      <c r="F272" s="30" t="n"/>
      <c r="G272" s="30" t="n"/>
      <c r="H272" s="30" t="n"/>
      <c r="I272" s="31" t="n"/>
      <c r="J272" s="30" t="n"/>
      <c r="K272" s="30" t="n"/>
      <c r="L272" s="30" t="n"/>
      <c r="M272" s="30" t="n"/>
      <c r="N272" s="32" t="n"/>
      <c r="O272" s="30" t="n"/>
      <c r="P272" s="32" t="n"/>
      <c r="Q272" s="30" t="n"/>
      <c r="R272" s="32" t="n"/>
      <c r="S272" s="30" t="n"/>
      <c r="T272" s="30" t="n"/>
      <c r="U272" s="30" t="n"/>
      <c r="V272" s="30" t="n"/>
      <c r="W272" s="29">
        <f>IF(H272="","",IF(H272="Kenya","Yes","No"))</f>
        <v/>
      </c>
      <c r="X272" s="29">
        <f>IF(B272="","",IF(COUNTIF($B$5:$B$3004,B272)&gt;1,"DUPLICATE","OK"))</f>
        <v/>
      </c>
      <c r="Y272" s="29">
        <f>IF(OR(U272="",V272="",V272="Excluded"),"",IF(COUNTIFS($U$5:$U$3004,U272,$V$5:$V$3004,"&lt;&gt;"&amp;V272,$V$5:$V$3004,"&lt;&gt;",$V$5:$V$3004,"&lt;&gt;Excluded")&gt;0,"LEAK RISK","OK"))</f>
        <v/>
      </c>
      <c r="Z272" s="30" t="n"/>
    </row>
    <row r="273">
      <c r="A273" s="30" t="n"/>
      <c r="B273" s="30" t="n"/>
      <c r="C273" s="30" t="n"/>
      <c r="D273" s="30" t="n"/>
      <c r="E273" s="30" t="n"/>
      <c r="F273" s="30" t="n"/>
      <c r="G273" s="30" t="n"/>
      <c r="H273" s="30" t="n"/>
      <c r="I273" s="31" t="n"/>
      <c r="J273" s="30" t="n"/>
      <c r="K273" s="30" t="n"/>
      <c r="L273" s="30" t="n"/>
      <c r="M273" s="30" t="n"/>
      <c r="N273" s="32" t="n"/>
      <c r="O273" s="30" t="n"/>
      <c r="P273" s="32" t="n"/>
      <c r="Q273" s="30" t="n"/>
      <c r="R273" s="32" t="n"/>
      <c r="S273" s="30" t="n"/>
      <c r="T273" s="30" t="n"/>
      <c r="U273" s="30" t="n"/>
      <c r="V273" s="30" t="n"/>
      <c r="W273" s="29">
        <f>IF(H273="","",IF(H273="Kenya","Yes","No"))</f>
        <v/>
      </c>
      <c r="X273" s="29">
        <f>IF(B273="","",IF(COUNTIF($B$5:$B$3004,B273)&gt;1,"DUPLICATE","OK"))</f>
        <v/>
      </c>
      <c r="Y273" s="29">
        <f>IF(OR(U273="",V273="",V273="Excluded"),"",IF(COUNTIFS($U$5:$U$3004,U273,$V$5:$V$3004,"&lt;&gt;"&amp;V273,$V$5:$V$3004,"&lt;&gt;",$V$5:$V$3004,"&lt;&gt;Excluded")&gt;0,"LEAK RISK","OK"))</f>
        <v/>
      </c>
      <c r="Z273" s="30" t="n"/>
    </row>
    <row r="274">
      <c r="A274" s="30" t="n"/>
      <c r="B274" s="30" t="n"/>
      <c r="C274" s="30" t="n"/>
      <c r="D274" s="30" t="n"/>
      <c r="E274" s="30" t="n"/>
      <c r="F274" s="30" t="n"/>
      <c r="G274" s="30" t="n"/>
      <c r="H274" s="30" t="n"/>
      <c r="I274" s="31" t="n"/>
      <c r="J274" s="30" t="n"/>
      <c r="K274" s="30" t="n"/>
      <c r="L274" s="30" t="n"/>
      <c r="M274" s="30" t="n"/>
      <c r="N274" s="32" t="n"/>
      <c r="O274" s="30" t="n"/>
      <c r="P274" s="32" t="n"/>
      <c r="Q274" s="30" t="n"/>
      <c r="R274" s="32" t="n"/>
      <c r="S274" s="30" t="n"/>
      <c r="T274" s="30" t="n"/>
      <c r="U274" s="30" t="n"/>
      <c r="V274" s="30" t="n"/>
      <c r="W274" s="29">
        <f>IF(H274="","",IF(H274="Kenya","Yes","No"))</f>
        <v/>
      </c>
      <c r="X274" s="29">
        <f>IF(B274="","",IF(COUNTIF($B$5:$B$3004,B274)&gt;1,"DUPLICATE","OK"))</f>
        <v/>
      </c>
      <c r="Y274" s="29">
        <f>IF(OR(U274="",V274="",V274="Excluded"),"",IF(COUNTIFS($U$5:$U$3004,U274,$V$5:$V$3004,"&lt;&gt;"&amp;V274,$V$5:$V$3004,"&lt;&gt;",$V$5:$V$3004,"&lt;&gt;Excluded")&gt;0,"LEAK RISK","OK"))</f>
        <v/>
      </c>
      <c r="Z274" s="30" t="n"/>
    </row>
    <row r="275">
      <c r="A275" s="30" t="n"/>
      <c r="B275" s="30" t="n"/>
      <c r="C275" s="30" t="n"/>
      <c r="D275" s="30" t="n"/>
      <c r="E275" s="30" t="n"/>
      <c r="F275" s="30" t="n"/>
      <c r="G275" s="30" t="n"/>
      <c r="H275" s="30" t="n"/>
      <c r="I275" s="31" t="n"/>
      <c r="J275" s="30" t="n"/>
      <c r="K275" s="30" t="n"/>
      <c r="L275" s="30" t="n"/>
      <c r="M275" s="30" t="n"/>
      <c r="N275" s="32" t="n"/>
      <c r="O275" s="30" t="n"/>
      <c r="P275" s="32" t="n"/>
      <c r="Q275" s="30" t="n"/>
      <c r="R275" s="32" t="n"/>
      <c r="S275" s="30" t="n"/>
      <c r="T275" s="30" t="n"/>
      <c r="U275" s="30" t="n"/>
      <c r="V275" s="30" t="n"/>
      <c r="W275" s="29">
        <f>IF(H275="","",IF(H275="Kenya","Yes","No"))</f>
        <v/>
      </c>
      <c r="X275" s="29">
        <f>IF(B275="","",IF(COUNTIF($B$5:$B$3004,B275)&gt;1,"DUPLICATE","OK"))</f>
        <v/>
      </c>
      <c r="Y275" s="29">
        <f>IF(OR(U275="",V275="",V275="Excluded"),"",IF(COUNTIFS($U$5:$U$3004,U275,$V$5:$V$3004,"&lt;&gt;"&amp;V275,$V$5:$V$3004,"&lt;&gt;",$V$5:$V$3004,"&lt;&gt;Excluded")&gt;0,"LEAK RISK","OK"))</f>
        <v/>
      </c>
      <c r="Z275" s="30" t="n"/>
    </row>
    <row r="276">
      <c r="A276" s="30" t="n"/>
      <c r="B276" s="30" t="n"/>
      <c r="C276" s="30" t="n"/>
      <c r="D276" s="30" t="n"/>
      <c r="E276" s="30" t="n"/>
      <c r="F276" s="30" t="n"/>
      <c r="G276" s="30" t="n"/>
      <c r="H276" s="30" t="n"/>
      <c r="I276" s="31" t="n"/>
      <c r="J276" s="30" t="n"/>
      <c r="K276" s="30" t="n"/>
      <c r="L276" s="30" t="n"/>
      <c r="M276" s="30" t="n"/>
      <c r="N276" s="32" t="n"/>
      <c r="O276" s="30" t="n"/>
      <c r="P276" s="32" t="n"/>
      <c r="Q276" s="30" t="n"/>
      <c r="R276" s="32" t="n"/>
      <c r="S276" s="30" t="n"/>
      <c r="T276" s="30" t="n"/>
      <c r="U276" s="30" t="n"/>
      <c r="V276" s="30" t="n"/>
      <c r="W276" s="29">
        <f>IF(H276="","",IF(H276="Kenya","Yes","No"))</f>
        <v/>
      </c>
      <c r="X276" s="29">
        <f>IF(B276="","",IF(COUNTIF($B$5:$B$3004,B276)&gt;1,"DUPLICATE","OK"))</f>
        <v/>
      </c>
      <c r="Y276" s="29">
        <f>IF(OR(U276="",V276="",V276="Excluded"),"",IF(COUNTIFS($U$5:$U$3004,U276,$V$5:$V$3004,"&lt;&gt;"&amp;V276,$V$5:$V$3004,"&lt;&gt;",$V$5:$V$3004,"&lt;&gt;Excluded")&gt;0,"LEAK RISK","OK"))</f>
        <v/>
      </c>
      <c r="Z276" s="30" t="n"/>
    </row>
    <row r="277">
      <c r="A277" s="30" t="n"/>
      <c r="B277" s="30" t="n"/>
      <c r="C277" s="30" t="n"/>
      <c r="D277" s="30" t="n"/>
      <c r="E277" s="30" t="n"/>
      <c r="F277" s="30" t="n"/>
      <c r="G277" s="30" t="n"/>
      <c r="H277" s="30" t="n"/>
      <c r="I277" s="31" t="n"/>
      <c r="J277" s="30" t="n"/>
      <c r="K277" s="30" t="n"/>
      <c r="L277" s="30" t="n"/>
      <c r="M277" s="30" t="n"/>
      <c r="N277" s="32" t="n"/>
      <c r="O277" s="30" t="n"/>
      <c r="P277" s="32" t="n"/>
      <c r="Q277" s="30" t="n"/>
      <c r="R277" s="32" t="n"/>
      <c r="S277" s="30" t="n"/>
      <c r="T277" s="30" t="n"/>
      <c r="U277" s="30" t="n"/>
      <c r="V277" s="30" t="n"/>
      <c r="W277" s="29">
        <f>IF(H277="","",IF(H277="Kenya","Yes","No"))</f>
        <v/>
      </c>
      <c r="X277" s="29">
        <f>IF(B277="","",IF(COUNTIF($B$5:$B$3004,B277)&gt;1,"DUPLICATE","OK"))</f>
        <v/>
      </c>
      <c r="Y277" s="29">
        <f>IF(OR(U277="",V277="",V277="Excluded"),"",IF(COUNTIFS($U$5:$U$3004,U277,$V$5:$V$3004,"&lt;&gt;"&amp;V277,$V$5:$V$3004,"&lt;&gt;",$V$5:$V$3004,"&lt;&gt;Excluded")&gt;0,"LEAK RISK","OK"))</f>
        <v/>
      </c>
      <c r="Z277" s="30" t="n"/>
    </row>
    <row r="278">
      <c r="A278" s="30" t="n"/>
      <c r="B278" s="30" t="n"/>
      <c r="C278" s="30" t="n"/>
      <c r="D278" s="30" t="n"/>
      <c r="E278" s="30" t="n"/>
      <c r="F278" s="30" t="n"/>
      <c r="G278" s="30" t="n"/>
      <c r="H278" s="30" t="n"/>
      <c r="I278" s="31" t="n"/>
      <c r="J278" s="30" t="n"/>
      <c r="K278" s="30" t="n"/>
      <c r="L278" s="30" t="n"/>
      <c r="M278" s="30" t="n"/>
      <c r="N278" s="32" t="n"/>
      <c r="O278" s="30" t="n"/>
      <c r="P278" s="32" t="n"/>
      <c r="Q278" s="30" t="n"/>
      <c r="R278" s="32" t="n"/>
      <c r="S278" s="30" t="n"/>
      <c r="T278" s="30" t="n"/>
      <c r="U278" s="30" t="n"/>
      <c r="V278" s="30" t="n"/>
      <c r="W278" s="29">
        <f>IF(H278="","",IF(H278="Kenya","Yes","No"))</f>
        <v/>
      </c>
      <c r="X278" s="29">
        <f>IF(B278="","",IF(COUNTIF($B$5:$B$3004,B278)&gt;1,"DUPLICATE","OK"))</f>
        <v/>
      </c>
      <c r="Y278" s="29">
        <f>IF(OR(U278="",V278="",V278="Excluded"),"",IF(COUNTIFS($U$5:$U$3004,U278,$V$5:$V$3004,"&lt;&gt;"&amp;V278,$V$5:$V$3004,"&lt;&gt;",$V$5:$V$3004,"&lt;&gt;Excluded")&gt;0,"LEAK RISK","OK"))</f>
        <v/>
      </c>
      <c r="Z278" s="30" t="n"/>
    </row>
    <row r="279">
      <c r="A279" s="30" t="n"/>
      <c r="B279" s="30" t="n"/>
      <c r="C279" s="30" t="n"/>
      <c r="D279" s="30" t="n"/>
      <c r="E279" s="30" t="n"/>
      <c r="F279" s="30" t="n"/>
      <c r="G279" s="30" t="n"/>
      <c r="H279" s="30" t="n"/>
      <c r="I279" s="31" t="n"/>
      <c r="J279" s="30" t="n"/>
      <c r="K279" s="30" t="n"/>
      <c r="L279" s="30" t="n"/>
      <c r="M279" s="30" t="n"/>
      <c r="N279" s="32" t="n"/>
      <c r="O279" s="30" t="n"/>
      <c r="P279" s="32" t="n"/>
      <c r="Q279" s="30" t="n"/>
      <c r="R279" s="32" t="n"/>
      <c r="S279" s="30" t="n"/>
      <c r="T279" s="30" t="n"/>
      <c r="U279" s="30" t="n"/>
      <c r="V279" s="30" t="n"/>
      <c r="W279" s="29">
        <f>IF(H279="","",IF(H279="Kenya","Yes","No"))</f>
        <v/>
      </c>
      <c r="X279" s="29">
        <f>IF(B279="","",IF(COUNTIF($B$5:$B$3004,B279)&gt;1,"DUPLICATE","OK"))</f>
        <v/>
      </c>
      <c r="Y279" s="29">
        <f>IF(OR(U279="",V279="",V279="Excluded"),"",IF(COUNTIFS($U$5:$U$3004,U279,$V$5:$V$3004,"&lt;&gt;"&amp;V279,$V$5:$V$3004,"&lt;&gt;",$V$5:$V$3004,"&lt;&gt;Excluded")&gt;0,"LEAK RISK","OK"))</f>
        <v/>
      </c>
      <c r="Z279" s="30" t="n"/>
    </row>
    <row r="280">
      <c r="A280" s="30" t="n"/>
      <c r="B280" s="30" t="n"/>
      <c r="C280" s="30" t="n"/>
      <c r="D280" s="30" t="n"/>
      <c r="E280" s="30" t="n"/>
      <c r="F280" s="30" t="n"/>
      <c r="G280" s="30" t="n"/>
      <c r="H280" s="30" t="n"/>
      <c r="I280" s="31" t="n"/>
      <c r="J280" s="30" t="n"/>
      <c r="K280" s="30" t="n"/>
      <c r="L280" s="30" t="n"/>
      <c r="M280" s="30" t="n"/>
      <c r="N280" s="32" t="n"/>
      <c r="O280" s="30" t="n"/>
      <c r="P280" s="32" t="n"/>
      <c r="Q280" s="30" t="n"/>
      <c r="R280" s="32" t="n"/>
      <c r="S280" s="30" t="n"/>
      <c r="T280" s="30" t="n"/>
      <c r="U280" s="30" t="n"/>
      <c r="V280" s="30" t="n"/>
      <c r="W280" s="29">
        <f>IF(H280="","",IF(H280="Kenya","Yes","No"))</f>
        <v/>
      </c>
      <c r="X280" s="29">
        <f>IF(B280="","",IF(COUNTIF($B$5:$B$3004,B280)&gt;1,"DUPLICATE","OK"))</f>
        <v/>
      </c>
      <c r="Y280" s="29">
        <f>IF(OR(U280="",V280="",V280="Excluded"),"",IF(COUNTIFS($U$5:$U$3004,U280,$V$5:$V$3004,"&lt;&gt;"&amp;V280,$V$5:$V$3004,"&lt;&gt;",$V$5:$V$3004,"&lt;&gt;Excluded")&gt;0,"LEAK RISK","OK"))</f>
        <v/>
      </c>
      <c r="Z280" s="30" t="n"/>
    </row>
    <row r="281">
      <c r="A281" s="30" t="n"/>
      <c r="B281" s="30" t="n"/>
      <c r="C281" s="30" t="n"/>
      <c r="D281" s="30" t="n"/>
      <c r="E281" s="30" t="n"/>
      <c r="F281" s="30" t="n"/>
      <c r="G281" s="30" t="n"/>
      <c r="H281" s="30" t="n"/>
      <c r="I281" s="31" t="n"/>
      <c r="J281" s="30" t="n"/>
      <c r="K281" s="30" t="n"/>
      <c r="L281" s="30" t="n"/>
      <c r="M281" s="30" t="n"/>
      <c r="N281" s="32" t="n"/>
      <c r="O281" s="30" t="n"/>
      <c r="P281" s="32" t="n"/>
      <c r="Q281" s="30" t="n"/>
      <c r="R281" s="32" t="n"/>
      <c r="S281" s="30" t="n"/>
      <c r="T281" s="30" t="n"/>
      <c r="U281" s="30" t="n"/>
      <c r="V281" s="30" t="n"/>
      <c r="W281" s="29">
        <f>IF(H281="","",IF(H281="Kenya","Yes","No"))</f>
        <v/>
      </c>
      <c r="X281" s="29">
        <f>IF(B281="","",IF(COUNTIF($B$5:$B$3004,B281)&gt;1,"DUPLICATE","OK"))</f>
        <v/>
      </c>
      <c r="Y281" s="29">
        <f>IF(OR(U281="",V281="",V281="Excluded"),"",IF(COUNTIFS($U$5:$U$3004,U281,$V$5:$V$3004,"&lt;&gt;"&amp;V281,$V$5:$V$3004,"&lt;&gt;",$V$5:$V$3004,"&lt;&gt;Excluded")&gt;0,"LEAK RISK","OK"))</f>
        <v/>
      </c>
      <c r="Z281" s="30" t="n"/>
    </row>
    <row r="282">
      <c r="A282" s="30" t="n"/>
      <c r="B282" s="30" t="n"/>
      <c r="C282" s="30" t="n"/>
      <c r="D282" s="30" t="n"/>
      <c r="E282" s="30" t="n"/>
      <c r="F282" s="30" t="n"/>
      <c r="G282" s="30" t="n"/>
      <c r="H282" s="30" t="n"/>
      <c r="I282" s="31" t="n"/>
      <c r="J282" s="30" t="n"/>
      <c r="K282" s="30" t="n"/>
      <c r="L282" s="30" t="n"/>
      <c r="M282" s="30" t="n"/>
      <c r="N282" s="32" t="n"/>
      <c r="O282" s="30" t="n"/>
      <c r="P282" s="32" t="n"/>
      <c r="Q282" s="30" t="n"/>
      <c r="R282" s="32" t="n"/>
      <c r="S282" s="30" t="n"/>
      <c r="T282" s="30" t="n"/>
      <c r="U282" s="30" t="n"/>
      <c r="V282" s="30" t="n"/>
      <c r="W282" s="29">
        <f>IF(H282="","",IF(H282="Kenya","Yes","No"))</f>
        <v/>
      </c>
      <c r="X282" s="29">
        <f>IF(B282="","",IF(COUNTIF($B$5:$B$3004,B282)&gt;1,"DUPLICATE","OK"))</f>
        <v/>
      </c>
      <c r="Y282" s="29">
        <f>IF(OR(U282="",V282="",V282="Excluded"),"",IF(COUNTIFS($U$5:$U$3004,U282,$V$5:$V$3004,"&lt;&gt;"&amp;V282,$V$5:$V$3004,"&lt;&gt;",$V$5:$V$3004,"&lt;&gt;Excluded")&gt;0,"LEAK RISK","OK"))</f>
        <v/>
      </c>
      <c r="Z282" s="30" t="n"/>
    </row>
    <row r="283">
      <c r="A283" s="30" t="n"/>
      <c r="B283" s="30" t="n"/>
      <c r="C283" s="30" t="n"/>
      <c r="D283" s="30" t="n"/>
      <c r="E283" s="30" t="n"/>
      <c r="F283" s="30" t="n"/>
      <c r="G283" s="30" t="n"/>
      <c r="H283" s="30" t="n"/>
      <c r="I283" s="31" t="n"/>
      <c r="J283" s="30" t="n"/>
      <c r="K283" s="30" t="n"/>
      <c r="L283" s="30" t="n"/>
      <c r="M283" s="30" t="n"/>
      <c r="N283" s="32" t="n"/>
      <c r="O283" s="30" t="n"/>
      <c r="P283" s="32" t="n"/>
      <c r="Q283" s="30" t="n"/>
      <c r="R283" s="32" t="n"/>
      <c r="S283" s="30" t="n"/>
      <c r="T283" s="30" t="n"/>
      <c r="U283" s="30" t="n"/>
      <c r="V283" s="30" t="n"/>
      <c r="W283" s="29">
        <f>IF(H283="","",IF(H283="Kenya","Yes","No"))</f>
        <v/>
      </c>
      <c r="X283" s="29">
        <f>IF(B283="","",IF(COUNTIF($B$5:$B$3004,B283)&gt;1,"DUPLICATE","OK"))</f>
        <v/>
      </c>
      <c r="Y283" s="29">
        <f>IF(OR(U283="",V283="",V283="Excluded"),"",IF(COUNTIFS($U$5:$U$3004,U283,$V$5:$V$3004,"&lt;&gt;"&amp;V283,$V$5:$V$3004,"&lt;&gt;",$V$5:$V$3004,"&lt;&gt;Excluded")&gt;0,"LEAK RISK","OK"))</f>
        <v/>
      </c>
      <c r="Z283" s="30" t="n"/>
    </row>
    <row r="284">
      <c r="A284" s="30" t="n"/>
      <c r="B284" s="30" t="n"/>
      <c r="C284" s="30" t="n"/>
      <c r="D284" s="30" t="n"/>
      <c r="E284" s="30" t="n"/>
      <c r="F284" s="30" t="n"/>
      <c r="G284" s="30" t="n"/>
      <c r="H284" s="30" t="n"/>
      <c r="I284" s="31" t="n"/>
      <c r="J284" s="30" t="n"/>
      <c r="K284" s="30" t="n"/>
      <c r="L284" s="30" t="n"/>
      <c r="M284" s="30" t="n"/>
      <c r="N284" s="32" t="n"/>
      <c r="O284" s="30" t="n"/>
      <c r="P284" s="32" t="n"/>
      <c r="Q284" s="30" t="n"/>
      <c r="R284" s="32" t="n"/>
      <c r="S284" s="30" t="n"/>
      <c r="T284" s="30" t="n"/>
      <c r="U284" s="30" t="n"/>
      <c r="V284" s="30" t="n"/>
      <c r="W284" s="29">
        <f>IF(H284="","",IF(H284="Kenya","Yes","No"))</f>
        <v/>
      </c>
      <c r="X284" s="29">
        <f>IF(B284="","",IF(COUNTIF($B$5:$B$3004,B284)&gt;1,"DUPLICATE","OK"))</f>
        <v/>
      </c>
      <c r="Y284" s="29">
        <f>IF(OR(U284="",V284="",V284="Excluded"),"",IF(COUNTIFS($U$5:$U$3004,U284,$V$5:$V$3004,"&lt;&gt;"&amp;V284,$V$5:$V$3004,"&lt;&gt;",$V$5:$V$3004,"&lt;&gt;Excluded")&gt;0,"LEAK RISK","OK"))</f>
        <v/>
      </c>
      <c r="Z284" s="30" t="n"/>
    </row>
    <row r="285">
      <c r="A285" s="30" t="n"/>
      <c r="B285" s="30" t="n"/>
      <c r="C285" s="30" t="n"/>
      <c r="D285" s="30" t="n"/>
      <c r="E285" s="30" t="n"/>
      <c r="F285" s="30" t="n"/>
      <c r="G285" s="30" t="n"/>
      <c r="H285" s="30" t="n"/>
      <c r="I285" s="31" t="n"/>
      <c r="J285" s="30" t="n"/>
      <c r="K285" s="30" t="n"/>
      <c r="L285" s="30" t="n"/>
      <c r="M285" s="30" t="n"/>
      <c r="N285" s="32" t="n"/>
      <c r="O285" s="30" t="n"/>
      <c r="P285" s="32" t="n"/>
      <c r="Q285" s="30" t="n"/>
      <c r="R285" s="32" t="n"/>
      <c r="S285" s="30" t="n"/>
      <c r="T285" s="30" t="n"/>
      <c r="U285" s="30" t="n"/>
      <c r="V285" s="30" t="n"/>
      <c r="W285" s="29">
        <f>IF(H285="","",IF(H285="Kenya","Yes","No"))</f>
        <v/>
      </c>
      <c r="X285" s="29">
        <f>IF(B285="","",IF(COUNTIF($B$5:$B$3004,B285)&gt;1,"DUPLICATE","OK"))</f>
        <v/>
      </c>
      <c r="Y285" s="29">
        <f>IF(OR(U285="",V285="",V285="Excluded"),"",IF(COUNTIFS($U$5:$U$3004,U285,$V$5:$V$3004,"&lt;&gt;"&amp;V285,$V$5:$V$3004,"&lt;&gt;",$V$5:$V$3004,"&lt;&gt;Excluded")&gt;0,"LEAK RISK","OK"))</f>
        <v/>
      </c>
      <c r="Z285" s="30" t="n"/>
    </row>
    <row r="286">
      <c r="A286" s="30" t="n"/>
      <c r="B286" s="30" t="n"/>
      <c r="C286" s="30" t="n"/>
      <c r="D286" s="30" t="n"/>
      <c r="E286" s="30" t="n"/>
      <c r="F286" s="30" t="n"/>
      <c r="G286" s="30" t="n"/>
      <c r="H286" s="30" t="n"/>
      <c r="I286" s="31" t="n"/>
      <c r="J286" s="30" t="n"/>
      <c r="K286" s="30" t="n"/>
      <c r="L286" s="30" t="n"/>
      <c r="M286" s="30" t="n"/>
      <c r="N286" s="32" t="n"/>
      <c r="O286" s="30" t="n"/>
      <c r="P286" s="32" t="n"/>
      <c r="Q286" s="30" t="n"/>
      <c r="R286" s="32" t="n"/>
      <c r="S286" s="30" t="n"/>
      <c r="T286" s="30" t="n"/>
      <c r="U286" s="30" t="n"/>
      <c r="V286" s="30" t="n"/>
      <c r="W286" s="29">
        <f>IF(H286="","",IF(H286="Kenya","Yes","No"))</f>
        <v/>
      </c>
      <c r="X286" s="29">
        <f>IF(B286="","",IF(COUNTIF($B$5:$B$3004,B286)&gt;1,"DUPLICATE","OK"))</f>
        <v/>
      </c>
      <c r="Y286" s="29">
        <f>IF(OR(U286="",V286="",V286="Excluded"),"",IF(COUNTIFS($U$5:$U$3004,U286,$V$5:$V$3004,"&lt;&gt;"&amp;V286,$V$5:$V$3004,"&lt;&gt;",$V$5:$V$3004,"&lt;&gt;Excluded")&gt;0,"LEAK RISK","OK"))</f>
        <v/>
      </c>
      <c r="Z286" s="30" t="n"/>
    </row>
    <row r="287">
      <c r="A287" s="30" t="n"/>
      <c r="B287" s="30" t="n"/>
      <c r="C287" s="30" t="n"/>
      <c r="D287" s="30" t="n"/>
      <c r="E287" s="30" t="n"/>
      <c r="F287" s="30" t="n"/>
      <c r="G287" s="30" t="n"/>
      <c r="H287" s="30" t="n"/>
      <c r="I287" s="31" t="n"/>
      <c r="J287" s="30" t="n"/>
      <c r="K287" s="30" t="n"/>
      <c r="L287" s="30" t="n"/>
      <c r="M287" s="30" t="n"/>
      <c r="N287" s="32" t="n"/>
      <c r="O287" s="30" t="n"/>
      <c r="P287" s="32" t="n"/>
      <c r="Q287" s="30" t="n"/>
      <c r="R287" s="32" t="n"/>
      <c r="S287" s="30" t="n"/>
      <c r="T287" s="30" t="n"/>
      <c r="U287" s="30" t="n"/>
      <c r="V287" s="30" t="n"/>
      <c r="W287" s="29">
        <f>IF(H287="","",IF(H287="Kenya","Yes","No"))</f>
        <v/>
      </c>
      <c r="X287" s="29">
        <f>IF(B287="","",IF(COUNTIF($B$5:$B$3004,B287)&gt;1,"DUPLICATE","OK"))</f>
        <v/>
      </c>
      <c r="Y287" s="29">
        <f>IF(OR(U287="",V287="",V287="Excluded"),"",IF(COUNTIFS($U$5:$U$3004,U287,$V$5:$V$3004,"&lt;&gt;"&amp;V287,$V$5:$V$3004,"&lt;&gt;",$V$5:$V$3004,"&lt;&gt;Excluded")&gt;0,"LEAK RISK","OK"))</f>
        <v/>
      </c>
      <c r="Z287" s="30" t="n"/>
    </row>
    <row r="288">
      <c r="A288" s="30" t="n"/>
      <c r="B288" s="30" t="n"/>
      <c r="C288" s="30" t="n"/>
      <c r="D288" s="30" t="n"/>
      <c r="E288" s="30" t="n"/>
      <c r="F288" s="30" t="n"/>
      <c r="G288" s="30" t="n"/>
      <c r="H288" s="30" t="n"/>
      <c r="I288" s="31" t="n"/>
      <c r="J288" s="30" t="n"/>
      <c r="K288" s="30" t="n"/>
      <c r="L288" s="30" t="n"/>
      <c r="M288" s="30" t="n"/>
      <c r="N288" s="32" t="n"/>
      <c r="O288" s="30" t="n"/>
      <c r="P288" s="32" t="n"/>
      <c r="Q288" s="30" t="n"/>
      <c r="R288" s="32" t="n"/>
      <c r="S288" s="30" t="n"/>
      <c r="T288" s="30" t="n"/>
      <c r="U288" s="30" t="n"/>
      <c r="V288" s="30" t="n"/>
      <c r="W288" s="29">
        <f>IF(H288="","",IF(H288="Kenya","Yes","No"))</f>
        <v/>
      </c>
      <c r="X288" s="29">
        <f>IF(B288="","",IF(COUNTIF($B$5:$B$3004,B288)&gt;1,"DUPLICATE","OK"))</f>
        <v/>
      </c>
      <c r="Y288" s="29">
        <f>IF(OR(U288="",V288="",V288="Excluded"),"",IF(COUNTIFS($U$5:$U$3004,U288,$V$5:$V$3004,"&lt;&gt;"&amp;V288,$V$5:$V$3004,"&lt;&gt;",$V$5:$V$3004,"&lt;&gt;Excluded")&gt;0,"LEAK RISK","OK"))</f>
        <v/>
      </c>
      <c r="Z288" s="30" t="n"/>
    </row>
    <row r="289">
      <c r="A289" s="30" t="n"/>
      <c r="B289" s="30" t="n"/>
      <c r="C289" s="30" t="n"/>
      <c r="D289" s="30" t="n"/>
      <c r="E289" s="30" t="n"/>
      <c r="F289" s="30" t="n"/>
      <c r="G289" s="30" t="n"/>
      <c r="H289" s="30" t="n"/>
      <c r="I289" s="31" t="n"/>
      <c r="J289" s="30" t="n"/>
      <c r="K289" s="30" t="n"/>
      <c r="L289" s="30" t="n"/>
      <c r="M289" s="30" t="n"/>
      <c r="N289" s="32" t="n"/>
      <c r="O289" s="30" t="n"/>
      <c r="P289" s="32" t="n"/>
      <c r="Q289" s="30" t="n"/>
      <c r="R289" s="32" t="n"/>
      <c r="S289" s="30" t="n"/>
      <c r="T289" s="30" t="n"/>
      <c r="U289" s="30" t="n"/>
      <c r="V289" s="30" t="n"/>
      <c r="W289" s="29">
        <f>IF(H289="","",IF(H289="Kenya","Yes","No"))</f>
        <v/>
      </c>
      <c r="X289" s="29">
        <f>IF(B289="","",IF(COUNTIF($B$5:$B$3004,B289)&gt;1,"DUPLICATE","OK"))</f>
        <v/>
      </c>
      <c r="Y289" s="29">
        <f>IF(OR(U289="",V289="",V289="Excluded"),"",IF(COUNTIFS($U$5:$U$3004,U289,$V$5:$V$3004,"&lt;&gt;"&amp;V289,$V$5:$V$3004,"&lt;&gt;",$V$5:$V$3004,"&lt;&gt;Excluded")&gt;0,"LEAK RISK","OK"))</f>
        <v/>
      </c>
      <c r="Z289" s="30" t="n"/>
    </row>
    <row r="290">
      <c r="A290" s="30" t="n"/>
      <c r="B290" s="30" t="n"/>
      <c r="C290" s="30" t="n"/>
      <c r="D290" s="30" t="n"/>
      <c r="E290" s="30" t="n"/>
      <c r="F290" s="30" t="n"/>
      <c r="G290" s="30" t="n"/>
      <c r="H290" s="30" t="n"/>
      <c r="I290" s="31" t="n"/>
      <c r="J290" s="30" t="n"/>
      <c r="K290" s="30" t="n"/>
      <c r="L290" s="30" t="n"/>
      <c r="M290" s="30" t="n"/>
      <c r="N290" s="32" t="n"/>
      <c r="O290" s="30" t="n"/>
      <c r="P290" s="32" t="n"/>
      <c r="Q290" s="30" t="n"/>
      <c r="R290" s="32" t="n"/>
      <c r="S290" s="30" t="n"/>
      <c r="T290" s="30" t="n"/>
      <c r="U290" s="30" t="n"/>
      <c r="V290" s="30" t="n"/>
      <c r="W290" s="29">
        <f>IF(H290="","",IF(H290="Kenya","Yes","No"))</f>
        <v/>
      </c>
      <c r="X290" s="29">
        <f>IF(B290="","",IF(COUNTIF($B$5:$B$3004,B290)&gt;1,"DUPLICATE","OK"))</f>
        <v/>
      </c>
      <c r="Y290" s="29">
        <f>IF(OR(U290="",V290="",V290="Excluded"),"",IF(COUNTIFS($U$5:$U$3004,U290,$V$5:$V$3004,"&lt;&gt;"&amp;V290,$V$5:$V$3004,"&lt;&gt;",$V$5:$V$3004,"&lt;&gt;Excluded")&gt;0,"LEAK RISK","OK"))</f>
        <v/>
      </c>
      <c r="Z290" s="30" t="n"/>
    </row>
    <row r="291">
      <c r="A291" s="30" t="n"/>
      <c r="B291" s="30" t="n"/>
      <c r="C291" s="30" t="n"/>
      <c r="D291" s="30" t="n"/>
      <c r="E291" s="30" t="n"/>
      <c r="F291" s="30" t="n"/>
      <c r="G291" s="30" t="n"/>
      <c r="H291" s="30" t="n"/>
      <c r="I291" s="31" t="n"/>
      <c r="J291" s="30" t="n"/>
      <c r="K291" s="30" t="n"/>
      <c r="L291" s="30" t="n"/>
      <c r="M291" s="30" t="n"/>
      <c r="N291" s="32" t="n"/>
      <c r="O291" s="30" t="n"/>
      <c r="P291" s="32" t="n"/>
      <c r="Q291" s="30" t="n"/>
      <c r="R291" s="32" t="n"/>
      <c r="S291" s="30" t="n"/>
      <c r="T291" s="30" t="n"/>
      <c r="U291" s="30" t="n"/>
      <c r="V291" s="30" t="n"/>
      <c r="W291" s="29">
        <f>IF(H291="","",IF(H291="Kenya","Yes","No"))</f>
        <v/>
      </c>
      <c r="X291" s="29">
        <f>IF(B291="","",IF(COUNTIF($B$5:$B$3004,B291)&gt;1,"DUPLICATE","OK"))</f>
        <v/>
      </c>
      <c r="Y291" s="29">
        <f>IF(OR(U291="",V291="",V291="Excluded"),"",IF(COUNTIFS($U$5:$U$3004,U291,$V$5:$V$3004,"&lt;&gt;"&amp;V291,$V$5:$V$3004,"&lt;&gt;",$V$5:$V$3004,"&lt;&gt;Excluded")&gt;0,"LEAK RISK","OK"))</f>
        <v/>
      </c>
      <c r="Z291" s="30" t="n"/>
    </row>
    <row r="292">
      <c r="A292" s="30" t="n"/>
      <c r="B292" s="30" t="n"/>
      <c r="C292" s="30" t="n"/>
      <c r="D292" s="30" t="n"/>
      <c r="E292" s="30" t="n"/>
      <c r="F292" s="30" t="n"/>
      <c r="G292" s="30" t="n"/>
      <c r="H292" s="30" t="n"/>
      <c r="I292" s="31" t="n"/>
      <c r="J292" s="30" t="n"/>
      <c r="K292" s="30" t="n"/>
      <c r="L292" s="30" t="n"/>
      <c r="M292" s="30" t="n"/>
      <c r="N292" s="32" t="n"/>
      <c r="O292" s="30" t="n"/>
      <c r="P292" s="32" t="n"/>
      <c r="Q292" s="30" t="n"/>
      <c r="R292" s="32" t="n"/>
      <c r="S292" s="30" t="n"/>
      <c r="T292" s="30" t="n"/>
      <c r="U292" s="30" t="n"/>
      <c r="V292" s="30" t="n"/>
      <c r="W292" s="29">
        <f>IF(H292="","",IF(H292="Kenya","Yes","No"))</f>
        <v/>
      </c>
      <c r="X292" s="29">
        <f>IF(B292="","",IF(COUNTIF($B$5:$B$3004,B292)&gt;1,"DUPLICATE","OK"))</f>
        <v/>
      </c>
      <c r="Y292" s="29">
        <f>IF(OR(U292="",V292="",V292="Excluded"),"",IF(COUNTIFS($U$5:$U$3004,U292,$V$5:$V$3004,"&lt;&gt;"&amp;V292,$V$5:$V$3004,"&lt;&gt;",$V$5:$V$3004,"&lt;&gt;Excluded")&gt;0,"LEAK RISK","OK"))</f>
        <v/>
      </c>
      <c r="Z292" s="30" t="n"/>
    </row>
    <row r="293">
      <c r="A293" s="30" t="n"/>
      <c r="B293" s="30" t="n"/>
      <c r="C293" s="30" t="n"/>
      <c r="D293" s="30" t="n"/>
      <c r="E293" s="30" t="n"/>
      <c r="F293" s="30" t="n"/>
      <c r="G293" s="30" t="n"/>
      <c r="H293" s="30" t="n"/>
      <c r="I293" s="31" t="n"/>
      <c r="J293" s="30" t="n"/>
      <c r="K293" s="30" t="n"/>
      <c r="L293" s="30" t="n"/>
      <c r="M293" s="30" t="n"/>
      <c r="N293" s="32" t="n"/>
      <c r="O293" s="30" t="n"/>
      <c r="P293" s="32" t="n"/>
      <c r="Q293" s="30" t="n"/>
      <c r="R293" s="32" t="n"/>
      <c r="S293" s="30" t="n"/>
      <c r="T293" s="30" t="n"/>
      <c r="U293" s="30" t="n"/>
      <c r="V293" s="30" t="n"/>
      <c r="W293" s="29">
        <f>IF(H293="","",IF(H293="Kenya","Yes","No"))</f>
        <v/>
      </c>
      <c r="X293" s="29">
        <f>IF(B293="","",IF(COUNTIF($B$5:$B$3004,B293)&gt;1,"DUPLICATE","OK"))</f>
        <v/>
      </c>
      <c r="Y293" s="29">
        <f>IF(OR(U293="",V293="",V293="Excluded"),"",IF(COUNTIFS($U$5:$U$3004,U293,$V$5:$V$3004,"&lt;&gt;"&amp;V293,$V$5:$V$3004,"&lt;&gt;",$V$5:$V$3004,"&lt;&gt;Excluded")&gt;0,"LEAK RISK","OK"))</f>
        <v/>
      </c>
      <c r="Z293" s="30" t="n"/>
    </row>
    <row r="294">
      <c r="A294" s="30" t="n"/>
      <c r="B294" s="30" t="n"/>
      <c r="C294" s="30" t="n"/>
      <c r="D294" s="30" t="n"/>
      <c r="E294" s="30" t="n"/>
      <c r="F294" s="30" t="n"/>
      <c r="G294" s="30" t="n"/>
      <c r="H294" s="30" t="n"/>
      <c r="I294" s="31" t="n"/>
      <c r="J294" s="30" t="n"/>
      <c r="K294" s="30" t="n"/>
      <c r="L294" s="30" t="n"/>
      <c r="M294" s="30" t="n"/>
      <c r="N294" s="32" t="n"/>
      <c r="O294" s="30" t="n"/>
      <c r="P294" s="32" t="n"/>
      <c r="Q294" s="30" t="n"/>
      <c r="R294" s="32" t="n"/>
      <c r="S294" s="30" t="n"/>
      <c r="T294" s="30" t="n"/>
      <c r="U294" s="30" t="n"/>
      <c r="V294" s="30" t="n"/>
      <c r="W294" s="29">
        <f>IF(H294="","",IF(H294="Kenya","Yes","No"))</f>
        <v/>
      </c>
      <c r="X294" s="29">
        <f>IF(B294="","",IF(COUNTIF($B$5:$B$3004,B294)&gt;1,"DUPLICATE","OK"))</f>
        <v/>
      </c>
      <c r="Y294" s="29">
        <f>IF(OR(U294="",V294="",V294="Excluded"),"",IF(COUNTIFS($U$5:$U$3004,U294,$V$5:$V$3004,"&lt;&gt;"&amp;V294,$V$5:$V$3004,"&lt;&gt;",$V$5:$V$3004,"&lt;&gt;Excluded")&gt;0,"LEAK RISK","OK"))</f>
        <v/>
      </c>
      <c r="Z294" s="30" t="n"/>
    </row>
    <row r="295">
      <c r="A295" s="30" t="n"/>
      <c r="B295" s="30" t="n"/>
      <c r="C295" s="30" t="n"/>
      <c r="D295" s="30" t="n"/>
      <c r="E295" s="30" t="n"/>
      <c r="F295" s="30" t="n"/>
      <c r="G295" s="30" t="n"/>
      <c r="H295" s="30" t="n"/>
      <c r="I295" s="31" t="n"/>
      <c r="J295" s="30" t="n"/>
      <c r="K295" s="30" t="n"/>
      <c r="L295" s="30" t="n"/>
      <c r="M295" s="30" t="n"/>
      <c r="N295" s="32" t="n"/>
      <c r="O295" s="30" t="n"/>
      <c r="P295" s="32" t="n"/>
      <c r="Q295" s="30" t="n"/>
      <c r="R295" s="32" t="n"/>
      <c r="S295" s="30" t="n"/>
      <c r="T295" s="30" t="n"/>
      <c r="U295" s="30" t="n"/>
      <c r="V295" s="30" t="n"/>
      <c r="W295" s="29">
        <f>IF(H295="","",IF(H295="Kenya","Yes","No"))</f>
        <v/>
      </c>
      <c r="X295" s="29">
        <f>IF(B295="","",IF(COUNTIF($B$5:$B$3004,B295)&gt;1,"DUPLICATE","OK"))</f>
        <v/>
      </c>
      <c r="Y295" s="29">
        <f>IF(OR(U295="",V295="",V295="Excluded"),"",IF(COUNTIFS($U$5:$U$3004,U295,$V$5:$V$3004,"&lt;&gt;"&amp;V295,$V$5:$V$3004,"&lt;&gt;",$V$5:$V$3004,"&lt;&gt;Excluded")&gt;0,"LEAK RISK","OK"))</f>
        <v/>
      </c>
      <c r="Z295" s="30" t="n"/>
    </row>
    <row r="296">
      <c r="A296" s="30" t="n"/>
      <c r="B296" s="30" t="n"/>
      <c r="C296" s="30" t="n"/>
      <c r="D296" s="30" t="n"/>
      <c r="E296" s="30" t="n"/>
      <c r="F296" s="30" t="n"/>
      <c r="G296" s="30" t="n"/>
      <c r="H296" s="30" t="n"/>
      <c r="I296" s="31" t="n"/>
      <c r="J296" s="30" t="n"/>
      <c r="K296" s="30" t="n"/>
      <c r="L296" s="30" t="n"/>
      <c r="M296" s="30" t="n"/>
      <c r="N296" s="32" t="n"/>
      <c r="O296" s="30" t="n"/>
      <c r="P296" s="32" t="n"/>
      <c r="Q296" s="30" t="n"/>
      <c r="R296" s="32" t="n"/>
      <c r="S296" s="30" t="n"/>
      <c r="T296" s="30" t="n"/>
      <c r="U296" s="30" t="n"/>
      <c r="V296" s="30" t="n"/>
      <c r="W296" s="29">
        <f>IF(H296="","",IF(H296="Kenya","Yes","No"))</f>
        <v/>
      </c>
      <c r="X296" s="29">
        <f>IF(B296="","",IF(COUNTIF($B$5:$B$3004,B296)&gt;1,"DUPLICATE","OK"))</f>
        <v/>
      </c>
      <c r="Y296" s="29">
        <f>IF(OR(U296="",V296="",V296="Excluded"),"",IF(COUNTIFS($U$5:$U$3004,U296,$V$5:$V$3004,"&lt;&gt;"&amp;V296,$V$5:$V$3004,"&lt;&gt;",$V$5:$V$3004,"&lt;&gt;Excluded")&gt;0,"LEAK RISK","OK"))</f>
        <v/>
      </c>
      <c r="Z296" s="30" t="n"/>
    </row>
    <row r="297">
      <c r="A297" s="30" t="n"/>
      <c r="B297" s="30" t="n"/>
      <c r="C297" s="30" t="n"/>
      <c r="D297" s="30" t="n"/>
      <c r="E297" s="30" t="n"/>
      <c r="F297" s="30" t="n"/>
      <c r="G297" s="30" t="n"/>
      <c r="H297" s="30" t="n"/>
      <c r="I297" s="31" t="n"/>
      <c r="J297" s="30" t="n"/>
      <c r="K297" s="30" t="n"/>
      <c r="L297" s="30" t="n"/>
      <c r="M297" s="30" t="n"/>
      <c r="N297" s="32" t="n"/>
      <c r="O297" s="30" t="n"/>
      <c r="P297" s="32" t="n"/>
      <c r="Q297" s="30" t="n"/>
      <c r="R297" s="32" t="n"/>
      <c r="S297" s="30" t="n"/>
      <c r="T297" s="30" t="n"/>
      <c r="U297" s="30" t="n"/>
      <c r="V297" s="30" t="n"/>
      <c r="W297" s="29">
        <f>IF(H297="","",IF(H297="Kenya","Yes","No"))</f>
        <v/>
      </c>
      <c r="X297" s="29">
        <f>IF(B297="","",IF(COUNTIF($B$5:$B$3004,B297)&gt;1,"DUPLICATE","OK"))</f>
        <v/>
      </c>
      <c r="Y297" s="29">
        <f>IF(OR(U297="",V297="",V297="Excluded"),"",IF(COUNTIFS($U$5:$U$3004,U297,$V$5:$V$3004,"&lt;&gt;"&amp;V297,$V$5:$V$3004,"&lt;&gt;",$V$5:$V$3004,"&lt;&gt;Excluded")&gt;0,"LEAK RISK","OK"))</f>
        <v/>
      </c>
      <c r="Z297" s="30" t="n"/>
    </row>
    <row r="298">
      <c r="A298" s="30" t="n"/>
      <c r="B298" s="30" t="n"/>
      <c r="C298" s="30" t="n"/>
      <c r="D298" s="30" t="n"/>
      <c r="E298" s="30" t="n"/>
      <c r="F298" s="30" t="n"/>
      <c r="G298" s="30" t="n"/>
      <c r="H298" s="30" t="n"/>
      <c r="I298" s="31" t="n"/>
      <c r="J298" s="30" t="n"/>
      <c r="K298" s="30" t="n"/>
      <c r="L298" s="30" t="n"/>
      <c r="M298" s="30" t="n"/>
      <c r="N298" s="32" t="n"/>
      <c r="O298" s="30" t="n"/>
      <c r="P298" s="32" t="n"/>
      <c r="Q298" s="30" t="n"/>
      <c r="R298" s="32" t="n"/>
      <c r="S298" s="30" t="n"/>
      <c r="T298" s="30" t="n"/>
      <c r="U298" s="30" t="n"/>
      <c r="V298" s="30" t="n"/>
      <c r="W298" s="29">
        <f>IF(H298="","",IF(H298="Kenya","Yes","No"))</f>
        <v/>
      </c>
      <c r="X298" s="29">
        <f>IF(B298="","",IF(COUNTIF($B$5:$B$3004,B298)&gt;1,"DUPLICATE","OK"))</f>
        <v/>
      </c>
      <c r="Y298" s="29">
        <f>IF(OR(U298="",V298="",V298="Excluded"),"",IF(COUNTIFS($U$5:$U$3004,U298,$V$5:$V$3004,"&lt;&gt;"&amp;V298,$V$5:$V$3004,"&lt;&gt;",$V$5:$V$3004,"&lt;&gt;Excluded")&gt;0,"LEAK RISK","OK"))</f>
        <v/>
      </c>
      <c r="Z298" s="30" t="n"/>
    </row>
    <row r="299">
      <c r="A299" s="30" t="n"/>
      <c r="B299" s="30" t="n"/>
      <c r="C299" s="30" t="n"/>
      <c r="D299" s="30" t="n"/>
      <c r="E299" s="30" t="n"/>
      <c r="F299" s="30" t="n"/>
      <c r="G299" s="30" t="n"/>
      <c r="H299" s="30" t="n"/>
      <c r="I299" s="31" t="n"/>
      <c r="J299" s="30" t="n"/>
      <c r="K299" s="30" t="n"/>
      <c r="L299" s="30" t="n"/>
      <c r="M299" s="30" t="n"/>
      <c r="N299" s="32" t="n"/>
      <c r="O299" s="30" t="n"/>
      <c r="P299" s="32" t="n"/>
      <c r="Q299" s="30" t="n"/>
      <c r="R299" s="32" t="n"/>
      <c r="S299" s="30" t="n"/>
      <c r="T299" s="30" t="n"/>
      <c r="U299" s="30" t="n"/>
      <c r="V299" s="30" t="n"/>
      <c r="W299" s="29">
        <f>IF(H299="","",IF(H299="Kenya","Yes","No"))</f>
        <v/>
      </c>
      <c r="X299" s="29">
        <f>IF(B299="","",IF(COUNTIF($B$5:$B$3004,B299)&gt;1,"DUPLICATE","OK"))</f>
        <v/>
      </c>
      <c r="Y299" s="29">
        <f>IF(OR(U299="",V299="",V299="Excluded"),"",IF(COUNTIFS($U$5:$U$3004,U299,$V$5:$V$3004,"&lt;&gt;"&amp;V299,$V$5:$V$3004,"&lt;&gt;",$V$5:$V$3004,"&lt;&gt;Excluded")&gt;0,"LEAK RISK","OK"))</f>
        <v/>
      </c>
      <c r="Z299" s="30" t="n"/>
    </row>
    <row r="300">
      <c r="A300" s="30" t="n"/>
      <c r="B300" s="30" t="n"/>
      <c r="C300" s="30" t="n"/>
      <c r="D300" s="30" t="n"/>
      <c r="E300" s="30" t="n"/>
      <c r="F300" s="30" t="n"/>
      <c r="G300" s="30" t="n"/>
      <c r="H300" s="30" t="n"/>
      <c r="I300" s="31" t="n"/>
      <c r="J300" s="30" t="n"/>
      <c r="K300" s="30" t="n"/>
      <c r="L300" s="30" t="n"/>
      <c r="M300" s="30" t="n"/>
      <c r="N300" s="32" t="n"/>
      <c r="O300" s="30" t="n"/>
      <c r="P300" s="32" t="n"/>
      <c r="Q300" s="30" t="n"/>
      <c r="R300" s="32" t="n"/>
      <c r="S300" s="30" t="n"/>
      <c r="T300" s="30" t="n"/>
      <c r="U300" s="30" t="n"/>
      <c r="V300" s="30" t="n"/>
      <c r="W300" s="29">
        <f>IF(H300="","",IF(H300="Kenya","Yes","No"))</f>
        <v/>
      </c>
      <c r="X300" s="29">
        <f>IF(B300="","",IF(COUNTIF($B$5:$B$3004,B300)&gt;1,"DUPLICATE","OK"))</f>
        <v/>
      </c>
      <c r="Y300" s="29">
        <f>IF(OR(U300="",V300="",V300="Excluded"),"",IF(COUNTIFS($U$5:$U$3004,U300,$V$5:$V$3004,"&lt;&gt;"&amp;V300,$V$5:$V$3004,"&lt;&gt;",$V$5:$V$3004,"&lt;&gt;Excluded")&gt;0,"LEAK RISK","OK"))</f>
        <v/>
      </c>
      <c r="Z300" s="30" t="n"/>
    </row>
    <row r="301">
      <c r="A301" s="30" t="n"/>
      <c r="B301" s="30" t="n"/>
      <c r="C301" s="30" t="n"/>
      <c r="D301" s="30" t="n"/>
      <c r="E301" s="30" t="n"/>
      <c r="F301" s="30" t="n"/>
      <c r="G301" s="30" t="n"/>
      <c r="H301" s="30" t="n"/>
      <c r="I301" s="31" t="n"/>
      <c r="J301" s="30" t="n"/>
      <c r="K301" s="30" t="n"/>
      <c r="L301" s="30" t="n"/>
      <c r="M301" s="30" t="n"/>
      <c r="N301" s="32" t="n"/>
      <c r="O301" s="30" t="n"/>
      <c r="P301" s="32" t="n"/>
      <c r="Q301" s="30" t="n"/>
      <c r="R301" s="32" t="n"/>
      <c r="S301" s="30" t="n"/>
      <c r="T301" s="30" t="n"/>
      <c r="U301" s="30" t="n"/>
      <c r="V301" s="30" t="n"/>
      <c r="W301" s="29">
        <f>IF(H301="","",IF(H301="Kenya","Yes","No"))</f>
        <v/>
      </c>
      <c r="X301" s="29">
        <f>IF(B301="","",IF(COUNTIF($B$5:$B$3004,B301)&gt;1,"DUPLICATE","OK"))</f>
        <v/>
      </c>
      <c r="Y301" s="29">
        <f>IF(OR(U301="",V301="",V301="Excluded"),"",IF(COUNTIFS($U$5:$U$3004,U301,$V$5:$V$3004,"&lt;&gt;"&amp;V301,$V$5:$V$3004,"&lt;&gt;",$V$5:$V$3004,"&lt;&gt;Excluded")&gt;0,"LEAK RISK","OK"))</f>
        <v/>
      </c>
      <c r="Z301" s="30" t="n"/>
    </row>
    <row r="302">
      <c r="A302" s="30" t="n"/>
      <c r="B302" s="30" t="n"/>
      <c r="C302" s="30" t="n"/>
      <c r="D302" s="30" t="n"/>
      <c r="E302" s="30" t="n"/>
      <c r="F302" s="30" t="n"/>
      <c r="G302" s="30" t="n"/>
      <c r="H302" s="30" t="n"/>
      <c r="I302" s="31" t="n"/>
      <c r="J302" s="30" t="n"/>
      <c r="K302" s="30" t="n"/>
      <c r="L302" s="30" t="n"/>
      <c r="M302" s="30" t="n"/>
      <c r="N302" s="32" t="n"/>
      <c r="O302" s="30" t="n"/>
      <c r="P302" s="32" t="n"/>
      <c r="Q302" s="30" t="n"/>
      <c r="R302" s="32" t="n"/>
      <c r="S302" s="30" t="n"/>
      <c r="T302" s="30" t="n"/>
      <c r="U302" s="30" t="n"/>
      <c r="V302" s="30" t="n"/>
      <c r="W302" s="29">
        <f>IF(H302="","",IF(H302="Kenya","Yes","No"))</f>
        <v/>
      </c>
      <c r="X302" s="29">
        <f>IF(B302="","",IF(COUNTIF($B$5:$B$3004,B302)&gt;1,"DUPLICATE","OK"))</f>
        <v/>
      </c>
      <c r="Y302" s="29">
        <f>IF(OR(U302="",V302="",V302="Excluded"),"",IF(COUNTIFS($U$5:$U$3004,U302,$V$5:$V$3004,"&lt;&gt;"&amp;V302,$V$5:$V$3004,"&lt;&gt;",$V$5:$V$3004,"&lt;&gt;Excluded")&gt;0,"LEAK RISK","OK"))</f>
        <v/>
      </c>
      <c r="Z302" s="30" t="n"/>
    </row>
    <row r="303">
      <c r="A303" s="30" t="n"/>
      <c r="B303" s="30" t="n"/>
      <c r="C303" s="30" t="n"/>
      <c r="D303" s="30" t="n"/>
      <c r="E303" s="30" t="n"/>
      <c r="F303" s="30" t="n"/>
      <c r="G303" s="30" t="n"/>
      <c r="H303" s="30" t="n"/>
      <c r="I303" s="31" t="n"/>
      <c r="J303" s="30" t="n"/>
      <c r="K303" s="30" t="n"/>
      <c r="L303" s="30" t="n"/>
      <c r="M303" s="30" t="n"/>
      <c r="N303" s="32" t="n"/>
      <c r="O303" s="30" t="n"/>
      <c r="P303" s="32" t="n"/>
      <c r="Q303" s="30" t="n"/>
      <c r="R303" s="32" t="n"/>
      <c r="S303" s="30" t="n"/>
      <c r="T303" s="30" t="n"/>
      <c r="U303" s="30" t="n"/>
      <c r="V303" s="30" t="n"/>
      <c r="W303" s="29">
        <f>IF(H303="","",IF(H303="Kenya","Yes","No"))</f>
        <v/>
      </c>
      <c r="X303" s="29">
        <f>IF(B303="","",IF(COUNTIF($B$5:$B$3004,B303)&gt;1,"DUPLICATE","OK"))</f>
        <v/>
      </c>
      <c r="Y303" s="29">
        <f>IF(OR(U303="",V303="",V303="Excluded"),"",IF(COUNTIFS($U$5:$U$3004,U303,$V$5:$V$3004,"&lt;&gt;"&amp;V303,$V$5:$V$3004,"&lt;&gt;",$V$5:$V$3004,"&lt;&gt;Excluded")&gt;0,"LEAK RISK","OK"))</f>
        <v/>
      </c>
      <c r="Z303" s="30" t="n"/>
    </row>
    <row r="304">
      <c r="A304" s="30" t="n"/>
      <c r="B304" s="30" t="n"/>
      <c r="C304" s="30" t="n"/>
      <c r="D304" s="30" t="n"/>
      <c r="E304" s="30" t="n"/>
      <c r="F304" s="30" t="n"/>
      <c r="G304" s="30" t="n"/>
      <c r="H304" s="30" t="n"/>
      <c r="I304" s="31" t="n"/>
      <c r="J304" s="30" t="n"/>
      <c r="K304" s="30" t="n"/>
      <c r="L304" s="30" t="n"/>
      <c r="M304" s="30" t="n"/>
      <c r="N304" s="32" t="n"/>
      <c r="O304" s="30" t="n"/>
      <c r="P304" s="32" t="n"/>
      <c r="Q304" s="30" t="n"/>
      <c r="R304" s="32" t="n"/>
      <c r="S304" s="30" t="n"/>
      <c r="T304" s="30" t="n"/>
      <c r="U304" s="30" t="n"/>
      <c r="V304" s="30" t="n"/>
      <c r="W304" s="29">
        <f>IF(H304="","",IF(H304="Kenya","Yes","No"))</f>
        <v/>
      </c>
      <c r="X304" s="29">
        <f>IF(B304="","",IF(COUNTIF($B$5:$B$3004,B304)&gt;1,"DUPLICATE","OK"))</f>
        <v/>
      </c>
      <c r="Y304" s="29">
        <f>IF(OR(U304="",V304="",V304="Excluded"),"",IF(COUNTIFS($U$5:$U$3004,U304,$V$5:$V$3004,"&lt;&gt;"&amp;V304,$V$5:$V$3004,"&lt;&gt;",$V$5:$V$3004,"&lt;&gt;Excluded")&gt;0,"LEAK RISK","OK"))</f>
        <v/>
      </c>
      <c r="Z304" s="30" t="n"/>
    </row>
    <row r="305">
      <c r="A305" s="30" t="n"/>
      <c r="B305" s="30" t="n"/>
      <c r="C305" s="30" t="n"/>
      <c r="D305" s="30" t="n"/>
      <c r="E305" s="30" t="n"/>
      <c r="F305" s="30" t="n"/>
      <c r="G305" s="30" t="n"/>
      <c r="H305" s="30" t="n"/>
      <c r="I305" s="31" t="n"/>
      <c r="J305" s="30" t="n"/>
      <c r="K305" s="30" t="n"/>
      <c r="L305" s="30" t="n"/>
      <c r="M305" s="30" t="n"/>
      <c r="N305" s="32" t="n"/>
      <c r="O305" s="30" t="n"/>
      <c r="P305" s="32" t="n"/>
      <c r="Q305" s="30" t="n"/>
      <c r="R305" s="32" t="n"/>
      <c r="S305" s="30" t="n"/>
      <c r="T305" s="30" t="n"/>
      <c r="U305" s="30" t="n"/>
      <c r="V305" s="30" t="n"/>
      <c r="W305" s="29">
        <f>IF(H305="","",IF(H305="Kenya","Yes","No"))</f>
        <v/>
      </c>
      <c r="X305" s="29">
        <f>IF(B305="","",IF(COUNTIF($B$5:$B$3004,B305)&gt;1,"DUPLICATE","OK"))</f>
        <v/>
      </c>
      <c r="Y305" s="29">
        <f>IF(OR(U305="",V305="",V305="Excluded"),"",IF(COUNTIFS($U$5:$U$3004,U305,$V$5:$V$3004,"&lt;&gt;"&amp;V305,$V$5:$V$3004,"&lt;&gt;",$V$5:$V$3004,"&lt;&gt;Excluded")&gt;0,"LEAK RISK","OK"))</f>
        <v/>
      </c>
      <c r="Z305" s="30" t="n"/>
    </row>
    <row r="306">
      <c r="A306" s="30" t="n"/>
      <c r="B306" s="30" t="n"/>
      <c r="C306" s="30" t="n"/>
      <c r="D306" s="30" t="n"/>
      <c r="E306" s="30" t="n"/>
      <c r="F306" s="30" t="n"/>
      <c r="G306" s="30" t="n"/>
      <c r="H306" s="30" t="n"/>
      <c r="I306" s="31" t="n"/>
      <c r="J306" s="30" t="n"/>
      <c r="K306" s="30" t="n"/>
      <c r="L306" s="30" t="n"/>
      <c r="M306" s="30" t="n"/>
      <c r="N306" s="32" t="n"/>
      <c r="O306" s="30" t="n"/>
      <c r="P306" s="32" t="n"/>
      <c r="Q306" s="30" t="n"/>
      <c r="R306" s="32" t="n"/>
      <c r="S306" s="30" t="n"/>
      <c r="T306" s="30" t="n"/>
      <c r="U306" s="30" t="n"/>
      <c r="V306" s="30" t="n"/>
      <c r="W306" s="29">
        <f>IF(H306="","",IF(H306="Kenya","Yes","No"))</f>
        <v/>
      </c>
      <c r="X306" s="29">
        <f>IF(B306="","",IF(COUNTIF($B$5:$B$3004,B306)&gt;1,"DUPLICATE","OK"))</f>
        <v/>
      </c>
      <c r="Y306" s="29">
        <f>IF(OR(U306="",V306="",V306="Excluded"),"",IF(COUNTIFS($U$5:$U$3004,U306,$V$5:$V$3004,"&lt;&gt;"&amp;V306,$V$5:$V$3004,"&lt;&gt;",$V$5:$V$3004,"&lt;&gt;Excluded")&gt;0,"LEAK RISK","OK"))</f>
        <v/>
      </c>
      <c r="Z306" s="30" t="n"/>
    </row>
    <row r="307">
      <c r="A307" s="30" t="n"/>
      <c r="B307" s="30" t="n"/>
      <c r="C307" s="30" t="n"/>
      <c r="D307" s="30" t="n"/>
      <c r="E307" s="30" t="n"/>
      <c r="F307" s="30" t="n"/>
      <c r="G307" s="30" t="n"/>
      <c r="H307" s="30" t="n"/>
      <c r="I307" s="31" t="n"/>
      <c r="J307" s="30" t="n"/>
      <c r="K307" s="30" t="n"/>
      <c r="L307" s="30" t="n"/>
      <c r="M307" s="30" t="n"/>
      <c r="N307" s="32" t="n"/>
      <c r="O307" s="30" t="n"/>
      <c r="P307" s="32" t="n"/>
      <c r="Q307" s="30" t="n"/>
      <c r="R307" s="32" t="n"/>
      <c r="S307" s="30" t="n"/>
      <c r="T307" s="30" t="n"/>
      <c r="U307" s="30" t="n"/>
      <c r="V307" s="30" t="n"/>
      <c r="W307" s="29">
        <f>IF(H307="","",IF(H307="Kenya","Yes","No"))</f>
        <v/>
      </c>
      <c r="X307" s="29">
        <f>IF(B307="","",IF(COUNTIF($B$5:$B$3004,B307)&gt;1,"DUPLICATE","OK"))</f>
        <v/>
      </c>
      <c r="Y307" s="29">
        <f>IF(OR(U307="",V307="",V307="Excluded"),"",IF(COUNTIFS($U$5:$U$3004,U307,$V$5:$V$3004,"&lt;&gt;"&amp;V307,$V$5:$V$3004,"&lt;&gt;",$V$5:$V$3004,"&lt;&gt;Excluded")&gt;0,"LEAK RISK","OK"))</f>
        <v/>
      </c>
      <c r="Z307" s="30" t="n"/>
    </row>
    <row r="308">
      <c r="A308" s="30" t="n"/>
      <c r="B308" s="30" t="n"/>
      <c r="C308" s="30" t="n"/>
      <c r="D308" s="30" t="n"/>
      <c r="E308" s="30" t="n"/>
      <c r="F308" s="30" t="n"/>
      <c r="G308" s="30" t="n"/>
      <c r="H308" s="30" t="n"/>
      <c r="I308" s="31" t="n"/>
      <c r="J308" s="30" t="n"/>
      <c r="K308" s="30" t="n"/>
      <c r="L308" s="30" t="n"/>
      <c r="M308" s="30" t="n"/>
      <c r="N308" s="32" t="n"/>
      <c r="O308" s="30" t="n"/>
      <c r="P308" s="32" t="n"/>
      <c r="Q308" s="30" t="n"/>
      <c r="R308" s="32" t="n"/>
      <c r="S308" s="30" t="n"/>
      <c r="T308" s="30" t="n"/>
      <c r="U308" s="30" t="n"/>
      <c r="V308" s="30" t="n"/>
      <c r="W308" s="29">
        <f>IF(H308="","",IF(H308="Kenya","Yes","No"))</f>
        <v/>
      </c>
      <c r="X308" s="29">
        <f>IF(B308="","",IF(COUNTIF($B$5:$B$3004,B308)&gt;1,"DUPLICATE","OK"))</f>
        <v/>
      </c>
      <c r="Y308" s="29">
        <f>IF(OR(U308="",V308="",V308="Excluded"),"",IF(COUNTIFS($U$5:$U$3004,U308,$V$5:$V$3004,"&lt;&gt;"&amp;V308,$V$5:$V$3004,"&lt;&gt;",$V$5:$V$3004,"&lt;&gt;Excluded")&gt;0,"LEAK RISK","OK"))</f>
        <v/>
      </c>
      <c r="Z308" s="30" t="n"/>
    </row>
    <row r="309">
      <c r="A309" s="30" t="n"/>
      <c r="B309" s="30" t="n"/>
      <c r="C309" s="30" t="n"/>
      <c r="D309" s="30" t="n"/>
      <c r="E309" s="30" t="n"/>
      <c r="F309" s="30" t="n"/>
      <c r="G309" s="30" t="n"/>
      <c r="H309" s="30" t="n"/>
      <c r="I309" s="31" t="n"/>
      <c r="J309" s="30" t="n"/>
      <c r="K309" s="30" t="n"/>
      <c r="L309" s="30" t="n"/>
      <c r="M309" s="30" t="n"/>
      <c r="N309" s="32" t="n"/>
      <c r="O309" s="30" t="n"/>
      <c r="P309" s="32" t="n"/>
      <c r="Q309" s="30" t="n"/>
      <c r="R309" s="32" t="n"/>
      <c r="S309" s="30" t="n"/>
      <c r="T309" s="30" t="n"/>
      <c r="U309" s="30" t="n"/>
      <c r="V309" s="30" t="n"/>
      <c r="W309" s="29">
        <f>IF(H309="","",IF(H309="Kenya","Yes","No"))</f>
        <v/>
      </c>
      <c r="X309" s="29">
        <f>IF(B309="","",IF(COUNTIF($B$5:$B$3004,B309)&gt;1,"DUPLICATE","OK"))</f>
        <v/>
      </c>
      <c r="Y309" s="29">
        <f>IF(OR(U309="",V309="",V309="Excluded"),"",IF(COUNTIFS($U$5:$U$3004,U309,$V$5:$V$3004,"&lt;&gt;"&amp;V309,$V$5:$V$3004,"&lt;&gt;",$V$5:$V$3004,"&lt;&gt;Excluded")&gt;0,"LEAK RISK","OK"))</f>
        <v/>
      </c>
      <c r="Z309" s="30" t="n"/>
    </row>
    <row r="310">
      <c r="A310" s="30" t="n"/>
      <c r="B310" s="30" t="n"/>
      <c r="C310" s="30" t="n"/>
      <c r="D310" s="30" t="n"/>
      <c r="E310" s="30" t="n"/>
      <c r="F310" s="30" t="n"/>
      <c r="G310" s="30" t="n"/>
      <c r="H310" s="30" t="n"/>
      <c r="I310" s="31" t="n"/>
      <c r="J310" s="30" t="n"/>
      <c r="K310" s="30" t="n"/>
      <c r="L310" s="30" t="n"/>
      <c r="M310" s="30" t="n"/>
      <c r="N310" s="32" t="n"/>
      <c r="O310" s="30" t="n"/>
      <c r="P310" s="32" t="n"/>
      <c r="Q310" s="30" t="n"/>
      <c r="R310" s="32" t="n"/>
      <c r="S310" s="30" t="n"/>
      <c r="T310" s="30" t="n"/>
      <c r="U310" s="30" t="n"/>
      <c r="V310" s="30" t="n"/>
      <c r="W310" s="29">
        <f>IF(H310="","",IF(H310="Kenya","Yes","No"))</f>
        <v/>
      </c>
      <c r="X310" s="29">
        <f>IF(B310="","",IF(COUNTIF($B$5:$B$3004,B310)&gt;1,"DUPLICATE","OK"))</f>
        <v/>
      </c>
      <c r="Y310" s="29">
        <f>IF(OR(U310="",V310="",V310="Excluded"),"",IF(COUNTIFS($U$5:$U$3004,U310,$V$5:$V$3004,"&lt;&gt;"&amp;V310,$V$5:$V$3004,"&lt;&gt;",$V$5:$V$3004,"&lt;&gt;Excluded")&gt;0,"LEAK RISK","OK"))</f>
        <v/>
      </c>
      <c r="Z310" s="30" t="n"/>
    </row>
    <row r="311">
      <c r="A311" s="30" t="n"/>
      <c r="B311" s="30" t="n"/>
      <c r="C311" s="30" t="n"/>
      <c r="D311" s="30" t="n"/>
      <c r="E311" s="30" t="n"/>
      <c r="F311" s="30" t="n"/>
      <c r="G311" s="30" t="n"/>
      <c r="H311" s="30" t="n"/>
      <c r="I311" s="31" t="n"/>
      <c r="J311" s="30" t="n"/>
      <c r="K311" s="30" t="n"/>
      <c r="L311" s="30" t="n"/>
      <c r="M311" s="30" t="n"/>
      <c r="N311" s="32" t="n"/>
      <c r="O311" s="30" t="n"/>
      <c r="P311" s="32" t="n"/>
      <c r="Q311" s="30" t="n"/>
      <c r="R311" s="32" t="n"/>
      <c r="S311" s="30" t="n"/>
      <c r="T311" s="30" t="n"/>
      <c r="U311" s="30" t="n"/>
      <c r="V311" s="30" t="n"/>
      <c r="W311" s="29">
        <f>IF(H311="","",IF(H311="Kenya","Yes","No"))</f>
        <v/>
      </c>
      <c r="X311" s="29">
        <f>IF(B311="","",IF(COUNTIF($B$5:$B$3004,B311)&gt;1,"DUPLICATE","OK"))</f>
        <v/>
      </c>
      <c r="Y311" s="29">
        <f>IF(OR(U311="",V311="",V311="Excluded"),"",IF(COUNTIFS($U$5:$U$3004,U311,$V$5:$V$3004,"&lt;&gt;"&amp;V311,$V$5:$V$3004,"&lt;&gt;",$V$5:$V$3004,"&lt;&gt;Excluded")&gt;0,"LEAK RISK","OK"))</f>
        <v/>
      </c>
      <c r="Z311" s="30" t="n"/>
    </row>
    <row r="312">
      <c r="A312" s="30" t="n"/>
      <c r="B312" s="30" t="n"/>
      <c r="C312" s="30" t="n"/>
      <c r="D312" s="30" t="n"/>
      <c r="E312" s="30" t="n"/>
      <c r="F312" s="30" t="n"/>
      <c r="G312" s="30" t="n"/>
      <c r="H312" s="30" t="n"/>
      <c r="I312" s="31" t="n"/>
      <c r="J312" s="30" t="n"/>
      <c r="K312" s="30" t="n"/>
      <c r="L312" s="30" t="n"/>
      <c r="M312" s="30" t="n"/>
      <c r="N312" s="32" t="n"/>
      <c r="O312" s="30" t="n"/>
      <c r="P312" s="32" t="n"/>
      <c r="Q312" s="30" t="n"/>
      <c r="R312" s="32" t="n"/>
      <c r="S312" s="30" t="n"/>
      <c r="T312" s="30" t="n"/>
      <c r="U312" s="30" t="n"/>
      <c r="V312" s="30" t="n"/>
      <c r="W312" s="29">
        <f>IF(H312="","",IF(H312="Kenya","Yes","No"))</f>
        <v/>
      </c>
      <c r="X312" s="29">
        <f>IF(B312="","",IF(COUNTIF($B$5:$B$3004,B312)&gt;1,"DUPLICATE","OK"))</f>
        <v/>
      </c>
      <c r="Y312" s="29">
        <f>IF(OR(U312="",V312="",V312="Excluded"),"",IF(COUNTIFS($U$5:$U$3004,U312,$V$5:$V$3004,"&lt;&gt;"&amp;V312,$V$5:$V$3004,"&lt;&gt;",$V$5:$V$3004,"&lt;&gt;Excluded")&gt;0,"LEAK RISK","OK"))</f>
        <v/>
      </c>
      <c r="Z312" s="30" t="n"/>
    </row>
    <row r="313">
      <c r="A313" s="30" t="n"/>
      <c r="B313" s="30" t="n"/>
      <c r="C313" s="30" t="n"/>
      <c r="D313" s="30" t="n"/>
      <c r="E313" s="30" t="n"/>
      <c r="F313" s="30" t="n"/>
      <c r="G313" s="30" t="n"/>
      <c r="H313" s="30" t="n"/>
      <c r="I313" s="31" t="n"/>
      <c r="J313" s="30" t="n"/>
      <c r="K313" s="30" t="n"/>
      <c r="L313" s="30" t="n"/>
      <c r="M313" s="30" t="n"/>
      <c r="N313" s="32" t="n"/>
      <c r="O313" s="30" t="n"/>
      <c r="P313" s="32" t="n"/>
      <c r="Q313" s="30" t="n"/>
      <c r="R313" s="32" t="n"/>
      <c r="S313" s="30" t="n"/>
      <c r="T313" s="30" t="n"/>
      <c r="U313" s="30" t="n"/>
      <c r="V313" s="30" t="n"/>
      <c r="W313" s="29">
        <f>IF(H313="","",IF(H313="Kenya","Yes","No"))</f>
        <v/>
      </c>
      <c r="X313" s="29">
        <f>IF(B313="","",IF(COUNTIF($B$5:$B$3004,B313)&gt;1,"DUPLICATE","OK"))</f>
        <v/>
      </c>
      <c r="Y313" s="29">
        <f>IF(OR(U313="",V313="",V313="Excluded"),"",IF(COUNTIFS($U$5:$U$3004,U313,$V$5:$V$3004,"&lt;&gt;"&amp;V313,$V$5:$V$3004,"&lt;&gt;",$V$5:$V$3004,"&lt;&gt;Excluded")&gt;0,"LEAK RISK","OK"))</f>
        <v/>
      </c>
      <c r="Z313" s="30" t="n"/>
    </row>
    <row r="314">
      <c r="A314" s="30" t="n"/>
      <c r="B314" s="30" t="n"/>
      <c r="C314" s="30" t="n"/>
      <c r="D314" s="30" t="n"/>
      <c r="E314" s="30" t="n"/>
      <c r="F314" s="30" t="n"/>
      <c r="G314" s="30" t="n"/>
      <c r="H314" s="30" t="n"/>
      <c r="I314" s="31" t="n"/>
      <c r="J314" s="30" t="n"/>
      <c r="K314" s="30" t="n"/>
      <c r="L314" s="30" t="n"/>
      <c r="M314" s="30" t="n"/>
      <c r="N314" s="32" t="n"/>
      <c r="O314" s="30" t="n"/>
      <c r="P314" s="32" t="n"/>
      <c r="Q314" s="30" t="n"/>
      <c r="R314" s="32" t="n"/>
      <c r="S314" s="30" t="n"/>
      <c r="T314" s="30" t="n"/>
      <c r="U314" s="30" t="n"/>
      <c r="V314" s="30" t="n"/>
      <c r="W314" s="29">
        <f>IF(H314="","",IF(H314="Kenya","Yes","No"))</f>
        <v/>
      </c>
      <c r="X314" s="29">
        <f>IF(B314="","",IF(COUNTIF($B$5:$B$3004,B314)&gt;1,"DUPLICATE","OK"))</f>
        <v/>
      </c>
      <c r="Y314" s="29">
        <f>IF(OR(U314="",V314="",V314="Excluded"),"",IF(COUNTIFS($U$5:$U$3004,U314,$V$5:$V$3004,"&lt;&gt;"&amp;V314,$V$5:$V$3004,"&lt;&gt;",$V$5:$V$3004,"&lt;&gt;Excluded")&gt;0,"LEAK RISK","OK"))</f>
        <v/>
      </c>
      <c r="Z314" s="30" t="n"/>
    </row>
    <row r="315">
      <c r="A315" s="30" t="n"/>
      <c r="B315" s="30" t="n"/>
      <c r="C315" s="30" t="n"/>
      <c r="D315" s="30" t="n"/>
      <c r="E315" s="30" t="n"/>
      <c r="F315" s="30" t="n"/>
      <c r="G315" s="30" t="n"/>
      <c r="H315" s="30" t="n"/>
      <c r="I315" s="31" t="n"/>
      <c r="J315" s="30" t="n"/>
      <c r="K315" s="30" t="n"/>
      <c r="L315" s="30" t="n"/>
      <c r="M315" s="30" t="n"/>
      <c r="N315" s="32" t="n"/>
      <c r="O315" s="30" t="n"/>
      <c r="P315" s="32" t="n"/>
      <c r="Q315" s="30" t="n"/>
      <c r="R315" s="32" t="n"/>
      <c r="S315" s="30" t="n"/>
      <c r="T315" s="30" t="n"/>
      <c r="U315" s="30" t="n"/>
      <c r="V315" s="30" t="n"/>
      <c r="W315" s="29">
        <f>IF(H315="","",IF(H315="Kenya","Yes","No"))</f>
        <v/>
      </c>
      <c r="X315" s="29">
        <f>IF(B315="","",IF(COUNTIF($B$5:$B$3004,B315)&gt;1,"DUPLICATE","OK"))</f>
        <v/>
      </c>
      <c r="Y315" s="29">
        <f>IF(OR(U315="",V315="",V315="Excluded"),"",IF(COUNTIFS($U$5:$U$3004,U315,$V$5:$V$3004,"&lt;&gt;"&amp;V315,$V$5:$V$3004,"&lt;&gt;",$V$5:$V$3004,"&lt;&gt;Excluded")&gt;0,"LEAK RISK","OK"))</f>
        <v/>
      </c>
      <c r="Z315" s="30" t="n"/>
    </row>
    <row r="316">
      <c r="A316" s="30" t="n"/>
      <c r="B316" s="30" t="n"/>
      <c r="C316" s="30" t="n"/>
      <c r="D316" s="30" t="n"/>
      <c r="E316" s="30" t="n"/>
      <c r="F316" s="30" t="n"/>
      <c r="G316" s="30" t="n"/>
      <c r="H316" s="30" t="n"/>
      <c r="I316" s="31" t="n"/>
      <c r="J316" s="30" t="n"/>
      <c r="K316" s="30" t="n"/>
      <c r="L316" s="30" t="n"/>
      <c r="M316" s="30" t="n"/>
      <c r="N316" s="32" t="n"/>
      <c r="O316" s="30" t="n"/>
      <c r="P316" s="32" t="n"/>
      <c r="Q316" s="30" t="n"/>
      <c r="R316" s="32" t="n"/>
      <c r="S316" s="30" t="n"/>
      <c r="T316" s="30" t="n"/>
      <c r="U316" s="30" t="n"/>
      <c r="V316" s="30" t="n"/>
      <c r="W316" s="29">
        <f>IF(H316="","",IF(H316="Kenya","Yes","No"))</f>
        <v/>
      </c>
      <c r="X316" s="29">
        <f>IF(B316="","",IF(COUNTIF($B$5:$B$3004,B316)&gt;1,"DUPLICATE","OK"))</f>
        <v/>
      </c>
      <c r="Y316" s="29">
        <f>IF(OR(U316="",V316="",V316="Excluded"),"",IF(COUNTIFS($U$5:$U$3004,U316,$V$5:$V$3004,"&lt;&gt;"&amp;V316,$V$5:$V$3004,"&lt;&gt;",$V$5:$V$3004,"&lt;&gt;Excluded")&gt;0,"LEAK RISK","OK"))</f>
        <v/>
      </c>
      <c r="Z316" s="30" t="n"/>
    </row>
    <row r="317">
      <c r="A317" s="30" t="n"/>
      <c r="B317" s="30" t="n"/>
      <c r="C317" s="30" t="n"/>
      <c r="D317" s="30" t="n"/>
      <c r="E317" s="30" t="n"/>
      <c r="F317" s="30" t="n"/>
      <c r="G317" s="30" t="n"/>
      <c r="H317" s="30" t="n"/>
      <c r="I317" s="31" t="n"/>
      <c r="J317" s="30" t="n"/>
      <c r="K317" s="30" t="n"/>
      <c r="L317" s="30" t="n"/>
      <c r="M317" s="30" t="n"/>
      <c r="N317" s="32" t="n"/>
      <c r="O317" s="30" t="n"/>
      <c r="P317" s="32" t="n"/>
      <c r="Q317" s="30" t="n"/>
      <c r="R317" s="32" t="n"/>
      <c r="S317" s="30" t="n"/>
      <c r="T317" s="30" t="n"/>
      <c r="U317" s="30" t="n"/>
      <c r="V317" s="30" t="n"/>
      <c r="W317" s="29">
        <f>IF(H317="","",IF(H317="Kenya","Yes","No"))</f>
        <v/>
      </c>
      <c r="X317" s="29">
        <f>IF(B317="","",IF(COUNTIF($B$5:$B$3004,B317)&gt;1,"DUPLICATE","OK"))</f>
        <v/>
      </c>
      <c r="Y317" s="29">
        <f>IF(OR(U317="",V317="",V317="Excluded"),"",IF(COUNTIFS($U$5:$U$3004,U317,$V$5:$V$3004,"&lt;&gt;"&amp;V317,$V$5:$V$3004,"&lt;&gt;",$V$5:$V$3004,"&lt;&gt;Excluded")&gt;0,"LEAK RISK","OK"))</f>
        <v/>
      </c>
      <c r="Z317" s="30" t="n"/>
    </row>
    <row r="318">
      <c r="A318" s="30" t="n"/>
      <c r="B318" s="30" t="n"/>
      <c r="C318" s="30" t="n"/>
      <c r="D318" s="30" t="n"/>
      <c r="E318" s="30" t="n"/>
      <c r="F318" s="30" t="n"/>
      <c r="G318" s="30" t="n"/>
      <c r="H318" s="30" t="n"/>
      <c r="I318" s="31" t="n"/>
      <c r="J318" s="30" t="n"/>
      <c r="K318" s="30" t="n"/>
      <c r="L318" s="30" t="n"/>
      <c r="M318" s="30" t="n"/>
      <c r="N318" s="32" t="n"/>
      <c r="O318" s="30" t="n"/>
      <c r="P318" s="32" t="n"/>
      <c r="Q318" s="30" t="n"/>
      <c r="R318" s="32" t="n"/>
      <c r="S318" s="30" t="n"/>
      <c r="T318" s="30" t="n"/>
      <c r="U318" s="30" t="n"/>
      <c r="V318" s="30" t="n"/>
      <c r="W318" s="29">
        <f>IF(H318="","",IF(H318="Kenya","Yes","No"))</f>
        <v/>
      </c>
      <c r="X318" s="29">
        <f>IF(B318="","",IF(COUNTIF($B$5:$B$3004,B318)&gt;1,"DUPLICATE","OK"))</f>
        <v/>
      </c>
      <c r="Y318" s="29">
        <f>IF(OR(U318="",V318="",V318="Excluded"),"",IF(COUNTIFS($U$5:$U$3004,U318,$V$5:$V$3004,"&lt;&gt;"&amp;V318,$V$5:$V$3004,"&lt;&gt;",$V$5:$V$3004,"&lt;&gt;Excluded")&gt;0,"LEAK RISK","OK"))</f>
        <v/>
      </c>
      <c r="Z318" s="30" t="n"/>
    </row>
    <row r="319">
      <c r="A319" s="30" t="n"/>
      <c r="B319" s="30" t="n"/>
      <c r="C319" s="30" t="n"/>
      <c r="D319" s="30" t="n"/>
      <c r="E319" s="30" t="n"/>
      <c r="F319" s="30" t="n"/>
      <c r="G319" s="30" t="n"/>
      <c r="H319" s="30" t="n"/>
      <c r="I319" s="31" t="n"/>
      <c r="J319" s="30" t="n"/>
      <c r="K319" s="30" t="n"/>
      <c r="L319" s="30" t="n"/>
      <c r="M319" s="30" t="n"/>
      <c r="N319" s="32" t="n"/>
      <c r="O319" s="30" t="n"/>
      <c r="P319" s="32" t="n"/>
      <c r="Q319" s="30" t="n"/>
      <c r="R319" s="32" t="n"/>
      <c r="S319" s="30" t="n"/>
      <c r="T319" s="30" t="n"/>
      <c r="U319" s="30" t="n"/>
      <c r="V319" s="30" t="n"/>
      <c r="W319" s="29">
        <f>IF(H319="","",IF(H319="Kenya","Yes","No"))</f>
        <v/>
      </c>
      <c r="X319" s="29">
        <f>IF(B319="","",IF(COUNTIF($B$5:$B$3004,B319)&gt;1,"DUPLICATE","OK"))</f>
        <v/>
      </c>
      <c r="Y319" s="29">
        <f>IF(OR(U319="",V319="",V319="Excluded"),"",IF(COUNTIFS($U$5:$U$3004,U319,$V$5:$V$3004,"&lt;&gt;"&amp;V319,$V$5:$V$3004,"&lt;&gt;",$V$5:$V$3004,"&lt;&gt;Excluded")&gt;0,"LEAK RISK","OK"))</f>
        <v/>
      </c>
      <c r="Z319" s="30" t="n"/>
    </row>
    <row r="320">
      <c r="A320" s="30" t="n"/>
      <c r="B320" s="30" t="n"/>
      <c r="C320" s="30" t="n"/>
      <c r="D320" s="30" t="n"/>
      <c r="E320" s="30" t="n"/>
      <c r="F320" s="30" t="n"/>
      <c r="G320" s="30" t="n"/>
      <c r="H320" s="30" t="n"/>
      <c r="I320" s="31" t="n"/>
      <c r="J320" s="30" t="n"/>
      <c r="K320" s="30" t="n"/>
      <c r="L320" s="30" t="n"/>
      <c r="M320" s="30" t="n"/>
      <c r="N320" s="32" t="n"/>
      <c r="O320" s="30" t="n"/>
      <c r="P320" s="32" t="n"/>
      <c r="Q320" s="30" t="n"/>
      <c r="R320" s="32" t="n"/>
      <c r="S320" s="30" t="n"/>
      <c r="T320" s="30" t="n"/>
      <c r="U320" s="30" t="n"/>
      <c r="V320" s="30" t="n"/>
      <c r="W320" s="29">
        <f>IF(H320="","",IF(H320="Kenya","Yes","No"))</f>
        <v/>
      </c>
      <c r="X320" s="29">
        <f>IF(B320="","",IF(COUNTIF($B$5:$B$3004,B320)&gt;1,"DUPLICATE","OK"))</f>
        <v/>
      </c>
      <c r="Y320" s="29">
        <f>IF(OR(U320="",V320="",V320="Excluded"),"",IF(COUNTIFS($U$5:$U$3004,U320,$V$5:$V$3004,"&lt;&gt;"&amp;V320,$V$5:$V$3004,"&lt;&gt;",$V$5:$V$3004,"&lt;&gt;Excluded")&gt;0,"LEAK RISK","OK"))</f>
        <v/>
      </c>
      <c r="Z320" s="30" t="n"/>
    </row>
    <row r="321">
      <c r="A321" s="30" t="n"/>
      <c r="B321" s="30" t="n"/>
      <c r="C321" s="30" t="n"/>
      <c r="D321" s="30" t="n"/>
      <c r="E321" s="30" t="n"/>
      <c r="F321" s="30" t="n"/>
      <c r="G321" s="30" t="n"/>
      <c r="H321" s="30" t="n"/>
      <c r="I321" s="31" t="n"/>
      <c r="J321" s="30" t="n"/>
      <c r="K321" s="30" t="n"/>
      <c r="L321" s="30" t="n"/>
      <c r="M321" s="30" t="n"/>
      <c r="N321" s="32" t="n"/>
      <c r="O321" s="30" t="n"/>
      <c r="P321" s="32" t="n"/>
      <c r="Q321" s="30" t="n"/>
      <c r="R321" s="32" t="n"/>
      <c r="S321" s="30" t="n"/>
      <c r="T321" s="30" t="n"/>
      <c r="U321" s="30" t="n"/>
      <c r="V321" s="30" t="n"/>
      <c r="W321" s="29">
        <f>IF(H321="","",IF(H321="Kenya","Yes","No"))</f>
        <v/>
      </c>
      <c r="X321" s="29">
        <f>IF(B321="","",IF(COUNTIF($B$5:$B$3004,B321)&gt;1,"DUPLICATE","OK"))</f>
        <v/>
      </c>
      <c r="Y321" s="29">
        <f>IF(OR(U321="",V321="",V321="Excluded"),"",IF(COUNTIFS($U$5:$U$3004,U321,$V$5:$V$3004,"&lt;&gt;"&amp;V321,$V$5:$V$3004,"&lt;&gt;",$V$5:$V$3004,"&lt;&gt;Excluded")&gt;0,"LEAK RISK","OK"))</f>
        <v/>
      </c>
      <c r="Z321" s="30" t="n"/>
    </row>
    <row r="322">
      <c r="A322" s="30" t="n"/>
      <c r="B322" s="30" t="n"/>
      <c r="C322" s="30" t="n"/>
      <c r="D322" s="30" t="n"/>
      <c r="E322" s="30" t="n"/>
      <c r="F322" s="30" t="n"/>
      <c r="G322" s="30" t="n"/>
      <c r="H322" s="30" t="n"/>
      <c r="I322" s="31" t="n"/>
      <c r="J322" s="30" t="n"/>
      <c r="K322" s="30" t="n"/>
      <c r="L322" s="30" t="n"/>
      <c r="M322" s="30" t="n"/>
      <c r="N322" s="32" t="n"/>
      <c r="O322" s="30" t="n"/>
      <c r="P322" s="32" t="n"/>
      <c r="Q322" s="30" t="n"/>
      <c r="R322" s="32" t="n"/>
      <c r="S322" s="30" t="n"/>
      <c r="T322" s="30" t="n"/>
      <c r="U322" s="30" t="n"/>
      <c r="V322" s="30" t="n"/>
      <c r="W322" s="29">
        <f>IF(H322="","",IF(H322="Kenya","Yes","No"))</f>
        <v/>
      </c>
      <c r="X322" s="29">
        <f>IF(B322="","",IF(COUNTIF($B$5:$B$3004,B322)&gt;1,"DUPLICATE","OK"))</f>
        <v/>
      </c>
      <c r="Y322" s="29">
        <f>IF(OR(U322="",V322="",V322="Excluded"),"",IF(COUNTIFS($U$5:$U$3004,U322,$V$5:$V$3004,"&lt;&gt;"&amp;V322,$V$5:$V$3004,"&lt;&gt;",$V$5:$V$3004,"&lt;&gt;Excluded")&gt;0,"LEAK RISK","OK"))</f>
        <v/>
      </c>
      <c r="Z322" s="30" t="n"/>
    </row>
    <row r="323">
      <c r="A323" s="30" t="n"/>
      <c r="B323" s="30" t="n"/>
      <c r="C323" s="30" t="n"/>
      <c r="D323" s="30" t="n"/>
      <c r="E323" s="30" t="n"/>
      <c r="F323" s="30" t="n"/>
      <c r="G323" s="30" t="n"/>
      <c r="H323" s="30" t="n"/>
      <c r="I323" s="31" t="n"/>
      <c r="J323" s="30" t="n"/>
      <c r="K323" s="30" t="n"/>
      <c r="L323" s="30" t="n"/>
      <c r="M323" s="30" t="n"/>
      <c r="N323" s="32" t="n"/>
      <c r="O323" s="30" t="n"/>
      <c r="P323" s="32" t="n"/>
      <c r="Q323" s="30" t="n"/>
      <c r="R323" s="32" t="n"/>
      <c r="S323" s="30" t="n"/>
      <c r="T323" s="30" t="n"/>
      <c r="U323" s="30" t="n"/>
      <c r="V323" s="30" t="n"/>
      <c r="W323" s="29">
        <f>IF(H323="","",IF(H323="Kenya","Yes","No"))</f>
        <v/>
      </c>
      <c r="X323" s="29">
        <f>IF(B323="","",IF(COUNTIF($B$5:$B$3004,B323)&gt;1,"DUPLICATE","OK"))</f>
        <v/>
      </c>
      <c r="Y323" s="29">
        <f>IF(OR(U323="",V323="",V323="Excluded"),"",IF(COUNTIFS($U$5:$U$3004,U323,$V$5:$V$3004,"&lt;&gt;"&amp;V323,$V$5:$V$3004,"&lt;&gt;",$V$5:$V$3004,"&lt;&gt;Excluded")&gt;0,"LEAK RISK","OK"))</f>
        <v/>
      </c>
      <c r="Z323" s="30" t="n"/>
    </row>
    <row r="324">
      <c r="A324" s="30" t="n"/>
      <c r="B324" s="30" t="n"/>
      <c r="C324" s="30" t="n"/>
      <c r="D324" s="30" t="n"/>
      <c r="E324" s="30" t="n"/>
      <c r="F324" s="30" t="n"/>
      <c r="G324" s="30" t="n"/>
      <c r="H324" s="30" t="n"/>
      <c r="I324" s="31" t="n"/>
      <c r="J324" s="30" t="n"/>
      <c r="K324" s="30" t="n"/>
      <c r="L324" s="30" t="n"/>
      <c r="M324" s="30" t="n"/>
      <c r="N324" s="32" t="n"/>
      <c r="O324" s="30" t="n"/>
      <c r="P324" s="32" t="n"/>
      <c r="Q324" s="30" t="n"/>
      <c r="R324" s="32" t="n"/>
      <c r="S324" s="30" t="n"/>
      <c r="T324" s="30" t="n"/>
      <c r="U324" s="30" t="n"/>
      <c r="V324" s="30" t="n"/>
      <c r="W324" s="29">
        <f>IF(H324="","",IF(H324="Kenya","Yes","No"))</f>
        <v/>
      </c>
      <c r="X324" s="29">
        <f>IF(B324="","",IF(COUNTIF($B$5:$B$3004,B324)&gt;1,"DUPLICATE","OK"))</f>
        <v/>
      </c>
      <c r="Y324" s="29">
        <f>IF(OR(U324="",V324="",V324="Excluded"),"",IF(COUNTIFS($U$5:$U$3004,U324,$V$5:$V$3004,"&lt;&gt;"&amp;V324,$V$5:$V$3004,"&lt;&gt;",$V$5:$V$3004,"&lt;&gt;Excluded")&gt;0,"LEAK RISK","OK"))</f>
        <v/>
      </c>
      <c r="Z324" s="30" t="n"/>
    </row>
    <row r="325">
      <c r="A325" s="30" t="n"/>
      <c r="B325" s="30" t="n"/>
      <c r="C325" s="30" t="n"/>
      <c r="D325" s="30" t="n"/>
      <c r="E325" s="30" t="n"/>
      <c r="F325" s="30" t="n"/>
      <c r="G325" s="30" t="n"/>
      <c r="H325" s="30" t="n"/>
      <c r="I325" s="31" t="n"/>
      <c r="J325" s="30" t="n"/>
      <c r="K325" s="30" t="n"/>
      <c r="L325" s="30" t="n"/>
      <c r="M325" s="30" t="n"/>
      <c r="N325" s="32" t="n"/>
      <c r="O325" s="30" t="n"/>
      <c r="P325" s="32" t="n"/>
      <c r="Q325" s="30" t="n"/>
      <c r="R325" s="32" t="n"/>
      <c r="S325" s="30" t="n"/>
      <c r="T325" s="30" t="n"/>
      <c r="U325" s="30" t="n"/>
      <c r="V325" s="30" t="n"/>
      <c r="W325" s="29">
        <f>IF(H325="","",IF(H325="Kenya","Yes","No"))</f>
        <v/>
      </c>
      <c r="X325" s="29">
        <f>IF(B325="","",IF(COUNTIF($B$5:$B$3004,B325)&gt;1,"DUPLICATE","OK"))</f>
        <v/>
      </c>
      <c r="Y325" s="29">
        <f>IF(OR(U325="",V325="",V325="Excluded"),"",IF(COUNTIFS($U$5:$U$3004,U325,$V$5:$V$3004,"&lt;&gt;"&amp;V325,$V$5:$V$3004,"&lt;&gt;",$V$5:$V$3004,"&lt;&gt;Excluded")&gt;0,"LEAK RISK","OK"))</f>
        <v/>
      </c>
      <c r="Z325" s="30" t="n"/>
    </row>
    <row r="326">
      <c r="A326" s="30" t="n"/>
      <c r="B326" s="30" t="n"/>
      <c r="C326" s="30" t="n"/>
      <c r="D326" s="30" t="n"/>
      <c r="E326" s="30" t="n"/>
      <c r="F326" s="30" t="n"/>
      <c r="G326" s="30" t="n"/>
      <c r="H326" s="30" t="n"/>
      <c r="I326" s="31" t="n"/>
      <c r="J326" s="30" t="n"/>
      <c r="K326" s="30" t="n"/>
      <c r="L326" s="30" t="n"/>
      <c r="M326" s="30" t="n"/>
      <c r="N326" s="32" t="n"/>
      <c r="O326" s="30" t="n"/>
      <c r="P326" s="32" t="n"/>
      <c r="Q326" s="30" t="n"/>
      <c r="R326" s="32" t="n"/>
      <c r="S326" s="30" t="n"/>
      <c r="T326" s="30" t="n"/>
      <c r="U326" s="30" t="n"/>
      <c r="V326" s="30" t="n"/>
      <c r="W326" s="29">
        <f>IF(H326="","",IF(H326="Kenya","Yes","No"))</f>
        <v/>
      </c>
      <c r="X326" s="29">
        <f>IF(B326="","",IF(COUNTIF($B$5:$B$3004,B326)&gt;1,"DUPLICATE","OK"))</f>
        <v/>
      </c>
      <c r="Y326" s="29">
        <f>IF(OR(U326="",V326="",V326="Excluded"),"",IF(COUNTIFS($U$5:$U$3004,U326,$V$5:$V$3004,"&lt;&gt;"&amp;V326,$V$5:$V$3004,"&lt;&gt;",$V$5:$V$3004,"&lt;&gt;Excluded")&gt;0,"LEAK RISK","OK"))</f>
        <v/>
      </c>
      <c r="Z326" s="30" t="n"/>
    </row>
    <row r="327">
      <c r="A327" s="30" t="n"/>
      <c r="B327" s="30" t="n"/>
      <c r="C327" s="30" t="n"/>
      <c r="D327" s="30" t="n"/>
      <c r="E327" s="30" t="n"/>
      <c r="F327" s="30" t="n"/>
      <c r="G327" s="30" t="n"/>
      <c r="H327" s="30" t="n"/>
      <c r="I327" s="31" t="n"/>
      <c r="J327" s="30" t="n"/>
      <c r="K327" s="30" t="n"/>
      <c r="L327" s="30" t="n"/>
      <c r="M327" s="30" t="n"/>
      <c r="N327" s="32" t="n"/>
      <c r="O327" s="30" t="n"/>
      <c r="P327" s="32" t="n"/>
      <c r="Q327" s="30" t="n"/>
      <c r="R327" s="32" t="n"/>
      <c r="S327" s="30" t="n"/>
      <c r="T327" s="30" t="n"/>
      <c r="U327" s="30" t="n"/>
      <c r="V327" s="30" t="n"/>
      <c r="W327" s="29">
        <f>IF(H327="","",IF(H327="Kenya","Yes","No"))</f>
        <v/>
      </c>
      <c r="X327" s="29">
        <f>IF(B327="","",IF(COUNTIF($B$5:$B$3004,B327)&gt;1,"DUPLICATE","OK"))</f>
        <v/>
      </c>
      <c r="Y327" s="29">
        <f>IF(OR(U327="",V327="",V327="Excluded"),"",IF(COUNTIFS($U$5:$U$3004,U327,$V$5:$V$3004,"&lt;&gt;"&amp;V327,$V$5:$V$3004,"&lt;&gt;",$V$5:$V$3004,"&lt;&gt;Excluded")&gt;0,"LEAK RISK","OK"))</f>
        <v/>
      </c>
      <c r="Z327" s="30" t="n"/>
    </row>
    <row r="328">
      <c r="A328" s="30" t="n"/>
      <c r="B328" s="30" t="n"/>
      <c r="C328" s="30" t="n"/>
      <c r="D328" s="30" t="n"/>
      <c r="E328" s="30" t="n"/>
      <c r="F328" s="30" t="n"/>
      <c r="G328" s="30" t="n"/>
      <c r="H328" s="30" t="n"/>
      <c r="I328" s="31" t="n"/>
      <c r="J328" s="30" t="n"/>
      <c r="K328" s="30" t="n"/>
      <c r="L328" s="30" t="n"/>
      <c r="M328" s="30" t="n"/>
      <c r="N328" s="32" t="n"/>
      <c r="O328" s="30" t="n"/>
      <c r="P328" s="32" t="n"/>
      <c r="Q328" s="30" t="n"/>
      <c r="R328" s="32" t="n"/>
      <c r="S328" s="30" t="n"/>
      <c r="T328" s="30" t="n"/>
      <c r="U328" s="30" t="n"/>
      <c r="V328" s="30" t="n"/>
      <c r="W328" s="29">
        <f>IF(H328="","",IF(H328="Kenya","Yes","No"))</f>
        <v/>
      </c>
      <c r="X328" s="29">
        <f>IF(B328="","",IF(COUNTIF($B$5:$B$3004,B328)&gt;1,"DUPLICATE","OK"))</f>
        <v/>
      </c>
      <c r="Y328" s="29">
        <f>IF(OR(U328="",V328="",V328="Excluded"),"",IF(COUNTIFS($U$5:$U$3004,U328,$V$5:$V$3004,"&lt;&gt;"&amp;V328,$V$5:$V$3004,"&lt;&gt;",$V$5:$V$3004,"&lt;&gt;Excluded")&gt;0,"LEAK RISK","OK"))</f>
        <v/>
      </c>
      <c r="Z328" s="30" t="n"/>
    </row>
    <row r="329">
      <c r="A329" s="30" t="n"/>
      <c r="B329" s="30" t="n"/>
      <c r="C329" s="30" t="n"/>
      <c r="D329" s="30" t="n"/>
      <c r="E329" s="30" t="n"/>
      <c r="F329" s="30" t="n"/>
      <c r="G329" s="30" t="n"/>
      <c r="H329" s="30" t="n"/>
      <c r="I329" s="31" t="n"/>
      <c r="J329" s="30" t="n"/>
      <c r="K329" s="30" t="n"/>
      <c r="L329" s="30" t="n"/>
      <c r="M329" s="30" t="n"/>
      <c r="N329" s="32" t="n"/>
      <c r="O329" s="30" t="n"/>
      <c r="P329" s="32" t="n"/>
      <c r="Q329" s="30" t="n"/>
      <c r="R329" s="32" t="n"/>
      <c r="S329" s="30" t="n"/>
      <c r="T329" s="30" t="n"/>
      <c r="U329" s="30" t="n"/>
      <c r="V329" s="30" t="n"/>
      <c r="W329" s="29">
        <f>IF(H329="","",IF(H329="Kenya","Yes","No"))</f>
        <v/>
      </c>
      <c r="X329" s="29">
        <f>IF(B329="","",IF(COUNTIF($B$5:$B$3004,B329)&gt;1,"DUPLICATE","OK"))</f>
        <v/>
      </c>
      <c r="Y329" s="29">
        <f>IF(OR(U329="",V329="",V329="Excluded"),"",IF(COUNTIFS($U$5:$U$3004,U329,$V$5:$V$3004,"&lt;&gt;"&amp;V329,$V$5:$V$3004,"&lt;&gt;",$V$5:$V$3004,"&lt;&gt;Excluded")&gt;0,"LEAK RISK","OK"))</f>
        <v/>
      </c>
      <c r="Z329" s="30" t="n"/>
    </row>
    <row r="330">
      <c r="A330" s="30" t="n"/>
      <c r="B330" s="30" t="n"/>
      <c r="C330" s="30" t="n"/>
      <c r="D330" s="30" t="n"/>
      <c r="E330" s="30" t="n"/>
      <c r="F330" s="30" t="n"/>
      <c r="G330" s="30" t="n"/>
      <c r="H330" s="30" t="n"/>
      <c r="I330" s="31" t="n"/>
      <c r="J330" s="30" t="n"/>
      <c r="K330" s="30" t="n"/>
      <c r="L330" s="30" t="n"/>
      <c r="M330" s="30" t="n"/>
      <c r="N330" s="32" t="n"/>
      <c r="O330" s="30" t="n"/>
      <c r="P330" s="32" t="n"/>
      <c r="Q330" s="30" t="n"/>
      <c r="R330" s="32" t="n"/>
      <c r="S330" s="30" t="n"/>
      <c r="T330" s="30" t="n"/>
      <c r="U330" s="30" t="n"/>
      <c r="V330" s="30" t="n"/>
      <c r="W330" s="29">
        <f>IF(H330="","",IF(H330="Kenya","Yes","No"))</f>
        <v/>
      </c>
      <c r="X330" s="29">
        <f>IF(B330="","",IF(COUNTIF($B$5:$B$3004,B330)&gt;1,"DUPLICATE","OK"))</f>
        <v/>
      </c>
      <c r="Y330" s="29">
        <f>IF(OR(U330="",V330="",V330="Excluded"),"",IF(COUNTIFS($U$5:$U$3004,U330,$V$5:$V$3004,"&lt;&gt;"&amp;V330,$V$5:$V$3004,"&lt;&gt;",$V$5:$V$3004,"&lt;&gt;Excluded")&gt;0,"LEAK RISK","OK"))</f>
        <v/>
      </c>
      <c r="Z330" s="30" t="n"/>
    </row>
    <row r="331">
      <c r="A331" s="30" t="n"/>
      <c r="B331" s="30" t="n"/>
      <c r="C331" s="30" t="n"/>
      <c r="D331" s="30" t="n"/>
      <c r="E331" s="30" t="n"/>
      <c r="F331" s="30" t="n"/>
      <c r="G331" s="30" t="n"/>
      <c r="H331" s="30" t="n"/>
      <c r="I331" s="31" t="n"/>
      <c r="J331" s="30" t="n"/>
      <c r="K331" s="30" t="n"/>
      <c r="L331" s="30" t="n"/>
      <c r="M331" s="30" t="n"/>
      <c r="N331" s="32" t="n"/>
      <c r="O331" s="30" t="n"/>
      <c r="P331" s="32" t="n"/>
      <c r="Q331" s="30" t="n"/>
      <c r="R331" s="32" t="n"/>
      <c r="S331" s="30" t="n"/>
      <c r="T331" s="30" t="n"/>
      <c r="U331" s="30" t="n"/>
      <c r="V331" s="30" t="n"/>
      <c r="W331" s="29">
        <f>IF(H331="","",IF(H331="Kenya","Yes","No"))</f>
        <v/>
      </c>
      <c r="X331" s="29">
        <f>IF(B331="","",IF(COUNTIF($B$5:$B$3004,B331)&gt;1,"DUPLICATE","OK"))</f>
        <v/>
      </c>
      <c r="Y331" s="29">
        <f>IF(OR(U331="",V331="",V331="Excluded"),"",IF(COUNTIFS($U$5:$U$3004,U331,$V$5:$V$3004,"&lt;&gt;"&amp;V331,$V$5:$V$3004,"&lt;&gt;",$V$5:$V$3004,"&lt;&gt;Excluded")&gt;0,"LEAK RISK","OK"))</f>
        <v/>
      </c>
      <c r="Z331" s="30" t="n"/>
    </row>
    <row r="332">
      <c r="A332" s="30" t="n"/>
      <c r="B332" s="30" t="n"/>
      <c r="C332" s="30" t="n"/>
      <c r="D332" s="30" t="n"/>
      <c r="E332" s="30" t="n"/>
      <c r="F332" s="30" t="n"/>
      <c r="G332" s="30" t="n"/>
      <c r="H332" s="30" t="n"/>
      <c r="I332" s="31" t="n"/>
      <c r="J332" s="30" t="n"/>
      <c r="K332" s="30" t="n"/>
      <c r="L332" s="30" t="n"/>
      <c r="M332" s="30" t="n"/>
      <c r="N332" s="32" t="n"/>
      <c r="O332" s="30" t="n"/>
      <c r="P332" s="32" t="n"/>
      <c r="Q332" s="30" t="n"/>
      <c r="R332" s="32" t="n"/>
      <c r="S332" s="30" t="n"/>
      <c r="T332" s="30" t="n"/>
      <c r="U332" s="30" t="n"/>
      <c r="V332" s="30" t="n"/>
      <c r="W332" s="29">
        <f>IF(H332="","",IF(H332="Kenya","Yes","No"))</f>
        <v/>
      </c>
      <c r="X332" s="29">
        <f>IF(B332="","",IF(COUNTIF($B$5:$B$3004,B332)&gt;1,"DUPLICATE","OK"))</f>
        <v/>
      </c>
      <c r="Y332" s="29">
        <f>IF(OR(U332="",V332="",V332="Excluded"),"",IF(COUNTIFS($U$5:$U$3004,U332,$V$5:$V$3004,"&lt;&gt;"&amp;V332,$V$5:$V$3004,"&lt;&gt;",$V$5:$V$3004,"&lt;&gt;Excluded")&gt;0,"LEAK RISK","OK"))</f>
        <v/>
      </c>
      <c r="Z332" s="30" t="n"/>
    </row>
    <row r="333">
      <c r="A333" s="30" t="n"/>
      <c r="B333" s="30" t="n"/>
      <c r="C333" s="30" t="n"/>
      <c r="D333" s="30" t="n"/>
      <c r="E333" s="30" t="n"/>
      <c r="F333" s="30" t="n"/>
      <c r="G333" s="30" t="n"/>
      <c r="H333" s="30" t="n"/>
      <c r="I333" s="31" t="n"/>
      <c r="J333" s="30" t="n"/>
      <c r="K333" s="30" t="n"/>
      <c r="L333" s="30" t="n"/>
      <c r="M333" s="30" t="n"/>
      <c r="N333" s="32" t="n"/>
      <c r="O333" s="30" t="n"/>
      <c r="P333" s="32" t="n"/>
      <c r="Q333" s="30" t="n"/>
      <c r="R333" s="32" t="n"/>
      <c r="S333" s="30" t="n"/>
      <c r="T333" s="30" t="n"/>
      <c r="U333" s="30" t="n"/>
      <c r="V333" s="30" t="n"/>
      <c r="W333" s="29">
        <f>IF(H333="","",IF(H333="Kenya","Yes","No"))</f>
        <v/>
      </c>
      <c r="X333" s="29">
        <f>IF(B333="","",IF(COUNTIF($B$5:$B$3004,B333)&gt;1,"DUPLICATE","OK"))</f>
        <v/>
      </c>
      <c r="Y333" s="29">
        <f>IF(OR(U333="",V333="",V333="Excluded"),"",IF(COUNTIFS($U$5:$U$3004,U333,$V$5:$V$3004,"&lt;&gt;"&amp;V333,$V$5:$V$3004,"&lt;&gt;",$V$5:$V$3004,"&lt;&gt;Excluded")&gt;0,"LEAK RISK","OK"))</f>
        <v/>
      </c>
      <c r="Z333" s="30" t="n"/>
    </row>
    <row r="334">
      <c r="A334" s="30" t="n"/>
      <c r="B334" s="30" t="n"/>
      <c r="C334" s="30" t="n"/>
      <c r="D334" s="30" t="n"/>
      <c r="E334" s="30" t="n"/>
      <c r="F334" s="30" t="n"/>
      <c r="G334" s="30" t="n"/>
      <c r="H334" s="30" t="n"/>
      <c r="I334" s="31" t="n"/>
      <c r="J334" s="30" t="n"/>
      <c r="K334" s="30" t="n"/>
      <c r="L334" s="30" t="n"/>
      <c r="M334" s="30" t="n"/>
      <c r="N334" s="32" t="n"/>
      <c r="O334" s="30" t="n"/>
      <c r="P334" s="32" t="n"/>
      <c r="Q334" s="30" t="n"/>
      <c r="R334" s="32" t="n"/>
      <c r="S334" s="30" t="n"/>
      <c r="T334" s="30" t="n"/>
      <c r="U334" s="30" t="n"/>
      <c r="V334" s="30" t="n"/>
      <c r="W334" s="29">
        <f>IF(H334="","",IF(H334="Kenya","Yes","No"))</f>
        <v/>
      </c>
      <c r="X334" s="29">
        <f>IF(B334="","",IF(COUNTIF($B$5:$B$3004,B334)&gt;1,"DUPLICATE","OK"))</f>
        <v/>
      </c>
      <c r="Y334" s="29">
        <f>IF(OR(U334="",V334="",V334="Excluded"),"",IF(COUNTIFS($U$5:$U$3004,U334,$V$5:$V$3004,"&lt;&gt;"&amp;V334,$V$5:$V$3004,"&lt;&gt;",$V$5:$V$3004,"&lt;&gt;Excluded")&gt;0,"LEAK RISK","OK"))</f>
        <v/>
      </c>
      <c r="Z334" s="30" t="n"/>
    </row>
    <row r="335">
      <c r="A335" s="30" t="n"/>
      <c r="B335" s="30" t="n"/>
      <c r="C335" s="30" t="n"/>
      <c r="D335" s="30" t="n"/>
      <c r="E335" s="30" t="n"/>
      <c r="F335" s="30" t="n"/>
      <c r="G335" s="30" t="n"/>
      <c r="H335" s="30" t="n"/>
      <c r="I335" s="31" t="n"/>
      <c r="J335" s="30" t="n"/>
      <c r="K335" s="30" t="n"/>
      <c r="L335" s="30" t="n"/>
      <c r="M335" s="30" t="n"/>
      <c r="N335" s="32" t="n"/>
      <c r="O335" s="30" t="n"/>
      <c r="P335" s="32" t="n"/>
      <c r="Q335" s="30" t="n"/>
      <c r="R335" s="32" t="n"/>
      <c r="S335" s="30" t="n"/>
      <c r="T335" s="30" t="n"/>
      <c r="U335" s="30" t="n"/>
      <c r="V335" s="30" t="n"/>
      <c r="W335" s="29">
        <f>IF(H335="","",IF(H335="Kenya","Yes","No"))</f>
        <v/>
      </c>
      <c r="X335" s="29">
        <f>IF(B335="","",IF(COUNTIF($B$5:$B$3004,B335)&gt;1,"DUPLICATE","OK"))</f>
        <v/>
      </c>
      <c r="Y335" s="29">
        <f>IF(OR(U335="",V335="",V335="Excluded"),"",IF(COUNTIFS($U$5:$U$3004,U335,$V$5:$V$3004,"&lt;&gt;"&amp;V335,$V$5:$V$3004,"&lt;&gt;",$V$5:$V$3004,"&lt;&gt;Excluded")&gt;0,"LEAK RISK","OK"))</f>
        <v/>
      </c>
      <c r="Z335" s="30" t="n"/>
    </row>
    <row r="336">
      <c r="A336" s="30" t="n"/>
      <c r="B336" s="30" t="n"/>
      <c r="C336" s="30" t="n"/>
      <c r="D336" s="30" t="n"/>
      <c r="E336" s="30" t="n"/>
      <c r="F336" s="30" t="n"/>
      <c r="G336" s="30" t="n"/>
      <c r="H336" s="30" t="n"/>
      <c r="I336" s="31" t="n"/>
      <c r="J336" s="30" t="n"/>
      <c r="K336" s="30" t="n"/>
      <c r="L336" s="30" t="n"/>
      <c r="M336" s="30" t="n"/>
      <c r="N336" s="32" t="n"/>
      <c r="O336" s="30" t="n"/>
      <c r="P336" s="32" t="n"/>
      <c r="Q336" s="30" t="n"/>
      <c r="R336" s="32" t="n"/>
      <c r="S336" s="30" t="n"/>
      <c r="T336" s="30" t="n"/>
      <c r="U336" s="30" t="n"/>
      <c r="V336" s="30" t="n"/>
      <c r="W336" s="29">
        <f>IF(H336="","",IF(H336="Kenya","Yes","No"))</f>
        <v/>
      </c>
      <c r="X336" s="29">
        <f>IF(B336="","",IF(COUNTIF($B$5:$B$3004,B336)&gt;1,"DUPLICATE","OK"))</f>
        <v/>
      </c>
      <c r="Y336" s="29">
        <f>IF(OR(U336="",V336="",V336="Excluded"),"",IF(COUNTIFS($U$5:$U$3004,U336,$V$5:$V$3004,"&lt;&gt;"&amp;V336,$V$5:$V$3004,"&lt;&gt;",$V$5:$V$3004,"&lt;&gt;Excluded")&gt;0,"LEAK RISK","OK"))</f>
        <v/>
      </c>
      <c r="Z336" s="30" t="n"/>
    </row>
    <row r="337">
      <c r="A337" s="30" t="n"/>
      <c r="B337" s="30" t="n"/>
      <c r="C337" s="30" t="n"/>
      <c r="D337" s="30" t="n"/>
      <c r="E337" s="30" t="n"/>
      <c r="F337" s="30" t="n"/>
      <c r="G337" s="30" t="n"/>
      <c r="H337" s="30" t="n"/>
      <c r="I337" s="31" t="n"/>
      <c r="J337" s="30" t="n"/>
      <c r="K337" s="30" t="n"/>
      <c r="L337" s="30" t="n"/>
      <c r="M337" s="30" t="n"/>
      <c r="N337" s="32" t="n"/>
      <c r="O337" s="30" t="n"/>
      <c r="P337" s="32" t="n"/>
      <c r="Q337" s="30" t="n"/>
      <c r="R337" s="32" t="n"/>
      <c r="S337" s="30" t="n"/>
      <c r="T337" s="30" t="n"/>
      <c r="U337" s="30" t="n"/>
      <c r="V337" s="30" t="n"/>
      <c r="W337" s="29">
        <f>IF(H337="","",IF(H337="Kenya","Yes","No"))</f>
        <v/>
      </c>
      <c r="X337" s="29">
        <f>IF(B337="","",IF(COUNTIF($B$5:$B$3004,B337)&gt;1,"DUPLICATE","OK"))</f>
        <v/>
      </c>
      <c r="Y337" s="29">
        <f>IF(OR(U337="",V337="",V337="Excluded"),"",IF(COUNTIFS($U$5:$U$3004,U337,$V$5:$V$3004,"&lt;&gt;"&amp;V337,$V$5:$V$3004,"&lt;&gt;",$V$5:$V$3004,"&lt;&gt;Excluded")&gt;0,"LEAK RISK","OK"))</f>
        <v/>
      </c>
      <c r="Z337" s="30" t="n"/>
    </row>
    <row r="338">
      <c r="A338" s="30" t="n"/>
      <c r="B338" s="30" t="n"/>
      <c r="C338" s="30" t="n"/>
      <c r="D338" s="30" t="n"/>
      <c r="E338" s="30" t="n"/>
      <c r="F338" s="30" t="n"/>
      <c r="G338" s="30" t="n"/>
      <c r="H338" s="30" t="n"/>
      <c r="I338" s="31" t="n"/>
      <c r="J338" s="30" t="n"/>
      <c r="K338" s="30" t="n"/>
      <c r="L338" s="30" t="n"/>
      <c r="M338" s="30" t="n"/>
      <c r="N338" s="32" t="n"/>
      <c r="O338" s="30" t="n"/>
      <c r="P338" s="32" t="n"/>
      <c r="Q338" s="30" t="n"/>
      <c r="R338" s="32" t="n"/>
      <c r="S338" s="30" t="n"/>
      <c r="T338" s="30" t="n"/>
      <c r="U338" s="30" t="n"/>
      <c r="V338" s="30" t="n"/>
      <c r="W338" s="29">
        <f>IF(H338="","",IF(H338="Kenya","Yes","No"))</f>
        <v/>
      </c>
      <c r="X338" s="29">
        <f>IF(B338="","",IF(COUNTIF($B$5:$B$3004,B338)&gt;1,"DUPLICATE","OK"))</f>
        <v/>
      </c>
      <c r="Y338" s="29">
        <f>IF(OR(U338="",V338="",V338="Excluded"),"",IF(COUNTIFS($U$5:$U$3004,U338,$V$5:$V$3004,"&lt;&gt;"&amp;V338,$V$5:$V$3004,"&lt;&gt;",$V$5:$V$3004,"&lt;&gt;Excluded")&gt;0,"LEAK RISK","OK"))</f>
        <v/>
      </c>
      <c r="Z338" s="30" t="n"/>
    </row>
    <row r="339">
      <c r="A339" s="30" t="n"/>
      <c r="B339" s="30" t="n"/>
      <c r="C339" s="30" t="n"/>
      <c r="D339" s="30" t="n"/>
      <c r="E339" s="30" t="n"/>
      <c r="F339" s="30" t="n"/>
      <c r="G339" s="30" t="n"/>
      <c r="H339" s="30" t="n"/>
      <c r="I339" s="31" t="n"/>
      <c r="J339" s="30" t="n"/>
      <c r="K339" s="30" t="n"/>
      <c r="L339" s="30" t="n"/>
      <c r="M339" s="30" t="n"/>
      <c r="N339" s="32" t="n"/>
      <c r="O339" s="30" t="n"/>
      <c r="P339" s="32" t="n"/>
      <c r="Q339" s="30" t="n"/>
      <c r="R339" s="32" t="n"/>
      <c r="S339" s="30" t="n"/>
      <c r="T339" s="30" t="n"/>
      <c r="U339" s="30" t="n"/>
      <c r="V339" s="30" t="n"/>
      <c r="W339" s="29">
        <f>IF(H339="","",IF(H339="Kenya","Yes","No"))</f>
        <v/>
      </c>
      <c r="X339" s="29">
        <f>IF(B339="","",IF(COUNTIF($B$5:$B$3004,B339)&gt;1,"DUPLICATE","OK"))</f>
        <v/>
      </c>
      <c r="Y339" s="29">
        <f>IF(OR(U339="",V339="",V339="Excluded"),"",IF(COUNTIFS($U$5:$U$3004,U339,$V$5:$V$3004,"&lt;&gt;"&amp;V339,$V$5:$V$3004,"&lt;&gt;",$V$5:$V$3004,"&lt;&gt;Excluded")&gt;0,"LEAK RISK","OK"))</f>
        <v/>
      </c>
      <c r="Z339" s="30" t="n"/>
    </row>
    <row r="340">
      <c r="A340" s="30" t="n"/>
      <c r="B340" s="30" t="n"/>
      <c r="C340" s="30" t="n"/>
      <c r="D340" s="30" t="n"/>
      <c r="E340" s="30" t="n"/>
      <c r="F340" s="30" t="n"/>
      <c r="G340" s="30" t="n"/>
      <c r="H340" s="30" t="n"/>
      <c r="I340" s="31" t="n"/>
      <c r="J340" s="30" t="n"/>
      <c r="K340" s="30" t="n"/>
      <c r="L340" s="30" t="n"/>
      <c r="M340" s="30" t="n"/>
      <c r="N340" s="32" t="n"/>
      <c r="O340" s="30" t="n"/>
      <c r="P340" s="32" t="n"/>
      <c r="Q340" s="30" t="n"/>
      <c r="R340" s="32" t="n"/>
      <c r="S340" s="30" t="n"/>
      <c r="T340" s="30" t="n"/>
      <c r="U340" s="30" t="n"/>
      <c r="V340" s="30" t="n"/>
      <c r="W340" s="29">
        <f>IF(H340="","",IF(H340="Kenya","Yes","No"))</f>
        <v/>
      </c>
      <c r="X340" s="29">
        <f>IF(B340="","",IF(COUNTIF($B$5:$B$3004,B340)&gt;1,"DUPLICATE","OK"))</f>
        <v/>
      </c>
      <c r="Y340" s="29">
        <f>IF(OR(U340="",V340="",V340="Excluded"),"",IF(COUNTIFS($U$5:$U$3004,U340,$V$5:$V$3004,"&lt;&gt;"&amp;V340,$V$5:$V$3004,"&lt;&gt;",$V$5:$V$3004,"&lt;&gt;Excluded")&gt;0,"LEAK RISK","OK"))</f>
        <v/>
      </c>
      <c r="Z340" s="30" t="n"/>
    </row>
    <row r="341">
      <c r="A341" s="30" t="n"/>
      <c r="B341" s="30" t="n"/>
      <c r="C341" s="30" t="n"/>
      <c r="D341" s="30" t="n"/>
      <c r="E341" s="30" t="n"/>
      <c r="F341" s="30" t="n"/>
      <c r="G341" s="30" t="n"/>
      <c r="H341" s="30" t="n"/>
      <c r="I341" s="31" t="n"/>
      <c r="J341" s="30" t="n"/>
      <c r="K341" s="30" t="n"/>
      <c r="L341" s="30" t="n"/>
      <c r="M341" s="30" t="n"/>
      <c r="N341" s="32" t="n"/>
      <c r="O341" s="30" t="n"/>
      <c r="P341" s="32" t="n"/>
      <c r="Q341" s="30" t="n"/>
      <c r="R341" s="32" t="n"/>
      <c r="S341" s="30" t="n"/>
      <c r="T341" s="30" t="n"/>
      <c r="U341" s="30" t="n"/>
      <c r="V341" s="30" t="n"/>
      <c r="W341" s="29">
        <f>IF(H341="","",IF(H341="Kenya","Yes","No"))</f>
        <v/>
      </c>
      <c r="X341" s="29">
        <f>IF(B341="","",IF(COUNTIF($B$5:$B$3004,B341)&gt;1,"DUPLICATE","OK"))</f>
        <v/>
      </c>
      <c r="Y341" s="29">
        <f>IF(OR(U341="",V341="",V341="Excluded"),"",IF(COUNTIFS($U$5:$U$3004,U341,$V$5:$V$3004,"&lt;&gt;"&amp;V341,$V$5:$V$3004,"&lt;&gt;",$V$5:$V$3004,"&lt;&gt;Excluded")&gt;0,"LEAK RISK","OK"))</f>
        <v/>
      </c>
      <c r="Z341" s="30" t="n"/>
    </row>
    <row r="342">
      <c r="A342" s="30" t="n"/>
      <c r="B342" s="30" t="n"/>
      <c r="C342" s="30" t="n"/>
      <c r="D342" s="30" t="n"/>
      <c r="E342" s="30" t="n"/>
      <c r="F342" s="30" t="n"/>
      <c r="G342" s="30" t="n"/>
      <c r="H342" s="30" t="n"/>
      <c r="I342" s="31" t="n"/>
      <c r="J342" s="30" t="n"/>
      <c r="K342" s="30" t="n"/>
      <c r="L342" s="30" t="n"/>
      <c r="M342" s="30" t="n"/>
      <c r="N342" s="32" t="n"/>
      <c r="O342" s="30" t="n"/>
      <c r="P342" s="32" t="n"/>
      <c r="Q342" s="30" t="n"/>
      <c r="R342" s="32" t="n"/>
      <c r="S342" s="30" t="n"/>
      <c r="T342" s="30" t="n"/>
      <c r="U342" s="30" t="n"/>
      <c r="V342" s="30" t="n"/>
      <c r="W342" s="29">
        <f>IF(H342="","",IF(H342="Kenya","Yes","No"))</f>
        <v/>
      </c>
      <c r="X342" s="29">
        <f>IF(B342="","",IF(COUNTIF($B$5:$B$3004,B342)&gt;1,"DUPLICATE","OK"))</f>
        <v/>
      </c>
      <c r="Y342" s="29">
        <f>IF(OR(U342="",V342="",V342="Excluded"),"",IF(COUNTIFS($U$5:$U$3004,U342,$V$5:$V$3004,"&lt;&gt;"&amp;V342,$V$5:$V$3004,"&lt;&gt;",$V$5:$V$3004,"&lt;&gt;Excluded")&gt;0,"LEAK RISK","OK"))</f>
        <v/>
      </c>
      <c r="Z342" s="30" t="n"/>
    </row>
    <row r="343">
      <c r="A343" s="30" t="n"/>
      <c r="B343" s="30" t="n"/>
      <c r="C343" s="30" t="n"/>
      <c r="D343" s="30" t="n"/>
      <c r="E343" s="30" t="n"/>
      <c r="F343" s="30" t="n"/>
      <c r="G343" s="30" t="n"/>
      <c r="H343" s="30" t="n"/>
      <c r="I343" s="31" t="n"/>
      <c r="J343" s="30" t="n"/>
      <c r="K343" s="30" t="n"/>
      <c r="L343" s="30" t="n"/>
      <c r="M343" s="30" t="n"/>
      <c r="N343" s="32" t="n"/>
      <c r="O343" s="30" t="n"/>
      <c r="P343" s="32" t="n"/>
      <c r="Q343" s="30" t="n"/>
      <c r="R343" s="32" t="n"/>
      <c r="S343" s="30" t="n"/>
      <c r="T343" s="30" t="n"/>
      <c r="U343" s="30" t="n"/>
      <c r="V343" s="30" t="n"/>
      <c r="W343" s="29">
        <f>IF(H343="","",IF(H343="Kenya","Yes","No"))</f>
        <v/>
      </c>
      <c r="X343" s="29">
        <f>IF(B343="","",IF(COUNTIF($B$5:$B$3004,B343)&gt;1,"DUPLICATE","OK"))</f>
        <v/>
      </c>
      <c r="Y343" s="29">
        <f>IF(OR(U343="",V343="",V343="Excluded"),"",IF(COUNTIFS($U$5:$U$3004,U343,$V$5:$V$3004,"&lt;&gt;"&amp;V343,$V$5:$V$3004,"&lt;&gt;",$V$5:$V$3004,"&lt;&gt;Excluded")&gt;0,"LEAK RISK","OK"))</f>
        <v/>
      </c>
      <c r="Z343" s="30" t="n"/>
    </row>
    <row r="344">
      <c r="A344" s="30" t="n"/>
      <c r="B344" s="30" t="n"/>
      <c r="C344" s="30" t="n"/>
      <c r="D344" s="30" t="n"/>
      <c r="E344" s="30" t="n"/>
      <c r="F344" s="30" t="n"/>
      <c r="G344" s="30" t="n"/>
      <c r="H344" s="30" t="n"/>
      <c r="I344" s="31" t="n"/>
      <c r="J344" s="30" t="n"/>
      <c r="K344" s="30" t="n"/>
      <c r="L344" s="30" t="n"/>
      <c r="M344" s="30" t="n"/>
      <c r="N344" s="32" t="n"/>
      <c r="O344" s="30" t="n"/>
      <c r="P344" s="32" t="n"/>
      <c r="Q344" s="30" t="n"/>
      <c r="R344" s="32" t="n"/>
      <c r="S344" s="30" t="n"/>
      <c r="T344" s="30" t="n"/>
      <c r="U344" s="30" t="n"/>
      <c r="V344" s="30" t="n"/>
      <c r="W344" s="29">
        <f>IF(H344="","",IF(H344="Kenya","Yes","No"))</f>
        <v/>
      </c>
      <c r="X344" s="29">
        <f>IF(B344="","",IF(COUNTIF($B$5:$B$3004,B344)&gt;1,"DUPLICATE","OK"))</f>
        <v/>
      </c>
      <c r="Y344" s="29">
        <f>IF(OR(U344="",V344="",V344="Excluded"),"",IF(COUNTIFS($U$5:$U$3004,U344,$V$5:$V$3004,"&lt;&gt;"&amp;V344,$V$5:$V$3004,"&lt;&gt;",$V$5:$V$3004,"&lt;&gt;Excluded")&gt;0,"LEAK RISK","OK"))</f>
        <v/>
      </c>
      <c r="Z344" s="30" t="n"/>
    </row>
    <row r="345">
      <c r="A345" s="30" t="n"/>
      <c r="B345" s="30" t="n"/>
      <c r="C345" s="30" t="n"/>
      <c r="D345" s="30" t="n"/>
      <c r="E345" s="30" t="n"/>
      <c r="F345" s="30" t="n"/>
      <c r="G345" s="30" t="n"/>
      <c r="H345" s="30" t="n"/>
      <c r="I345" s="31" t="n"/>
      <c r="J345" s="30" t="n"/>
      <c r="K345" s="30" t="n"/>
      <c r="L345" s="30" t="n"/>
      <c r="M345" s="30" t="n"/>
      <c r="N345" s="32" t="n"/>
      <c r="O345" s="30" t="n"/>
      <c r="P345" s="32" t="n"/>
      <c r="Q345" s="30" t="n"/>
      <c r="R345" s="32" t="n"/>
      <c r="S345" s="30" t="n"/>
      <c r="T345" s="30" t="n"/>
      <c r="U345" s="30" t="n"/>
      <c r="V345" s="30" t="n"/>
      <c r="W345" s="29">
        <f>IF(H345="","",IF(H345="Kenya","Yes","No"))</f>
        <v/>
      </c>
      <c r="X345" s="29">
        <f>IF(B345="","",IF(COUNTIF($B$5:$B$3004,B345)&gt;1,"DUPLICATE","OK"))</f>
        <v/>
      </c>
      <c r="Y345" s="29">
        <f>IF(OR(U345="",V345="",V345="Excluded"),"",IF(COUNTIFS($U$5:$U$3004,U345,$V$5:$V$3004,"&lt;&gt;"&amp;V345,$V$5:$V$3004,"&lt;&gt;",$V$5:$V$3004,"&lt;&gt;Excluded")&gt;0,"LEAK RISK","OK"))</f>
        <v/>
      </c>
      <c r="Z345" s="30" t="n"/>
    </row>
    <row r="346">
      <c r="A346" s="30" t="n"/>
      <c r="B346" s="30" t="n"/>
      <c r="C346" s="30" t="n"/>
      <c r="D346" s="30" t="n"/>
      <c r="E346" s="30" t="n"/>
      <c r="F346" s="30" t="n"/>
      <c r="G346" s="30" t="n"/>
      <c r="H346" s="30" t="n"/>
      <c r="I346" s="31" t="n"/>
      <c r="J346" s="30" t="n"/>
      <c r="K346" s="30" t="n"/>
      <c r="L346" s="30" t="n"/>
      <c r="M346" s="30" t="n"/>
      <c r="N346" s="32" t="n"/>
      <c r="O346" s="30" t="n"/>
      <c r="P346" s="32" t="n"/>
      <c r="Q346" s="30" t="n"/>
      <c r="R346" s="32" t="n"/>
      <c r="S346" s="30" t="n"/>
      <c r="T346" s="30" t="n"/>
      <c r="U346" s="30" t="n"/>
      <c r="V346" s="30" t="n"/>
      <c r="W346" s="29">
        <f>IF(H346="","",IF(H346="Kenya","Yes","No"))</f>
        <v/>
      </c>
      <c r="X346" s="29">
        <f>IF(B346="","",IF(COUNTIF($B$5:$B$3004,B346)&gt;1,"DUPLICATE","OK"))</f>
        <v/>
      </c>
      <c r="Y346" s="29">
        <f>IF(OR(U346="",V346="",V346="Excluded"),"",IF(COUNTIFS($U$5:$U$3004,U346,$V$5:$V$3004,"&lt;&gt;"&amp;V346,$V$5:$V$3004,"&lt;&gt;",$V$5:$V$3004,"&lt;&gt;Excluded")&gt;0,"LEAK RISK","OK"))</f>
        <v/>
      </c>
      <c r="Z346" s="30" t="n"/>
    </row>
    <row r="347">
      <c r="A347" s="30" t="n"/>
      <c r="B347" s="30" t="n"/>
      <c r="C347" s="30" t="n"/>
      <c r="D347" s="30" t="n"/>
      <c r="E347" s="30" t="n"/>
      <c r="F347" s="30" t="n"/>
      <c r="G347" s="30" t="n"/>
      <c r="H347" s="30" t="n"/>
      <c r="I347" s="31" t="n"/>
      <c r="J347" s="30" t="n"/>
      <c r="K347" s="30" t="n"/>
      <c r="L347" s="30" t="n"/>
      <c r="M347" s="30" t="n"/>
      <c r="N347" s="32" t="n"/>
      <c r="O347" s="30" t="n"/>
      <c r="P347" s="32" t="n"/>
      <c r="Q347" s="30" t="n"/>
      <c r="R347" s="32" t="n"/>
      <c r="S347" s="30" t="n"/>
      <c r="T347" s="30" t="n"/>
      <c r="U347" s="30" t="n"/>
      <c r="V347" s="30" t="n"/>
      <c r="W347" s="29">
        <f>IF(H347="","",IF(H347="Kenya","Yes","No"))</f>
        <v/>
      </c>
      <c r="X347" s="29">
        <f>IF(B347="","",IF(COUNTIF($B$5:$B$3004,B347)&gt;1,"DUPLICATE","OK"))</f>
        <v/>
      </c>
      <c r="Y347" s="29">
        <f>IF(OR(U347="",V347="",V347="Excluded"),"",IF(COUNTIFS($U$5:$U$3004,U347,$V$5:$V$3004,"&lt;&gt;"&amp;V347,$V$5:$V$3004,"&lt;&gt;",$V$5:$V$3004,"&lt;&gt;Excluded")&gt;0,"LEAK RISK","OK"))</f>
        <v/>
      </c>
      <c r="Z347" s="30" t="n"/>
    </row>
    <row r="348">
      <c r="A348" s="30" t="n"/>
      <c r="B348" s="30" t="n"/>
      <c r="C348" s="30" t="n"/>
      <c r="D348" s="30" t="n"/>
      <c r="E348" s="30" t="n"/>
      <c r="F348" s="30" t="n"/>
      <c r="G348" s="30" t="n"/>
      <c r="H348" s="30" t="n"/>
      <c r="I348" s="31" t="n"/>
      <c r="J348" s="30" t="n"/>
      <c r="K348" s="30" t="n"/>
      <c r="L348" s="30" t="n"/>
      <c r="M348" s="30" t="n"/>
      <c r="N348" s="32" t="n"/>
      <c r="O348" s="30" t="n"/>
      <c r="P348" s="32" t="n"/>
      <c r="Q348" s="30" t="n"/>
      <c r="R348" s="32" t="n"/>
      <c r="S348" s="30" t="n"/>
      <c r="T348" s="30" t="n"/>
      <c r="U348" s="30" t="n"/>
      <c r="V348" s="30" t="n"/>
      <c r="W348" s="29">
        <f>IF(H348="","",IF(H348="Kenya","Yes","No"))</f>
        <v/>
      </c>
      <c r="X348" s="29">
        <f>IF(B348="","",IF(COUNTIF($B$5:$B$3004,B348)&gt;1,"DUPLICATE","OK"))</f>
        <v/>
      </c>
      <c r="Y348" s="29">
        <f>IF(OR(U348="",V348="",V348="Excluded"),"",IF(COUNTIFS($U$5:$U$3004,U348,$V$5:$V$3004,"&lt;&gt;"&amp;V348,$V$5:$V$3004,"&lt;&gt;",$V$5:$V$3004,"&lt;&gt;Excluded")&gt;0,"LEAK RISK","OK"))</f>
        <v/>
      </c>
      <c r="Z348" s="30" t="n"/>
    </row>
    <row r="349">
      <c r="A349" s="30" t="n"/>
      <c r="B349" s="30" t="n"/>
      <c r="C349" s="30" t="n"/>
      <c r="D349" s="30" t="n"/>
      <c r="E349" s="30" t="n"/>
      <c r="F349" s="30" t="n"/>
      <c r="G349" s="30" t="n"/>
      <c r="H349" s="30" t="n"/>
      <c r="I349" s="31" t="n"/>
      <c r="J349" s="30" t="n"/>
      <c r="K349" s="30" t="n"/>
      <c r="L349" s="30" t="n"/>
      <c r="M349" s="30" t="n"/>
      <c r="N349" s="32" t="n"/>
      <c r="O349" s="30" t="n"/>
      <c r="P349" s="32" t="n"/>
      <c r="Q349" s="30" t="n"/>
      <c r="R349" s="32" t="n"/>
      <c r="S349" s="30" t="n"/>
      <c r="T349" s="30" t="n"/>
      <c r="U349" s="30" t="n"/>
      <c r="V349" s="30" t="n"/>
      <c r="W349" s="29">
        <f>IF(H349="","",IF(H349="Kenya","Yes","No"))</f>
        <v/>
      </c>
      <c r="X349" s="29">
        <f>IF(B349="","",IF(COUNTIF($B$5:$B$3004,B349)&gt;1,"DUPLICATE","OK"))</f>
        <v/>
      </c>
      <c r="Y349" s="29">
        <f>IF(OR(U349="",V349="",V349="Excluded"),"",IF(COUNTIFS($U$5:$U$3004,U349,$V$5:$V$3004,"&lt;&gt;"&amp;V349,$V$5:$V$3004,"&lt;&gt;",$V$5:$V$3004,"&lt;&gt;Excluded")&gt;0,"LEAK RISK","OK"))</f>
        <v/>
      </c>
      <c r="Z349" s="30" t="n"/>
    </row>
    <row r="350">
      <c r="A350" s="30" t="n"/>
      <c r="B350" s="30" t="n"/>
      <c r="C350" s="30" t="n"/>
      <c r="D350" s="30" t="n"/>
      <c r="E350" s="30" t="n"/>
      <c r="F350" s="30" t="n"/>
      <c r="G350" s="30" t="n"/>
      <c r="H350" s="30" t="n"/>
      <c r="I350" s="31" t="n"/>
      <c r="J350" s="30" t="n"/>
      <c r="K350" s="30" t="n"/>
      <c r="L350" s="30" t="n"/>
      <c r="M350" s="30" t="n"/>
      <c r="N350" s="32" t="n"/>
      <c r="O350" s="30" t="n"/>
      <c r="P350" s="32" t="n"/>
      <c r="Q350" s="30" t="n"/>
      <c r="R350" s="32" t="n"/>
      <c r="S350" s="30" t="n"/>
      <c r="T350" s="30" t="n"/>
      <c r="U350" s="30" t="n"/>
      <c r="V350" s="30" t="n"/>
      <c r="W350" s="29">
        <f>IF(H350="","",IF(H350="Kenya","Yes","No"))</f>
        <v/>
      </c>
      <c r="X350" s="29">
        <f>IF(B350="","",IF(COUNTIF($B$5:$B$3004,B350)&gt;1,"DUPLICATE","OK"))</f>
        <v/>
      </c>
      <c r="Y350" s="29">
        <f>IF(OR(U350="",V350="",V350="Excluded"),"",IF(COUNTIFS($U$5:$U$3004,U350,$V$5:$V$3004,"&lt;&gt;"&amp;V350,$V$5:$V$3004,"&lt;&gt;",$V$5:$V$3004,"&lt;&gt;Excluded")&gt;0,"LEAK RISK","OK"))</f>
        <v/>
      </c>
      <c r="Z350" s="30" t="n"/>
    </row>
    <row r="351">
      <c r="A351" s="30" t="n"/>
      <c r="B351" s="30" t="n"/>
      <c r="C351" s="30" t="n"/>
      <c r="D351" s="30" t="n"/>
      <c r="E351" s="30" t="n"/>
      <c r="F351" s="30" t="n"/>
      <c r="G351" s="30" t="n"/>
      <c r="H351" s="30" t="n"/>
      <c r="I351" s="31" t="n"/>
      <c r="J351" s="30" t="n"/>
      <c r="K351" s="30" t="n"/>
      <c r="L351" s="30" t="n"/>
      <c r="M351" s="30" t="n"/>
      <c r="N351" s="32" t="n"/>
      <c r="O351" s="30" t="n"/>
      <c r="P351" s="32" t="n"/>
      <c r="Q351" s="30" t="n"/>
      <c r="R351" s="32" t="n"/>
      <c r="S351" s="30" t="n"/>
      <c r="T351" s="30" t="n"/>
      <c r="U351" s="30" t="n"/>
      <c r="V351" s="30" t="n"/>
      <c r="W351" s="29">
        <f>IF(H351="","",IF(H351="Kenya","Yes","No"))</f>
        <v/>
      </c>
      <c r="X351" s="29">
        <f>IF(B351="","",IF(COUNTIF($B$5:$B$3004,B351)&gt;1,"DUPLICATE","OK"))</f>
        <v/>
      </c>
      <c r="Y351" s="29">
        <f>IF(OR(U351="",V351="",V351="Excluded"),"",IF(COUNTIFS($U$5:$U$3004,U351,$V$5:$V$3004,"&lt;&gt;"&amp;V351,$V$5:$V$3004,"&lt;&gt;",$V$5:$V$3004,"&lt;&gt;Excluded")&gt;0,"LEAK RISK","OK"))</f>
        <v/>
      </c>
      <c r="Z351" s="30" t="n"/>
    </row>
    <row r="352">
      <c r="A352" s="30" t="n"/>
      <c r="B352" s="30" t="n"/>
      <c r="C352" s="30" t="n"/>
      <c r="D352" s="30" t="n"/>
      <c r="E352" s="30" t="n"/>
      <c r="F352" s="30" t="n"/>
      <c r="G352" s="30" t="n"/>
      <c r="H352" s="30" t="n"/>
      <c r="I352" s="31" t="n"/>
      <c r="J352" s="30" t="n"/>
      <c r="K352" s="30" t="n"/>
      <c r="L352" s="30" t="n"/>
      <c r="M352" s="30" t="n"/>
      <c r="N352" s="32" t="n"/>
      <c r="O352" s="30" t="n"/>
      <c r="P352" s="32" t="n"/>
      <c r="Q352" s="30" t="n"/>
      <c r="R352" s="32" t="n"/>
      <c r="S352" s="30" t="n"/>
      <c r="T352" s="30" t="n"/>
      <c r="U352" s="30" t="n"/>
      <c r="V352" s="30" t="n"/>
      <c r="W352" s="29">
        <f>IF(H352="","",IF(H352="Kenya","Yes","No"))</f>
        <v/>
      </c>
      <c r="X352" s="29">
        <f>IF(B352="","",IF(COUNTIF($B$5:$B$3004,B352)&gt;1,"DUPLICATE","OK"))</f>
        <v/>
      </c>
      <c r="Y352" s="29">
        <f>IF(OR(U352="",V352="",V352="Excluded"),"",IF(COUNTIFS($U$5:$U$3004,U352,$V$5:$V$3004,"&lt;&gt;"&amp;V352,$V$5:$V$3004,"&lt;&gt;",$V$5:$V$3004,"&lt;&gt;Excluded")&gt;0,"LEAK RISK","OK"))</f>
        <v/>
      </c>
      <c r="Z352" s="30" t="n"/>
    </row>
    <row r="353">
      <c r="A353" s="30" t="n"/>
      <c r="B353" s="30" t="n"/>
      <c r="C353" s="30" t="n"/>
      <c r="D353" s="30" t="n"/>
      <c r="E353" s="30" t="n"/>
      <c r="F353" s="30" t="n"/>
      <c r="G353" s="30" t="n"/>
      <c r="H353" s="30" t="n"/>
      <c r="I353" s="31" t="n"/>
      <c r="J353" s="30" t="n"/>
      <c r="K353" s="30" t="n"/>
      <c r="L353" s="30" t="n"/>
      <c r="M353" s="30" t="n"/>
      <c r="N353" s="32" t="n"/>
      <c r="O353" s="30" t="n"/>
      <c r="P353" s="32" t="n"/>
      <c r="Q353" s="30" t="n"/>
      <c r="R353" s="32" t="n"/>
      <c r="S353" s="30" t="n"/>
      <c r="T353" s="30" t="n"/>
      <c r="U353" s="30" t="n"/>
      <c r="V353" s="30" t="n"/>
      <c r="W353" s="29">
        <f>IF(H353="","",IF(H353="Kenya","Yes","No"))</f>
        <v/>
      </c>
      <c r="X353" s="29">
        <f>IF(B353="","",IF(COUNTIF($B$5:$B$3004,B353)&gt;1,"DUPLICATE","OK"))</f>
        <v/>
      </c>
      <c r="Y353" s="29">
        <f>IF(OR(U353="",V353="",V353="Excluded"),"",IF(COUNTIFS($U$5:$U$3004,U353,$V$5:$V$3004,"&lt;&gt;"&amp;V353,$V$5:$V$3004,"&lt;&gt;",$V$5:$V$3004,"&lt;&gt;Excluded")&gt;0,"LEAK RISK","OK"))</f>
        <v/>
      </c>
      <c r="Z353" s="30" t="n"/>
    </row>
    <row r="354">
      <c r="A354" s="30" t="n"/>
      <c r="B354" s="30" t="n"/>
      <c r="C354" s="30" t="n"/>
      <c r="D354" s="30" t="n"/>
      <c r="E354" s="30" t="n"/>
      <c r="F354" s="30" t="n"/>
      <c r="G354" s="30" t="n"/>
      <c r="H354" s="30" t="n"/>
      <c r="I354" s="31" t="n"/>
      <c r="J354" s="30" t="n"/>
      <c r="K354" s="30" t="n"/>
      <c r="L354" s="30" t="n"/>
      <c r="M354" s="30" t="n"/>
      <c r="N354" s="32" t="n"/>
      <c r="O354" s="30" t="n"/>
      <c r="P354" s="32" t="n"/>
      <c r="Q354" s="30" t="n"/>
      <c r="R354" s="32" t="n"/>
      <c r="S354" s="30" t="n"/>
      <c r="T354" s="30" t="n"/>
      <c r="U354" s="30" t="n"/>
      <c r="V354" s="30" t="n"/>
      <c r="W354" s="29">
        <f>IF(H354="","",IF(H354="Kenya","Yes","No"))</f>
        <v/>
      </c>
      <c r="X354" s="29">
        <f>IF(B354="","",IF(COUNTIF($B$5:$B$3004,B354)&gt;1,"DUPLICATE","OK"))</f>
        <v/>
      </c>
      <c r="Y354" s="29">
        <f>IF(OR(U354="",V354="",V354="Excluded"),"",IF(COUNTIFS($U$5:$U$3004,U354,$V$5:$V$3004,"&lt;&gt;"&amp;V354,$V$5:$V$3004,"&lt;&gt;",$V$5:$V$3004,"&lt;&gt;Excluded")&gt;0,"LEAK RISK","OK"))</f>
        <v/>
      </c>
      <c r="Z354" s="30" t="n"/>
    </row>
    <row r="355">
      <c r="A355" s="30" t="n"/>
      <c r="B355" s="30" t="n"/>
      <c r="C355" s="30" t="n"/>
      <c r="D355" s="30" t="n"/>
      <c r="E355" s="30" t="n"/>
      <c r="F355" s="30" t="n"/>
      <c r="G355" s="30" t="n"/>
      <c r="H355" s="30" t="n"/>
      <c r="I355" s="31" t="n"/>
      <c r="J355" s="30" t="n"/>
      <c r="K355" s="30" t="n"/>
      <c r="L355" s="30" t="n"/>
      <c r="M355" s="30" t="n"/>
      <c r="N355" s="32" t="n"/>
      <c r="O355" s="30" t="n"/>
      <c r="P355" s="32" t="n"/>
      <c r="Q355" s="30" t="n"/>
      <c r="R355" s="32" t="n"/>
      <c r="S355" s="30" t="n"/>
      <c r="T355" s="30" t="n"/>
      <c r="U355" s="30" t="n"/>
      <c r="V355" s="30" t="n"/>
      <c r="W355" s="29">
        <f>IF(H355="","",IF(H355="Kenya","Yes","No"))</f>
        <v/>
      </c>
      <c r="X355" s="29">
        <f>IF(B355="","",IF(COUNTIF($B$5:$B$3004,B355)&gt;1,"DUPLICATE","OK"))</f>
        <v/>
      </c>
      <c r="Y355" s="29">
        <f>IF(OR(U355="",V355="",V355="Excluded"),"",IF(COUNTIFS($U$5:$U$3004,U355,$V$5:$V$3004,"&lt;&gt;"&amp;V355,$V$5:$V$3004,"&lt;&gt;",$V$5:$V$3004,"&lt;&gt;Excluded")&gt;0,"LEAK RISK","OK"))</f>
        <v/>
      </c>
      <c r="Z355" s="30" t="n"/>
    </row>
    <row r="356">
      <c r="A356" s="30" t="n"/>
      <c r="B356" s="30" t="n"/>
      <c r="C356" s="30" t="n"/>
      <c r="D356" s="30" t="n"/>
      <c r="E356" s="30" t="n"/>
      <c r="F356" s="30" t="n"/>
      <c r="G356" s="30" t="n"/>
      <c r="H356" s="30" t="n"/>
      <c r="I356" s="31" t="n"/>
      <c r="J356" s="30" t="n"/>
      <c r="K356" s="30" t="n"/>
      <c r="L356" s="30" t="n"/>
      <c r="M356" s="30" t="n"/>
      <c r="N356" s="32" t="n"/>
      <c r="O356" s="30" t="n"/>
      <c r="P356" s="32" t="n"/>
      <c r="Q356" s="30" t="n"/>
      <c r="R356" s="32" t="n"/>
      <c r="S356" s="30" t="n"/>
      <c r="T356" s="30" t="n"/>
      <c r="U356" s="30" t="n"/>
      <c r="V356" s="30" t="n"/>
      <c r="W356" s="29">
        <f>IF(H356="","",IF(H356="Kenya","Yes","No"))</f>
        <v/>
      </c>
      <c r="X356" s="29">
        <f>IF(B356="","",IF(COUNTIF($B$5:$B$3004,B356)&gt;1,"DUPLICATE","OK"))</f>
        <v/>
      </c>
      <c r="Y356" s="29">
        <f>IF(OR(U356="",V356="",V356="Excluded"),"",IF(COUNTIFS($U$5:$U$3004,U356,$V$5:$V$3004,"&lt;&gt;"&amp;V356,$V$5:$V$3004,"&lt;&gt;",$V$5:$V$3004,"&lt;&gt;Excluded")&gt;0,"LEAK RISK","OK"))</f>
        <v/>
      </c>
      <c r="Z356" s="30" t="n"/>
    </row>
    <row r="357">
      <c r="A357" s="30" t="n"/>
      <c r="B357" s="30" t="n"/>
      <c r="C357" s="30" t="n"/>
      <c r="D357" s="30" t="n"/>
      <c r="E357" s="30" t="n"/>
      <c r="F357" s="30" t="n"/>
      <c r="G357" s="30" t="n"/>
      <c r="H357" s="30" t="n"/>
      <c r="I357" s="31" t="n"/>
      <c r="J357" s="30" t="n"/>
      <c r="K357" s="30" t="n"/>
      <c r="L357" s="30" t="n"/>
      <c r="M357" s="30" t="n"/>
      <c r="N357" s="32" t="n"/>
      <c r="O357" s="30" t="n"/>
      <c r="P357" s="32" t="n"/>
      <c r="Q357" s="30" t="n"/>
      <c r="R357" s="32" t="n"/>
      <c r="S357" s="30" t="n"/>
      <c r="T357" s="30" t="n"/>
      <c r="U357" s="30" t="n"/>
      <c r="V357" s="30" t="n"/>
      <c r="W357" s="29">
        <f>IF(H357="","",IF(H357="Kenya","Yes","No"))</f>
        <v/>
      </c>
      <c r="X357" s="29">
        <f>IF(B357="","",IF(COUNTIF($B$5:$B$3004,B357)&gt;1,"DUPLICATE","OK"))</f>
        <v/>
      </c>
      <c r="Y357" s="29">
        <f>IF(OR(U357="",V357="",V357="Excluded"),"",IF(COUNTIFS($U$5:$U$3004,U357,$V$5:$V$3004,"&lt;&gt;"&amp;V357,$V$5:$V$3004,"&lt;&gt;",$V$5:$V$3004,"&lt;&gt;Excluded")&gt;0,"LEAK RISK","OK"))</f>
        <v/>
      </c>
      <c r="Z357" s="30" t="n"/>
    </row>
    <row r="358">
      <c r="A358" s="30" t="n"/>
      <c r="B358" s="30" t="n"/>
      <c r="C358" s="30" t="n"/>
      <c r="D358" s="30" t="n"/>
      <c r="E358" s="30" t="n"/>
      <c r="F358" s="30" t="n"/>
      <c r="G358" s="30" t="n"/>
      <c r="H358" s="30" t="n"/>
      <c r="I358" s="31" t="n"/>
      <c r="J358" s="30" t="n"/>
      <c r="K358" s="30" t="n"/>
      <c r="L358" s="30" t="n"/>
      <c r="M358" s="30" t="n"/>
      <c r="N358" s="32" t="n"/>
      <c r="O358" s="30" t="n"/>
      <c r="P358" s="32" t="n"/>
      <c r="Q358" s="30" t="n"/>
      <c r="R358" s="32" t="n"/>
      <c r="S358" s="30" t="n"/>
      <c r="T358" s="30" t="n"/>
      <c r="U358" s="30" t="n"/>
      <c r="V358" s="30" t="n"/>
      <c r="W358" s="29">
        <f>IF(H358="","",IF(H358="Kenya","Yes","No"))</f>
        <v/>
      </c>
      <c r="X358" s="29">
        <f>IF(B358="","",IF(COUNTIF($B$5:$B$3004,B358)&gt;1,"DUPLICATE","OK"))</f>
        <v/>
      </c>
      <c r="Y358" s="29">
        <f>IF(OR(U358="",V358="",V358="Excluded"),"",IF(COUNTIFS($U$5:$U$3004,U358,$V$5:$V$3004,"&lt;&gt;"&amp;V358,$V$5:$V$3004,"&lt;&gt;",$V$5:$V$3004,"&lt;&gt;Excluded")&gt;0,"LEAK RISK","OK"))</f>
        <v/>
      </c>
      <c r="Z358" s="30" t="n"/>
    </row>
    <row r="359">
      <c r="A359" s="30" t="n"/>
      <c r="B359" s="30" t="n"/>
      <c r="C359" s="30" t="n"/>
      <c r="D359" s="30" t="n"/>
      <c r="E359" s="30" t="n"/>
      <c r="F359" s="30" t="n"/>
      <c r="G359" s="30" t="n"/>
      <c r="H359" s="30" t="n"/>
      <c r="I359" s="31" t="n"/>
      <c r="J359" s="30" t="n"/>
      <c r="K359" s="30" t="n"/>
      <c r="L359" s="30" t="n"/>
      <c r="M359" s="30" t="n"/>
      <c r="N359" s="32" t="n"/>
      <c r="O359" s="30" t="n"/>
      <c r="P359" s="32" t="n"/>
      <c r="Q359" s="30" t="n"/>
      <c r="R359" s="32" t="n"/>
      <c r="S359" s="30" t="n"/>
      <c r="T359" s="30" t="n"/>
      <c r="U359" s="30" t="n"/>
      <c r="V359" s="30" t="n"/>
      <c r="W359" s="29">
        <f>IF(H359="","",IF(H359="Kenya","Yes","No"))</f>
        <v/>
      </c>
      <c r="X359" s="29">
        <f>IF(B359="","",IF(COUNTIF($B$5:$B$3004,B359)&gt;1,"DUPLICATE","OK"))</f>
        <v/>
      </c>
      <c r="Y359" s="29">
        <f>IF(OR(U359="",V359="",V359="Excluded"),"",IF(COUNTIFS($U$5:$U$3004,U359,$V$5:$V$3004,"&lt;&gt;"&amp;V359,$V$5:$V$3004,"&lt;&gt;",$V$5:$V$3004,"&lt;&gt;Excluded")&gt;0,"LEAK RISK","OK"))</f>
        <v/>
      </c>
      <c r="Z359" s="30" t="n"/>
    </row>
    <row r="360">
      <c r="A360" s="30" t="n"/>
      <c r="B360" s="30" t="n"/>
      <c r="C360" s="30" t="n"/>
      <c r="D360" s="30" t="n"/>
      <c r="E360" s="30" t="n"/>
      <c r="F360" s="30" t="n"/>
      <c r="G360" s="30" t="n"/>
      <c r="H360" s="30" t="n"/>
      <c r="I360" s="31" t="n"/>
      <c r="J360" s="30" t="n"/>
      <c r="K360" s="30" t="n"/>
      <c r="L360" s="30" t="n"/>
      <c r="M360" s="30" t="n"/>
      <c r="N360" s="32" t="n"/>
      <c r="O360" s="30" t="n"/>
      <c r="P360" s="32" t="n"/>
      <c r="Q360" s="30" t="n"/>
      <c r="R360" s="32" t="n"/>
      <c r="S360" s="30" t="n"/>
      <c r="T360" s="30" t="n"/>
      <c r="U360" s="30" t="n"/>
      <c r="V360" s="30" t="n"/>
      <c r="W360" s="29">
        <f>IF(H360="","",IF(H360="Kenya","Yes","No"))</f>
        <v/>
      </c>
      <c r="X360" s="29">
        <f>IF(B360="","",IF(COUNTIF($B$5:$B$3004,B360)&gt;1,"DUPLICATE","OK"))</f>
        <v/>
      </c>
      <c r="Y360" s="29">
        <f>IF(OR(U360="",V360="",V360="Excluded"),"",IF(COUNTIFS($U$5:$U$3004,U360,$V$5:$V$3004,"&lt;&gt;"&amp;V360,$V$5:$V$3004,"&lt;&gt;",$V$5:$V$3004,"&lt;&gt;Excluded")&gt;0,"LEAK RISK","OK"))</f>
        <v/>
      </c>
      <c r="Z360" s="30" t="n"/>
    </row>
    <row r="361">
      <c r="A361" s="30" t="n"/>
      <c r="B361" s="30" t="n"/>
      <c r="C361" s="30" t="n"/>
      <c r="D361" s="30" t="n"/>
      <c r="E361" s="30" t="n"/>
      <c r="F361" s="30" t="n"/>
      <c r="G361" s="30" t="n"/>
      <c r="H361" s="30" t="n"/>
      <c r="I361" s="31" t="n"/>
      <c r="J361" s="30" t="n"/>
      <c r="K361" s="30" t="n"/>
      <c r="L361" s="30" t="n"/>
      <c r="M361" s="30" t="n"/>
      <c r="N361" s="32" t="n"/>
      <c r="O361" s="30" t="n"/>
      <c r="P361" s="32" t="n"/>
      <c r="Q361" s="30" t="n"/>
      <c r="R361" s="32" t="n"/>
      <c r="S361" s="30" t="n"/>
      <c r="T361" s="30" t="n"/>
      <c r="U361" s="30" t="n"/>
      <c r="V361" s="30" t="n"/>
      <c r="W361" s="29">
        <f>IF(H361="","",IF(H361="Kenya","Yes","No"))</f>
        <v/>
      </c>
      <c r="X361" s="29">
        <f>IF(B361="","",IF(COUNTIF($B$5:$B$3004,B361)&gt;1,"DUPLICATE","OK"))</f>
        <v/>
      </c>
      <c r="Y361" s="29">
        <f>IF(OR(U361="",V361="",V361="Excluded"),"",IF(COUNTIFS($U$5:$U$3004,U361,$V$5:$V$3004,"&lt;&gt;"&amp;V361,$V$5:$V$3004,"&lt;&gt;",$V$5:$V$3004,"&lt;&gt;Excluded")&gt;0,"LEAK RISK","OK"))</f>
        <v/>
      </c>
      <c r="Z361" s="30" t="n"/>
    </row>
    <row r="362">
      <c r="A362" s="30" t="n"/>
      <c r="B362" s="30" t="n"/>
      <c r="C362" s="30" t="n"/>
      <c r="D362" s="30" t="n"/>
      <c r="E362" s="30" t="n"/>
      <c r="F362" s="30" t="n"/>
      <c r="G362" s="30" t="n"/>
      <c r="H362" s="30" t="n"/>
      <c r="I362" s="31" t="n"/>
      <c r="J362" s="30" t="n"/>
      <c r="K362" s="30" t="n"/>
      <c r="L362" s="30" t="n"/>
      <c r="M362" s="30" t="n"/>
      <c r="N362" s="32" t="n"/>
      <c r="O362" s="30" t="n"/>
      <c r="P362" s="32" t="n"/>
      <c r="Q362" s="30" t="n"/>
      <c r="R362" s="32" t="n"/>
      <c r="S362" s="30" t="n"/>
      <c r="T362" s="30" t="n"/>
      <c r="U362" s="30" t="n"/>
      <c r="V362" s="30" t="n"/>
      <c r="W362" s="29">
        <f>IF(H362="","",IF(H362="Kenya","Yes","No"))</f>
        <v/>
      </c>
      <c r="X362" s="29">
        <f>IF(B362="","",IF(COUNTIF($B$5:$B$3004,B362)&gt;1,"DUPLICATE","OK"))</f>
        <v/>
      </c>
      <c r="Y362" s="29">
        <f>IF(OR(U362="",V362="",V362="Excluded"),"",IF(COUNTIFS($U$5:$U$3004,U362,$V$5:$V$3004,"&lt;&gt;"&amp;V362,$V$5:$V$3004,"&lt;&gt;",$V$5:$V$3004,"&lt;&gt;Excluded")&gt;0,"LEAK RISK","OK"))</f>
        <v/>
      </c>
      <c r="Z362" s="30" t="n"/>
    </row>
    <row r="363">
      <c r="A363" s="30" t="n"/>
      <c r="B363" s="30" t="n"/>
      <c r="C363" s="30" t="n"/>
      <c r="D363" s="30" t="n"/>
      <c r="E363" s="30" t="n"/>
      <c r="F363" s="30" t="n"/>
      <c r="G363" s="30" t="n"/>
      <c r="H363" s="30" t="n"/>
      <c r="I363" s="31" t="n"/>
      <c r="J363" s="30" t="n"/>
      <c r="K363" s="30" t="n"/>
      <c r="L363" s="30" t="n"/>
      <c r="M363" s="30" t="n"/>
      <c r="N363" s="32" t="n"/>
      <c r="O363" s="30" t="n"/>
      <c r="P363" s="32" t="n"/>
      <c r="Q363" s="30" t="n"/>
      <c r="R363" s="32" t="n"/>
      <c r="S363" s="30" t="n"/>
      <c r="T363" s="30" t="n"/>
      <c r="U363" s="30" t="n"/>
      <c r="V363" s="30" t="n"/>
      <c r="W363" s="29">
        <f>IF(H363="","",IF(H363="Kenya","Yes","No"))</f>
        <v/>
      </c>
      <c r="X363" s="29">
        <f>IF(B363="","",IF(COUNTIF($B$5:$B$3004,B363)&gt;1,"DUPLICATE","OK"))</f>
        <v/>
      </c>
      <c r="Y363" s="29">
        <f>IF(OR(U363="",V363="",V363="Excluded"),"",IF(COUNTIFS($U$5:$U$3004,U363,$V$5:$V$3004,"&lt;&gt;"&amp;V363,$V$5:$V$3004,"&lt;&gt;",$V$5:$V$3004,"&lt;&gt;Excluded")&gt;0,"LEAK RISK","OK"))</f>
        <v/>
      </c>
      <c r="Z363" s="30" t="n"/>
    </row>
    <row r="364">
      <c r="A364" s="30" t="n"/>
      <c r="B364" s="30" t="n"/>
      <c r="C364" s="30" t="n"/>
      <c r="D364" s="30" t="n"/>
      <c r="E364" s="30" t="n"/>
      <c r="F364" s="30" t="n"/>
      <c r="G364" s="30" t="n"/>
      <c r="H364" s="30" t="n"/>
      <c r="I364" s="31" t="n"/>
      <c r="J364" s="30" t="n"/>
      <c r="K364" s="30" t="n"/>
      <c r="L364" s="30" t="n"/>
      <c r="M364" s="30" t="n"/>
      <c r="N364" s="32" t="n"/>
      <c r="O364" s="30" t="n"/>
      <c r="P364" s="32" t="n"/>
      <c r="Q364" s="30" t="n"/>
      <c r="R364" s="32" t="n"/>
      <c r="S364" s="30" t="n"/>
      <c r="T364" s="30" t="n"/>
      <c r="U364" s="30" t="n"/>
      <c r="V364" s="30" t="n"/>
      <c r="W364" s="29">
        <f>IF(H364="","",IF(H364="Kenya","Yes","No"))</f>
        <v/>
      </c>
      <c r="X364" s="29">
        <f>IF(B364="","",IF(COUNTIF($B$5:$B$3004,B364)&gt;1,"DUPLICATE","OK"))</f>
        <v/>
      </c>
      <c r="Y364" s="29">
        <f>IF(OR(U364="",V364="",V364="Excluded"),"",IF(COUNTIFS($U$5:$U$3004,U364,$V$5:$V$3004,"&lt;&gt;"&amp;V364,$V$5:$V$3004,"&lt;&gt;",$V$5:$V$3004,"&lt;&gt;Excluded")&gt;0,"LEAK RISK","OK"))</f>
        <v/>
      </c>
      <c r="Z364" s="30" t="n"/>
    </row>
    <row r="365">
      <c r="A365" s="30" t="n"/>
      <c r="B365" s="30" t="n"/>
      <c r="C365" s="30" t="n"/>
      <c r="D365" s="30" t="n"/>
      <c r="E365" s="30" t="n"/>
      <c r="F365" s="30" t="n"/>
      <c r="G365" s="30" t="n"/>
      <c r="H365" s="30" t="n"/>
      <c r="I365" s="31" t="n"/>
      <c r="J365" s="30" t="n"/>
      <c r="K365" s="30" t="n"/>
      <c r="L365" s="30" t="n"/>
      <c r="M365" s="30" t="n"/>
      <c r="N365" s="32" t="n"/>
      <c r="O365" s="30" t="n"/>
      <c r="P365" s="32" t="n"/>
      <c r="Q365" s="30" t="n"/>
      <c r="R365" s="32" t="n"/>
      <c r="S365" s="30" t="n"/>
      <c r="T365" s="30" t="n"/>
      <c r="U365" s="30" t="n"/>
      <c r="V365" s="30" t="n"/>
      <c r="W365" s="29">
        <f>IF(H365="","",IF(H365="Kenya","Yes","No"))</f>
        <v/>
      </c>
      <c r="X365" s="29">
        <f>IF(B365="","",IF(COUNTIF($B$5:$B$3004,B365)&gt;1,"DUPLICATE","OK"))</f>
        <v/>
      </c>
      <c r="Y365" s="29">
        <f>IF(OR(U365="",V365="",V365="Excluded"),"",IF(COUNTIFS($U$5:$U$3004,U365,$V$5:$V$3004,"&lt;&gt;"&amp;V365,$V$5:$V$3004,"&lt;&gt;",$V$5:$V$3004,"&lt;&gt;Excluded")&gt;0,"LEAK RISK","OK"))</f>
        <v/>
      </c>
      <c r="Z365" s="30" t="n"/>
    </row>
    <row r="366">
      <c r="A366" s="30" t="n"/>
      <c r="B366" s="30" t="n"/>
      <c r="C366" s="30" t="n"/>
      <c r="D366" s="30" t="n"/>
      <c r="E366" s="30" t="n"/>
      <c r="F366" s="30" t="n"/>
      <c r="G366" s="30" t="n"/>
      <c r="H366" s="30" t="n"/>
      <c r="I366" s="31" t="n"/>
      <c r="J366" s="30" t="n"/>
      <c r="K366" s="30" t="n"/>
      <c r="L366" s="30" t="n"/>
      <c r="M366" s="30" t="n"/>
      <c r="N366" s="32" t="n"/>
      <c r="O366" s="30" t="n"/>
      <c r="P366" s="32" t="n"/>
      <c r="Q366" s="30" t="n"/>
      <c r="R366" s="32" t="n"/>
      <c r="S366" s="30" t="n"/>
      <c r="T366" s="30" t="n"/>
      <c r="U366" s="30" t="n"/>
      <c r="V366" s="30" t="n"/>
      <c r="W366" s="29">
        <f>IF(H366="","",IF(H366="Kenya","Yes","No"))</f>
        <v/>
      </c>
      <c r="X366" s="29">
        <f>IF(B366="","",IF(COUNTIF($B$5:$B$3004,B366)&gt;1,"DUPLICATE","OK"))</f>
        <v/>
      </c>
      <c r="Y366" s="29">
        <f>IF(OR(U366="",V366="",V366="Excluded"),"",IF(COUNTIFS($U$5:$U$3004,U366,$V$5:$V$3004,"&lt;&gt;"&amp;V366,$V$5:$V$3004,"&lt;&gt;",$V$5:$V$3004,"&lt;&gt;Excluded")&gt;0,"LEAK RISK","OK"))</f>
        <v/>
      </c>
      <c r="Z366" s="30" t="n"/>
    </row>
    <row r="367">
      <c r="A367" s="30" t="n"/>
      <c r="B367" s="30" t="n"/>
      <c r="C367" s="30" t="n"/>
      <c r="D367" s="30" t="n"/>
      <c r="E367" s="30" t="n"/>
      <c r="F367" s="30" t="n"/>
      <c r="G367" s="30" t="n"/>
      <c r="H367" s="30" t="n"/>
      <c r="I367" s="31" t="n"/>
      <c r="J367" s="30" t="n"/>
      <c r="K367" s="30" t="n"/>
      <c r="L367" s="30" t="n"/>
      <c r="M367" s="30" t="n"/>
      <c r="N367" s="32" t="n"/>
      <c r="O367" s="30" t="n"/>
      <c r="P367" s="32" t="n"/>
      <c r="Q367" s="30" t="n"/>
      <c r="R367" s="32" t="n"/>
      <c r="S367" s="30" t="n"/>
      <c r="T367" s="30" t="n"/>
      <c r="U367" s="30" t="n"/>
      <c r="V367" s="30" t="n"/>
      <c r="W367" s="29">
        <f>IF(H367="","",IF(H367="Kenya","Yes","No"))</f>
        <v/>
      </c>
      <c r="X367" s="29">
        <f>IF(B367="","",IF(COUNTIF($B$5:$B$3004,B367)&gt;1,"DUPLICATE","OK"))</f>
        <v/>
      </c>
      <c r="Y367" s="29">
        <f>IF(OR(U367="",V367="",V367="Excluded"),"",IF(COUNTIFS($U$5:$U$3004,U367,$V$5:$V$3004,"&lt;&gt;"&amp;V367,$V$5:$V$3004,"&lt;&gt;",$V$5:$V$3004,"&lt;&gt;Excluded")&gt;0,"LEAK RISK","OK"))</f>
        <v/>
      </c>
      <c r="Z367" s="30" t="n"/>
    </row>
    <row r="368">
      <c r="A368" s="30" t="n"/>
      <c r="B368" s="30" t="n"/>
      <c r="C368" s="30" t="n"/>
      <c r="D368" s="30" t="n"/>
      <c r="E368" s="30" t="n"/>
      <c r="F368" s="30" t="n"/>
      <c r="G368" s="30" t="n"/>
      <c r="H368" s="30" t="n"/>
      <c r="I368" s="31" t="n"/>
      <c r="J368" s="30" t="n"/>
      <c r="K368" s="30" t="n"/>
      <c r="L368" s="30" t="n"/>
      <c r="M368" s="30" t="n"/>
      <c r="N368" s="32" t="n"/>
      <c r="O368" s="30" t="n"/>
      <c r="P368" s="32" t="n"/>
      <c r="Q368" s="30" t="n"/>
      <c r="R368" s="32" t="n"/>
      <c r="S368" s="30" t="n"/>
      <c r="T368" s="30" t="n"/>
      <c r="U368" s="30" t="n"/>
      <c r="V368" s="30" t="n"/>
      <c r="W368" s="29">
        <f>IF(H368="","",IF(H368="Kenya","Yes","No"))</f>
        <v/>
      </c>
      <c r="X368" s="29">
        <f>IF(B368="","",IF(COUNTIF($B$5:$B$3004,B368)&gt;1,"DUPLICATE","OK"))</f>
        <v/>
      </c>
      <c r="Y368" s="29">
        <f>IF(OR(U368="",V368="",V368="Excluded"),"",IF(COUNTIFS($U$5:$U$3004,U368,$V$5:$V$3004,"&lt;&gt;"&amp;V368,$V$5:$V$3004,"&lt;&gt;",$V$5:$V$3004,"&lt;&gt;Excluded")&gt;0,"LEAK RISK","OK"))</f>
        <v/>
      </c>
      <c r="Z368" s="30" t="n"/>
    </row>
    <row r="369">
      <c r="A369" s="30" t="n"/>
      <c r="B369" s="30" t="n"/>
      <c r="C369" s="30" t="n"/>
      <c r="D369" s="30" t="n"/>
      <c r="E369" s="30" t="n"/>
      <c r="F369" s="30" t="n"/>
      <c r="G369" s="30" t="n"/>
      <c r="H369" s="30" t="n"/>
      <c r="I369" s="31" t="n"/>
      <c r="J369" s="30" t="n"/>
      <c r="K369" s="30" t="n"/>
      <c r="L369" s="30" t="n"/>
      <c r="M369" s="30" t="n"/>
      <c r="N369" s="32" t="n"/>
      <c r="O369" s="30" t="n"/>
      <c r="P369" s="32" t="n"/>
      <c r="Q369" s="30" t="n"/>
      <c r="R369" s="32" t="n"/>
      <c r="S369" s="30" t="n"/>
      <c r="T369" s="30" t="n"/>
      <c r="U369" s="30" t="n"/>
      <c r="V369" s="30" t="n"/>
      <c r="W369" s="29">
        <f>IF(H369="","",IF(H369="Kenya","Yes","No"))</f>
        <v/>
      </c>
      <c r="X369" s="29">
        <f>IF(B369="","",IF(COUNTIF($B$5:$B$3004,B369)&gt;1,"DUPLICATE","OK"))</f>
        <v/>
      </c>
      <c r="Y369" s="29">
        <f>IF(OR(U369="",V369="",V369="Excluded"),"",IF(COUNTIFS($U$5:$U$3004,U369,$V$5:$V$3004,"&lt;&gt;"&amp;V369,$V$5:$V$3004,"&lt;&gt;",$V$5:$V$3004,"&lt;&gt;Excluded")&gt;0,"LEAK RISK","OK"))</f>
        <v/>
      </c>
      <c r="Z369" s="30" t="n"/>
    </row>
    <row r="370">
      <c r="A370" s="30" t="n"/>
      <c r="B370" s="30" t="n"/>
      <c r="C370" s="30" t="n"/>
      <c r="D370" s="30" t="n"/>
      <c r="E370" s="30" t="n"/>
      <c r="F370" s="30" t="n"/>
      <c r="G370" s="30" t="n"/>
      <c r="H370" s="30" t="n"/>
      <c r="I370" s="31" t="n"/>
      <c r="J370" s="30" t="n"/>
      <c r="K370" s="30" t="n"/>
      <c r="L370" s="30" t="n"/>
      <c r="M370" s="30" t="n"/>
      <c r="N370" s="32" t="n"/>
      <c r="O370" s="30" t="n"/>
      <c r="P370" s="32" t="n"/>
      <c r="Q370" s="30" t="n"/>
      <c r="R370" s="32" t="n"/>
      <c r="S370" s="30" t="n"/>
      <c r="T370" s="30" t="n"/>
      <c r="U370" s="30" t="n"/>
      <c r="V370" s="30" t="n"/>
      <c r="W370" s="29">
        <f>IF(H370="","",IF(H370="Kenya","Yes","No"))</f>
        <v/>
      </c>
      <c r="X370" s="29">
        <f>IF(B370="","",IF(COUNTIF($B$5:$B$3004,B370)&gt;1,"DUPLICATE","OK"))</f>
        <v/>
      </c>
      <c r="Y370" s="29">
        <f>IF(OR(U370="",V370="",V370="Excluded"),"",IF(COUNTIFS($U$5:$U$3004,U370,$V$5:$V$3004,"&lt;&gt;"&amp;V370,$V$5:$V$3004,"&lt;&gt;",$V$5:$V$3004,"&lt;&gt;Excluded")&gt;0,"LEAK RISK","OK"))</f>
        <v/>
      </c>
      <c r="Z370" s="30" t="n"/>
    </row>
    <row r="371">
      <c r="A371" s="30" t="n"/>
      <c r="B371" s="30" t="n"/>
      <c r="C371" s="30" t="n"/>
      <c r="D371" s="30" t="n"/>
      <c r="E371" s="30" t="n"/>
      <c r="F371" s="30" t="n"/>
      <c r="G371" s="30" t="n"/>
      <c r="H371" s="30" t="n"/>
      <c r="I371" s="31" t="n"/>
      <c r="J371" s="30" t="n"/>
      <c r="K371" s="30" t="n"/>
      <c r="L371" s="30" t="n"/>
      <c r="M371" s="30" t="n"/>
      <c r="N371" s="32" t="n"/>
      <c r="O371" s="30" t="n"/>
      <c r="P371" s="32" t="n"/>
      <c r="Q371" s="30" t="n"/>
      <c r="R371" s="32" t="n"/>
      <c r="S371" s="30" t="n"/>
      <c r="T371" s="30" t="n"/>
      <c r="U371" s="30" t="n"/>
      <c r="V371" s="30" t="n"/>
      <c r="W371" s="29">
        <f>IF(H371="","",IF(H371="Kenya","Yes","No"))</f>
        <v/>
      </c>
      <c r="X371" s="29">
        <f>IF(B371="","",IF(COUNTIF($B$5:$B$3004,B371)&gt;1,"DUPLICATE","OK"))</f>
        <v/>
      </c>
      <c r="Y371" s="29">
        <f>IF(OR(U371="",V371="",V371="Excluded"),"",IF(COUNTIFS($U$5:$U$3004,U371,$V$5:$V$3004,"&lt;&gt;"&amp;V371,$V$5:$V$3004,"&lt;&gt;",$V$5:$V$3004,"&lt;&gt;Excluded")&gt;0,"LEAK RISK","OK"))</f>
        <v/>
      </c>
      <c r="Z371" s="30" t="n"/>
    </row>
    <row r="372">
      <c r="A372" s="30" t="n"/>
      <c r="B372" s="30" t="n"/>
      <c r="C372" s="30" t="n"/>
      <c r="D372" s="30" t="n"/>
      <c r="E372" s="30" t="n"/>
      <c r="F372" s="30" t="n"/>
      <c r="G372" s="30" t="n"/>
      <c r="H372" s="30" t="n"/>
      <c r="I372" s="31" t="n"/>
      <c r="J372" s="30" t="n"/>
      <c r="K372" s="30" t="n"/>
      <c r="L372" s="30" t="n"/>
      <c r="M372" s="30" t="n"/>
      <c r="N372" s="32" t="n"/>
      <c r="O372" s="30" t="n"/>
      <c r="P372" s="32" t="n"/>
      <c r="Q372" s="30" t="n"/>
      <c r="R372" s="32" t="n"/>
      <c r="S372" s="30" t="n"/>
      <c r="T372" s="30" t="n"/>
      <c r="U372" s="30" t="n"/>
      <c r="V372" s="30" t="n"/>
      <c r="W372" s="29">
        <f>IF(H372="","",IF(H372="Kenya","Yes","No"))</f>
        <v/>
      </c>
      <c r="X372" s="29">
        <f>IF(B372="","",IF(COUNTIF($B$5:$B$3004,B372)&gt;1,"DUPLICATE","OK"))</f>
        <v/>
      </c>
      <c r="Y372" s="29">
        <f>IF(OR(U372="",V372="",V372="Excluded"),"",IF(COUNTIFS($U$5:$U$3004,U372,$V$5:$V$3004,"&lt;&gt;"&amp;V372,$V$5:$V$3004,"&lt;&gt;",$V$5:$V$3004,"&lt;&gt;Excluded")&gt;0,"LEAK RISK","OK"))</f>
        <v/>
      </c>
      <c r="Z372" s="30" t="n"/>
    </row>
    <row r="373">
      <c r="A373" s="30" t="n"/>
      <c r="B373" s="30" t="n"/>
      <c r="C373" s="30" t="n"/>
      <c r="D373" s="30" t="n"/>
      <c r="E373" s="30" t="n"/>
      <c r="F373" s="30" t="n"/>
      <c r="G373" s="30" t="n"/>
      <c r="H373" s="30" t="n"/>
      <c r="I373" s="31" t="n"/>
      <c r="J373" s="30" t="n"/>
      <c r="K373" s="30" t="n"/>
      <c r="L373" s="30" t="n"/>
      <c r="M373" s="30" t="n"/>
      <c r="N373" s="32" t="n"/>
      <c r="O373" s="30" t="n"/>
      <c r="P373" s="32" t="n"/>
      <c r="Q373" s="30" t="n"/>
      <c r="R373" s="32" t="n"/>
      <c r="S373" s="30" t="n"/>
      <c r="T373" s="30" t="n"/>
      <c r="U373" s="30" t="n"/>
      <c r="V373" s="30" t="n"/>
      <c r="W373" s="29">
        <f>IF(H373="","",IF(H373="Kenya","Yes","No"))</f>
        <v/>
      </c>
      <c r="X373" s="29">
        <f>IF(B373="","",IF(COUNTIF($B$5:$B$3004,B373)&gt;1,"DUPLICATE","OK"))</f>
        <v/>
      </c>
      <c r="Y373" s="29">
        <f>IF(OR(U373="",V373="",V373="Excluded"),"",IF(COUNTIFS($U$5:$U$3004,U373,$V$5:$V$3004,"&lt;&gt;"&amp;V373,$V$5:$V$3004,"&lt;&gt;",$V$5:$V$3004,"&lt;&gt;Excluded")&gt;0,"LEAK RISK","OK"))</f>
        <v/>
      </c>
      <c r="Z373" s="30" t="n"/>
    </row>
    <row r="374">
      <c r="A374" s="30" t="n"/>
      <c r="B374" s="30" t="n"/>
      <c r="C374" s="30" t="n"/>
      <c r="D374" s="30" t="n"/>
      <c r="E374" s="30" t="n"/>
      <c r="F374" s="30" t="n"/>
      <c r="G374" s="30" t="n"/>
      <c r="H374" s="30" t="n"/>
      <c r="I374" s="31" t="n"/>
      <c r="J374" s="30" t="n"/>
      <c r="K374" s="30" t="n"/>
      <c r="L374" s="30" t="n"/>
      <c r="M374" s="30" t="n"/>
      <c r="N374" s="32" t="n"/>
      <c r="O374" s="30" t="n"/>
      <c r="P374" s="32" t="n"/>
      <c r="Q374" s="30" t="n"/>
      <c r="R374" s="32" t="n"/>
      <c r="S374" s="30" t="n"/>
      <c r="T374" s="30" t="n"/>
      <c r="U374" s="30" t="n"/>
      <c r="V374" s="30" t="n"/>
      <c r="W374" s="29">
        <f>IF(H374="","",IF(H374="Kenya","Yes","No"))</f>
        <v/>
      </c>
      <c r="X374" s="29">
        <f>IF(B374="","",IF(COUNTIF($B$5:$B$3004,B374)&gt;1,"DUPLICATE","OK"))</f>
        <v/>
      </c>
      <c r="Y374" s="29">
        <f>IF(OR(U374="",V374="",V374="Excluded"),"",IF(COUNTIFS($U$5:$U$3004,U374,$V$5:$V$3004,"&lt;&gt;"&amp;V374,$V$5:$V$3004,"&lt;&gt;",$V$5:$V$3004,"&lt;&gt;Excluded")&gt;0,"LEAK RISK","OK"))</f>
        <v/>
      </c>
      <c r="Z374" s="30" t="n"/>
    </row>
    <row r="375">
      <c r="A375" s="30" t="n"/>
      <c r="B375" s="30" t="n"/>
      <c r="C375" s="30" t="n"/>
      <c r="D375" s="30" t="n"/>
      <c r="E375" s="30" t="n"/>
      <c r="F375" s="30" t="n"/>
      <c r="G375" s="30" t="n"/>
      <c r="H375" s="30" t="n"/>
      <c r="I375" s="31" t="n"/>
      <c r="J375" s="30" t="n"/>
      <c r="K375" s="30" t="n"/>
      <c r="L375" s="30" t="n"/>
      <c r="M375" s="30" t="n"/>
      <c r="N375" s="32" t="n"/>
      <c r="O375" s="30" t="n"/>
      <c r="P375" s="32" t="n"/>
      <c r="Q375" s="30" t="n"/>
      <c r="R375" s="32" t="n"/>
      <c r="S375" s="30" t="n"/>
      <c r="T375" s="30" t="n"/>
      <c r="U375" s="30" t="n"/>
      <c r="V375" s="30" t="n"/>
      <c r="W375" s="29">
        <f>IF(H375="","",IF(H375="Kenya","Yes","No"))</f>
        <v/>
      </c>
      <c r="X375" s="29">
        <f>IF(B375="","",IF(COUNTIF($B$5:$B$3004,B375)&gt;1,"DUPLICATE","OK"))</f>
        <v/>
      </c>
      <c r="Y375" s="29">
        <f>IF(OR(U375="",V375="",V375="Excluded"),"",IF(COUNTIFS($U$5:$U$3004,U375,$V$5:$V$3004,"&lt;&gt;"&amp;V375,$V$5:$V$3004,"&lt;&gt;",$V$5:$V$3004,"&lt;&gt;Excluded")&gt;0,"LEAK RISK","OK"))</f>
        <v/>
      </c>
      <c r="Z375" s="30" t="n"/>
    </row>
    <row r="376">
      <c r="A376" s="30" t="n"/>
      <c r="B376" s="30" t="n"/>
      <c r="C376" s="30" t="n"/>
      <c r="D376" s="30" t="n"/>
      <c r="E376" s="30" t="n"/>
      <c r="F376" s="30" t="n"/>
      <c r="G376" s="30" t="n"/>
      <c r="H376" s="30" t="n"/>
      <c r="I376" s="31" t="n"/>
      <c r="J376" s="30" t="n"/>
      <c r="K376" s="30" t="n"/>
      <c r="L376" s="30" t="n"/>
      <c r="M376" s="30" t="n"/>
      <c r="N376" s="32" t="n"/>
      <c r="O376" s="30" t="n"/>
      <c r="P376" s="32" t="n"/>
      <c r="Q376" s="30" t="n"/>
      <c r="R376" s="32" t="n"/>
      <c r="S376" s="30" t="n"/>
      <c r="T376" s="30" t="n"/>
      <c r="U376" s="30" t="n"/>
      <c r="V376" s="30" t="n"/>
      <c r="W376" s="29">
        <f>IF(H376="","",IF(H376="Kenya","Yes","No"))</f>
        <v/>
      </c>
      <c r="X376" s="29">
        <f>IF(B376="","",IF(COUNTIF($B$5:$B$3004,B376)&gt;1,"DUPLICATE","OK"))</f>
        <v/>
      </c>
      <c r="Y376" s="29">
        <f>IF(OR(U376="",V376="",V376="Excluded"),"",IF(COUNTIFS($U$5:$U$3004,U376,$V$5:$V$3004,"&lt;&gt;"&amp;V376,$V$5:$V$3004,"&lt;&gt;",$V$5:$V$3004,"&lt;&gt;Excluded")&gt;0,"LEAK RISK","OK"))</f>
        <v/>
      </c>
      <c r="Z376" s="30" t="n"/>
    </row>
    <row r="377">
      <c r="A377" s="30" t="n"/>
      <c r="B377" s="30" t="n"/>
      <c r="C377" s="30" t="n"/>
      <c r="D377" s="30" t="n"/>
      <c r="E377" s="30" t="n"/>
      <c r="F377" s="30" t="n"/>
      <c r="G377" s="30" t="n"/>
      <c r="H377" s="30" t="n"/>
      <c r="I377" s="31" t="n"/>
      <c r="J377" s="30" t="n"/>
      <c r="K377" s="30" t="n"/>
      <c r="L377" s="30" t="n"/>
      <c r="M377" s="30" t="n"/>
      <c r="N377" s="32" t="n"/>
      <c r="O377" s="30" t="n"/>
      <c r="P377" s="32" t="n"/>
      <c r="Q377" s="30" t="n"/>
      <c r="R377" s="32" t="n"/>
      <c r="S377" s="30" t="n"/>
      <c r="T377" s="30" t="n"/>
      <c r="U377" s="30" t="n"/>
      <c r="V377" s="30" t="n"/>
      <c r="W377" s="29">
        <f>IF(H377="","",IF(H377="Kenya","Yes","No"))</f>
        <v/>
      </c>
      <c r="X377" s="29">
        <f>IF(B377="","",IF(COUNTIF($B$5:$B$3004,B377)&gt;1,"DUPLICATE","OK"))</f>
        <v/>
      </c>
      <c r="Y377" s="29">
        <f>IF(OR(U377="",V377="",V377="Excluded"),"",IF(COUNTIFS($U$5:$U$3004,U377,$V$5:$V$3004,"&lt;&gt;"&amp;V377,$V$5:$V$3004,"&lt;&gt;",$V$5:$V$3004,"&lt;&gt;Excluded")&gt;0,"LEAK RISK","OK"))</f>
        <v/>
      </c>
      <c r="Z377" s="30" t="n"/>
    </row>
    <row r="378">
      <c r="A378" s="30" t="n"/>
      <c r="B378" s="30" t="n"/>
      <c r="C378" s="30" t="n"/>
      <c r="D378" s="30" t="n"/>
      <c r="E378" s="30" t="n"/>
      <c r="F378" s="30" t="n"/>
      <c r="G378" s="30" t="n"/>
      <c r="H378" s="30" t="n"/>
      <c r="I378" s="31" t="n"/>
      <c r="J378" s="30" t="n"/>
      <c r="K378" s="30" t="n"/>
      <c r="L378" s="30" t="n"/>
      <c r="M378" s="30" t="n"/>
      <c r="N378" s="32" t="n"/>
      <c r="O378" s="30" t="n"/>
      <c r="P378" s="32" t="n"/>
      <c r="Q378" s="30" t="n"/>
      <c r="R378" s="32" t="n"/>
      <c r="S378" s="30" t="n"/>
      <c r="T378" s="30" t="n"/>
      <c r="U378" s="30" t="n"/>
      <c r="V378" s="30" t="n"/>
      <c r="W378" s="29">
        <f>IF(H378="","",IF(H378="Kenya","Yes","No"))</f>
        <v/>
      </c>
      <c r="X378" s="29">
        <f>IF(B378="","",IF(COUNTIF($B$5:$B$3004,B378)&gt;1,"DUPLICATE","OK"))</f>
        <v/>
      </c>
      <c r="Y378" s="29">
        <f>IF(OR(U378="",V378="",V378="Excluded"),"",IF(COUNTIFS($U$5:$U$3004,U378,$V$5:$V$3004,"&lt;&gt;"&amp;V378,$V$5:$V$3004,"&lt;&gt;",$V$5:$V$3004,"&lt;&gt;Excluded")&gt;0,"LEAK RISK","OK"))</f>
        <v/>
      </c>
      <c r="Z378" s="30" t="n"/>
    </row>
    <row r="379">
      <c r="A379" s="30" t="n"/>
      <c r="B379" s="30" t="n"/>
      <c r="C379" s="30" t="n"/>
      <c r="D379" s="30" t="n"/>
      <c r="E379" s="30" t="n"/>
      <c r="F379" s="30" t="n"/>
      <c r="G379" s="30" t="n"/>
      <c r="H379" s="30" t="n"/>
      <c r="I379" s="31" t="n"/>
      <c r="J379" s="30" t="n"/>
      <c r="K379" s="30" t="n"/>
      <c r="L379" s="30" t="n"/>
      <c r="M379" s="30" t="n"/>
      <c r="N379" s="32" t="n"/>
      <c r="O379" s="30" t="n"/>
      <c r="P379" s="32" t="n"/>
      <c r="Q379" s="30" t="n"/>
      <c r="R379" s="32" t="n"/>
      <c r="S379" s="30" t="n"/>
      <c r="T379" s="30" t="n"/>
      <c r="U379" s="30" t="n"/>
      <c r="V379" s="30" t="n"/>
      <c r="W379" s="29">
        <f>IF(H379="","",IF(H379="Kenya","Yes","No"))</f>
        <v/>
      </c>
      <c r="X379" s="29">
        <f>IF(B379="","",IF(COUNTIF($B$5:$B$3004,B379)&gt;1,"DUPLICATE","OK"))</f>
        <v/>
      </c>
      <c r="Y379" s="29">
        <f>IF(OR(U379="",V379="",V379="Excluded"),"",IF(COUNTIFS($U$5:$U$3004,U379,$V$5:$V$3004,"&lt;&gt;"&amp;V379,$V$5:$V$3004,"&lt;&gt;",$V$5:$V$3004,"&lt;&gt;Excluded")&gt;0,"LEAK RISK","OK"))</f>
        <v/>
      </c>
      <c r="Z379" s="30" t="n"/>
    </row>
    <row r="380">
      <c r="A380" s="30" t="n"/>
      <c r="B380" s="30" t="n"/>
      <c r="C380" s="30" t="n"/>
      <c r="D380" s="30" t="n"/>
      <c r="E380" s="30" t="n"/>
      <c r="F380" s="30" t="n"/>
      <c r="G380" s="30" t="n"/>
      <c r="H380" s="30" t="n"/>
      <c r="I380" s="31" t="n"/>
      <c r="J380" s="30" t="n"/>
      <c r="K380" s="30" t="n"/>
      <c r="L380" s="30" t="n"/>
      <c r="M380" s="30" t="n"/>
      <c r="N380" s="32" t="n"/>
      <c r="O380" s="30" t="n"/>
      <c r="P380" s="32" t="n"/>
      <c r="Q380" s="30" t="n"/>
      <c r="R380" s="32" t="n"/>
      <c r="S380" s="30" t="n"/>
      <c r="T380" s="30" t="n"/>
      <c r="U380" s="30" t="n"/>
      <c r="V380" s="30" t="n"/>
      <c r="W380" s="29">
        <f>IF(H380="","",IF(H380="Kenya","Yes","No"))</f>
        <v/>
      </c>
      <c r="X380" s="29">
        <f>IF(B380="","",IF(COUNTIF($B$5:$B$3004,B380)&gt;1,"DUPLICATE","OK"))</f>
        <v/>
      </c>
      <c r="Y380" s="29">
        <f>IF(OR(U380="",V380="",V380="Excluded"),"",IF(COUNTIFS($U$5:$U$3004,U380,$V$5:$V$3004,"&lt;&gt;"&amp;V380,$V$5:$V$3004,"&lt;&gt;",$V$5:$V$3004,"&lt;&gt;Excluded")&gt;0,"LEAK RISK","OK"))</f>
        <v/>
      </c>
      <c r="Z380" s="30" t="n"/>
    </row>
    <row r="381">
      <c r="A381" s="30" t="n"/>
      <c r="B381" s="30" t="n"/>
      <c r="C381" s="30" t="n"/>
      <c r="D381" s="30" t="n"/>
      <c r="E381" s="30" t="n"/>
      <c r="F381" s="30" t="n"/>
      <c r="G381" s="30" t="n"/>
      <c r="H381" s="30" t="n"/>
      <c r="I381" s="31" t="n"/>
      <c r="J381" s="30" t="n"/>
      <c r="K381" s="30" t="n"/>
      <c r="L381" s="30" t="n"/>
      <c r="M381" s="30" t="n"/>
      <c r="N381" s="32" t="n"/>
      <c r="O381" s="30" t="n"/>
      <c r="P381" s="32" t="n"/>
      <c r="Q381" s="30" t="n"/>
      <c r="R381" s="32" t="n"/>
      <c r="S381" s="30" t="n"/>
      <c r="T381" s="30" t="n"/>
      <c r="U381" s="30" t="n"/>
      <c r="V381" s="30" t="n"/>
      <c r="W381" s="29">
        <f>IF(H381="","",IF(H381="Kenya","Yes","No"))</f>
        <v/>
      </c>
      <c r="X381" s="29">
        <f>IF(B381="","",IF(COUNTIF($B$5:$B$3004,B381)&gt;1,"DUPLICATE","OK"))</f>
        <v/>
      </c>
      <c r="Y381" s="29">
        <f>IF(OR(U381="",V381="",V381="Excluded"),"",IF(COUNTIFS($U$5:$U$3004,U381,$V$5:$V$3004,"&lt;&gt;"&amp;V381,$V$5:$V$3004,"&lt;&gt;",$V$5:$V$3004,"&lt;&gt;Excluded")&gt;0,"LEAK RISK","OK"))</f>
        <v/>
      </c>
      <c r="Z381" s="30" t="n"/>
    </row>
    <row r="382">
      <c r="A382" s="30" t="n"/>
      <c r="B382" s="30" t="n"/>
      <c r="C382" s="30" t="n"/>
      <c r="D382" s="30" t="n"/>
      <c r="E382" s="30" t="n"/>
      <c r="F382" s="30" t="n"/>
      <c r="G382" s="30" t="n"/>
      <c r="H382" s="30" t="n"/>
      <c r="I382" s="31" t="n"/>
      <c r="J382" s="30" t="n"/>
      <c r="K382" s="30" t="n"/>
      <c r="L382" s="30" t="n"/>
      <c r="M382" s="30" t="n"/>
      <c r="N382" s="32" t="n"/>
      <c r="O382" s="30" t="n"/>
      <c r="P382" s="32" t="n"/>
      <c r="Q382" s="30" t="n"/>
      <c r="R382" s="32" t="n"/>
      <c r="S382" s="30" t="n"/>
      <c r="T382" s="30" t="n"/>
      <c r="U382" s="30" t="n"/>
      <c r="V382" s="30" t="n"/>
      <c r="W382" s="29">
        <f>IF(H382="","",IF(H382="Kenya","Yes","No"))</f>
        <v/>
      </c>
      <c r="X382" s="29">
        <f>IF(B382="","",IF(COUNTIF($B$5:$B$3004,B382)&gt;1,"DUPLICATE","OK"))</f>
        <v/>
      </c>
      <c r="Y382" s="29">
        <f>IF(OR(U382="",V382="",V382="Excluded"),"",IF(COUNTIFS($U$5:$U$3004,U382,$V$5:$V$3004,"&lt;&gt;"&amp;V382,$V$5:$V$3004,"&lt;&gt;",$V$5:$V$3004,"&lt;&gt;Excluded")&gt;0,"LEAK RISK","OK"))</f>
        <v/>
      </c>
      <c r="Z382" s="30" t="n"/>
    </row>
    <row r="383">
      <c r="A383" s="30" t="n"/>
      <c r="B383" s="30" t="n"/>
      <c r="C383" s="30" t="n"/>
      <c r="D383" s="30" t="n"/>
      <c r="E383" s="30" t="n"/>
      <c r="F383" s="30" t="n"/>
      <c r="G383" s="30" t="n"/>
      <c r="H383" s="30" t="n"/>
      <c r="I383" s="31" t="n"/>
      <c r="J383" s="30" t="n"/>
      <c r="K383" s="30" t="n"/>
      <c r="L383" s="30" t="n"/>
      <c r="M383" s="30" t="n"/>
      <c r="N383" s="32" t="n"/>
      <c r="O383" s="30" t="n"/>
      <c r="P383" s="32" t="n"/>
      <c r="Q383" s="30" t="n"/>
      <c r="R383" s="32" t="n"/>
      <c r="S383" s="30" t="n"/>
      <c r="T383" s="30" t="n"/>
      <c r="U383" s="30" t="n"/>
      <c r="V383" s="30" t="n"/>
      <c r="W383" s="29">
        <f>IF(H383="","",IF(H383="Kenya","Yes","No"))</f>
        <v/>
      </c>
      <c r="X383" s="29">
        <f>IF(B383="","",IF(COUNTIF($B$5:$B$3004,B383)&gt;1,"DUPLICATE","OK"))</f>
        <v/>
      </c>
      <c r="Y383" s="29">
        <f>IF(OR(U383="",V383="",V383="Excluded"),"",IF(COUNTIFS($U$5:$U$3004,U383,$V$5:$V$3004,"&lt;&gt;"&amp;V383,$V$5:$V$3004,"&lt;&gt;",$V$5:$V$3004,"&lt;&gt;Excluded")&gt;0,"LEAK RISK","OK"))</f>
        <v/>
      </c>
      <c r="Z383" s="30" t="n"/>
    </row>
    <row r="384">
      <c r="A384" s="30" t="n"/>
      <c r="B384" s="30" t="n"/>
      <c r="C384" s="30" t="n"/>
      <c r="D384" s="30" t="n"/>
      <c r="E384" s="30" t="n"/>
      <c r="F384" s="30" t="n"/>
      <c r="G384" s="30" t="n"/>
      <c r="H384" s="30" t="n"/>
      <c r="I384" s="31" t="n"/>
      <c r="J384" s="30" t="n"/>
      <c r="K384" s="30" t="n"/>
      <c r="L384" s="30" t="n"/>
      <c r="M384" s="30" t="n"/>
      <c r="N384" s="32" t="n"/>
      <c r="O384" s="30" t="n"/>
      <c r="P384" s="32" t="n"/>
      <c r="Q384" s="30" t="n"/>
      <c r="R384" s="32" t="n"/>
      <c r="S384" s="30" t="n"/>
      <c r="T384" s="30" t="n"/>
      <c r="U384" s="30" t="n"/>
      <c r="V384" s="30" t="n"/>
      <c r="W384" s="29">
        <f>IF(H384="","",IF(H384="Kenya","Yes","No"))</f>
        <v/>
      </c>
      <c r="X384" s="29">
        <f>IF(B384="","",IF(COUNTIF($B$5:$B$3004,B384)&gt;1,"DUPLICATE","OK"))</f>
        <v/>
      </c>
      <c r="Y384" s="29">
        <f>IF(OR(U384="",V384="",V384="Excluded"),"",IF(COUNTIFS($U$5:$U$3004,U384,$V$5:$V$3004,"&lt;&gt;"&amp;V384,$V$5:$V$3004,"&lt;&gt;",$V$5:$V$3004,"&lt;&gt;Excluded")&gt;0,"LEAK RISK","OK"))</f>
        <v/>
      </c>
      <c r="Z384" s="30" t="n"/>
    </row>
    <row r="385">
      <c r="A385" s="30" t="n"/>
      <c r="B385" s="30" t="n"/>
      <c r="C385" s="30" t="n"/>
      <c r="D385" s="30" t="n"/>
      <c r="E385" s="30" t="n"/>
      <c r="F385" s="30" t="n"/>
      <c r="G385" s="30" t="n"/>
      <c r="H385" s="30" t="n"/>
      <c r="I385" s="31" t="n"/>
      <c r="J385" s="30" t="n"/>
      <c r="K385" s="30" t="n"/>
      <c r="L385" s="30" t="n"/>
      <c r="M385" s="30" t="n"/>
      <c r="N385" s="32" t="n"/>
      <c r="O385" s="30" t="n"/>
      <c r="P385" s="32" t="n"/>
      <c r="Q385" s="30" t="n"/>
      <c r="R385" s="32" t="n"/>
      <c r="S385" s="30" t="n"/>
      <c r="T385" s="30" t="n"/>
      <c r="U385" s="30" t="n"/>
      <c r="V385" s="30" t="n"/>
      <c r="W385" s="29">
        <f>IF(H385="","",IF(H385="Kenya","Yes","No"))</f>
        <v/>
      </c>
      <c r="X385" s="29">
        <f>IF(B385="","",IF(COUNTIF($B$5:$B$3004,B385)&gt;1,"DUPLICATE","OK"))</f>
        <v/>
      </c>
      <c r="Y385" s="29">
        <f>IF(OR(U385="",V385="",V385="Excluded"),"",IF(COUNTIFS($U$5:$U$3004,U385,$V$5:$V$3004,"&lt;&gt;"&amp;V385,$V$5:$V$3004,"&lt;&gt;",$V$5:$V$3004,"&lt;&gt;Excluded")&gt;0,"LEAK RISK","OK"))</f>
        <v/>
      </c>
      <c r="Z385" s="30" t="n"/>
    </row>
    <row r="386">
      <c r="A386" s="30" t="n"/>
      <c r="B386" s="30" t="n"/>
      <c r="C386" s="30" t="n"/>
      <c r="D386" s="30" t="n"/>
      <c r="E386" s="30" t="n"/>
      <c r="F386" s="30" t="n"/>
      <c r="G386" s="30" t="n"/>
      <c r="H386" s="30" t="n"/>
      <c r="I386" s="31" t="n"/>
      <c r="J386" s="30" t="n"/>
      <c r="K386" s="30" t="n"/>
      <c r="L386" s="30" t="n"/>
      <c r="M386" s="30" t="n"/>
      <c r="N386" s="32" t="n"/>
      <c r="O386" s="30" t="n"/>
      <c r="P386" s="32" t="n"/>
      <c r="Q386" s="30" t="n"/>
      <c r="R386" s="32" t="n"/>
      <c r="S386" s="30" t="n"/>
      <c r="T386" s="30" t="n"/>
      <c r="U386" s="30" t="n"/>
      <c r="V386" s="30" t="n"/>
      <c r="W386" s="29">
        <f>IF(H386="","",IF(H386="Kenya","Yes","No"))</f>
        <v/>
      </c>
      <c r="X386" s="29">
        <f>IF(B386="","",IF(COUNTIF($B$5:$B$3004,B386)&gt;1,"DUPLICATE","OK"))</f>
        <v/>
      </c>
      <c r="Y386" s="29">
        <f>IF(OR(U386="",V386="",V386="Excluded"),"",IF(COUNTIFS($U$5:$U$3004,U386,$V$5:$V$3004,"&lt;&gt;"&amp;V386,$V$5:$V$3004,"&lt;&gt;",$V$5:$V$3004,"&lt;&gt;Excluded")&gt;0,"LEAK RISK","OK"))</f>
        <v/>
      </c>
      <c r="Z386" s="30" t="n"/>
    </row>
    <row r="387">
      <c r="A387" s="30" t="n"/>
      <c r="B387" s="30" t="n"/>
      <c r="C387" s="30" t="n"/>
      <c r="D387" s="30" t="n"/>
      <c r="E387" s="30" t="n"/>
      <c r="F387" s="30" t="n"/>
      <c r="G387" s="30" t="n"/>
      <c r="H387" s="30" t="n"/>
      <c r="I387" s="31" t="n"/>
      <c r="J387" s="30" t="n"/>
      <c r="K387" s="30" t="n"/>
      <c r="L387" s="30" t="n"/>
      <c r="M387" s="30" t="n"/>
      <c r="N387" s="32" t="n"/>
      <c r="O387" s="30" t="n"/>
      <c r="P387" s="32" t="n"/>
      <c r="Q387" s="30" t="n"/>
      <c r="R387" s="32" t="n"/>
      <c r="S387" s="30" t="n"/>
      <c r="T387" s="30" t="n"/>
      <c r="U387" s="30" t="n"/>
      <c r="V387" s="30" t="n"/>
      <c r="W387" s="29">
        <f>IF(H387="","",IF(H387="Kenya","Yes","No"))</f>
        <v/>
      </c>
      <c r="X387" s="29">
        <f>IF(B387="","",IF(COUNTIF($B$5:$B$3004,B387)&gt;1,"DUPLICATE","OK"))</f>
        <v/>
      </c>
      <c r="Y387" s="29">
        <f>IF(OR(U387="",V387="",V387="Excluded"),"",IF(COUNTIFS($U$5:$U$3004,U387,$V$5:$V$3004,"&lt;&gt;"&amp;V387,$V$5:$V$3004,"&lt;&gt;",$V$5:$V$3004,"&lt;&gt;Excluded")&gt;0,"LEAK RISK","OK"))</f>
        <v/>
      </c>
      <c r="Z387" s="30" t="n"/>
    </row>
    <row r="388">
      <c r="A388" s="30" t="n"/>
      <c r="B388" s="30" t="n"/>
      <c r="C388" s="30" t="n"/>
      <c r="D388" s="30" t="n"/>
      <c r="E388" s="30" t="n"/>
      <c r="F388" s="30" t="n"/>
      <c r="G388" s="30" t="n"/>
      <c r="H388" s="30" t="n"/>
      <c r="I388" s="31" t="n"/>
      <c r="J388" s="30" t="n"/>
      <c r="K388" s="30" t="n"/>
      <c r="L388" s="30" t="n"/>
      <c r="M388" s="30" t="n"/>
      <c r="N388" s="32" t="n"/>
      <c r="O388" s="30" t="n"/>
      <c r="P388" s="32" t="n"/>
      <c r="Q388" s="30" t="n"/>
      <c r="R388" s="32" t="n"/>
      <c r="S388" s="30" t="n"/>
      <c r="T388" s="30" t="n"/>
      <c r="U388" s="30" t="n"/>
      <c r="V388" s="30" t="n"/>
      <c r="W388" s="29">
        <f>IF(H388="","",IF(H388="Kenya","Yes","No"))</f>
        <v/>
      </c>
      <c r="X388" s="29">
        <f>IF(B388="","",IF(COUNTIF($B$5:$B$3004,B388)&gt;1,"DUPLICATE","OK"))</f>
        <v/>
      </c>
      <c r="Y388" s="29">
        <f>IF(OR(U388="",V388="",V388="Excluded"),"",IF(COUNTIFS($U$5:$U$3004,U388,$V$5:$V$3004,"&lt;&gt;"&amp;V388,$V$5:$V$3004,"&lt;&gt;",$V$5:$V$3004,"&lt;&gt;Excluded")&gt;0,"LEAK RISK","OK"))</f>
        <v/>
      </c>
      <c r="Z388" s="30" t="n"/>
    </row>
    <row r="389">
      <c r="A389" s="30" t="n"/>
      <c r="B389" s="30" t="n"/>
      <c r="C389" s="30" t="n"/>
      <c r="D389" s="30" t="n"/>
      <c r="E389" s="30" t="n"/>
      <c r="F389" s="30" t="n"/>
      <c r="G389" s="30" t="n"/>
      <c r="H389" s="30" t="n"/>
      <c r="I389" s="31" t="n"/>
      <c r="J389" s="30" t="n"/>
      <c r="K389" s="30" t="n"/>
      <c r="L389" s="30" t="n"/>
      <c r="M389" s="30" t="n"/>
      <c r="N389" s="32" t="n"/>
      <c r="O389" s="30" t="n"/>
      <c r="P389" s="32" t="n"/>
      <c r="Q389" s="30" t="n"/>
      <c r="R389" s="32" t="n"/>
      <c r="S389" s="30" t="n"/>
      <c r="T389" s="30" t="n"/>
      <c r="U389" s="30" t="n"/>
      <c r="V389" s="30" t="n"/>
      <c r="W389" s="29">
        <f>IF(H389="","",IF(H389="Kenya","Yes","No"))</f>
        <v/>
      </c>
      <c r="X389" s="29">
        <f>IF(B389="","",IF(COUNTIF($B$5:$B$3004,B389)&gt;1,"DUPLICATE","OK"))</f>
        <v/>
      </c>
      <c r="Y389" s="29">
        <f>IF(OR(U389="",V389="",V389="Excluded"),"",IF(COUNTIFS($U$5:$U$3004,U389,$V$5:$V$3004,"&lt;&gt;"&amp;V389,$V$5:$V$3004,"&lt;&gt;",$V$5:$V$3004,"&lt;&gt;Excluded")&gt;0,"LEAK RISK","OK"))</f>
        <v/>
      </c>
      <c r="Z389" s="30" t="n"/>
    </row>
    <row r="390">
      <c r="A390" s="30" t="n"/>
      <c r="B390" s="30" t="n"/>
      <c r="C390" s="30" t="n"/>
      <c r="D390" s="30" t="n"/>
      <c r="E390" s="30" t="n"/>
      <c r="F390" s="30" t="n"/>
      <c r="G390" s="30" t="n"/>
      <c r="H390" s="30" t="n"/>
      <c r="I390" s="31" t="n"/>
      <c r="J390" s="30" t="n"/>
      <c r="K390" s="30" t="n"/>
      <c r="L390" s="30" t="n"/>
      <c r="M390" s="30" t="n"/>
      <c r="N390" s="32" t="n"/>
      <c r="O390" s="30" t="n"/>
      <c r="P390" s="32" t="n"/>
      <c r="Q390" s="30" t="n"/>
      <c r="R390" s="32" t="n"/>
      <c r="S390" s="30" t="n"/>
      <c r="T390" s="30" t="n"/>
      <c r="U390" s="30" t="n"/>
      <c r="V390" s="30" t="n"/>
      <c r="W390" s="29">
        <f>IF(H390="","",IF(H390="Kenya","Yes","No"))</f>
        <v/>
      </c>
      <c r="X390" s="29">
        <f>IF(B390="","",IF(COUNTIF($B$5:$B$3004,B390)&gt;1,"DUPLICATE","OK"))</f>
        <v/>
      </c>
      <c r="Y390" s="29">
        <f>IF(OR(U390="",V390="",V390="Excluded"),"",IF(COUNTIFS($U$5:$U$3004,U390,$V$5:$V$3004,"&lt;&gt;"&amp;V390,$V$5:$V$3004,"&lt;&gt;",$V$5:$V$3004,"&lt;&gt;Excluded")&gt;0,"LEAK RISK","OK"))</f>
        <v/>
      </c>
      <c r="Z390" s="30" t="n"/>
    </row>
    <row r="391">
      <c r="A391" s="30" t="n"/>
      <c r="B391" s="30" t="n"/>
      <c r="C391" s="30" t="n"/>
      <c r="D391" s="30" t="n"/>
      <c r="E391" s="30" t="n"/>
      <c r="F391" s="30" t="n"/>
      <c r="G391" s="30" t="n"/>
      <c r="H391" s="30" t="n"/>
      <c r="I391" s="31" t="n"/>
      <c r="J391" s="30" t="n"/>
      <c r="K391" s="30" t="n"/>
      <c r="L391" s="30" t="n"/>
      <c r="M391" s="30" t="n"/>
      <c r="N391" s="32" t="n"/>
      <c r="O391" s="30" t="n"/>
      <c r="P391" s="32" t="n"/>
      <c r="Q391" s="30" t="n"/>
      <c r="R391" s="32" t="n"/>
      <c r="S391" s="30" t="n"/>
      <c r="T391" s="30" t="n"/>
      <c r="U391" s="30" t="n"/>
      <c r="V391" s="30" t="n"/>
      <c r="W391" s="29">
        <f>IF(H391="","",IF(H391="Kenya","Yes","No"))</f>
        <v/>
      </c>
      <c r="X391" s="29">
        <f>IF(B391="","",IF(COUNTIF($B$5:$B$3004,B391)&gt;1,"DUPLICATE","OK"))</f>
        <v/>
      </c>
      <c r="Y391" s="29">
        <f>IF(OR(U391="",V391="",V391="Excluded"),"",IF(COUNTIFS($U$5:$U$3004,U391,$V$5:$V$3004,"&lt;&gt;"&amp;V391,$V$5:$V$3004,"&lt;&gt;",$V$5:$V$3004,"&lt;&gt;Excluded")&gt;0,"LEAK RISK","OK"))</f>
        <v/>
      </c>
      <c r="Z391" s="30" t="n"/>
    </row>
    <row r="392">
      <c r="A392" s="30" t="n"/>
      <c r="B392" s="30" t="n"/>
      <c r="C392" s="30" t="n"/>
      <c r="D392" s="30" t="n"/>
      <c r="E392" s="30" t="n"/>
      <c r="F392" s="30" t="n"/>
      <c r="G392" s="30" t="n"/>
      <c r="H392" s="30" t="n"/>
      <c r="I392" s="31" t="n"/>
      <c r="J392" s="30" t="n"/>
      <c r="K392" s="30" t="n"/>
      <c r="L392" s="30" t="n"/>
      <c r="M392" s="30" t="n"/>
      <c r="N392" s="32" t="n"/>
      <c r="O392" s="30" t="n"/>
      <c r="P392" s="32" t="n"/>
      <c r="Q392" s="30" t="n"/>
      <c r="R392" s="32" t="n"/>
      <c r="S392" s="30" t="n"/>
      <c r="T392" s="30" t="n"/>
      <c r="U392" s="30" t="n"/>
      <c r="V392" s="30" t="n"/>
      <c r="W392" s="29">
        <f>IF(H392="","",IF(H392="Kenya","Yes","No"))</f>
        <v/>
      </c>
      <c r="X392" s="29">
        <f>IF(B392="","",IF(COUNTIF($B$5:$B$3004,B392)&gt;1,"DUPLICATE","OK"))</f>
        <v/>
      </c>
      <c r="Y392" s="29">
        <f>IF(OR(U392="",V392="",V392="Excluded"),"",IF(COUNTIFS($U$5:$U$3004,U392,$V$5:$V$3004,"&lt;&gt;"&amp;V392,$V$5:$V$3004,"&lt;&gt;",$V$5:$V$3004,"&lt;&gt;Excluded")&gt;0,"LEAK RISK","OK"))</f>
        <v/>
      </c>
      <c r="Z392" s="30" t="n"/>
    </row>
    <row r="393">
      <c r="A393" s="30" t="n"/>
      <c r="B393" s="30" t="n"/>
      <c r="C393" s="30" t="n"/>
      <c r="D393" s="30" t="n"/>
      <c r="E393" s="30" t="n"/>
      <c r="F393" s="30" t="n"/>
      <c r="G393" s="30" t="n"/>
      <c r="H393" s="30" t="n"/>
      <c r="I393" s="31" t="n"/>
      <c r="J393" s="30" t="n"/>
      <c r="K393" s="30" t="n"/>
      <c r="L393" s="30" t="n"/>
      <c r="M393" s="30" t="n"/>
      <c r="N393" s="32" t="n"/>
      <c r="O393" s="30" t="n"/>
      <c r="P393" s="32" t="n"/>
      <c r="Q393" s="30" t="n"/>
      <c r="R393" s="32" t="n"/>
      <c r="S393" s="30" t="n"/>
      <c r="T393" s="30" t="n"/>
      <c r="U393" s="30" t="n"/>
      <c r="V393" s="30" t="n"/>
      <c r="W393" s="29">
        <f>IF(H393="","",IF(H393="Kenya","Yes","No"))</f>
        <v/>
      </c>
      <c r="X393" s="29">
        <f>IF(B393="","",IF(COUNTIF($B$5:$B$3004,B393)&gt;1,"DUPLICATE","OK"))</f>
        <v/>
      </c>
      <c r="Y393" s="29">
        <f>IF(OR(U393="",V393="",V393="Excluded"),"",IF(COUNTIFS($U$5:$U$3004,U393,$V$5:$V$3004,"&lt;&gt;"&amp;V393,$V$5:$V$3004,"&lt;&gt;",$V$5:$V$3004,"&lt;&gt;Excluded")&gt;0,"LEAK RISK","OK"))</f>
        <v/>
      </c>
      <c r="Z393" s="30" t="n"/>
    </row>
    <row r="394">
      <c r="A394" s="30" t="n"/>
      <c r="B394" s="30" t="n"/>
      <c r="C394" s="30" t="n"/>
      <c r="D394" s="30" t="n"/>
      <c r="E394" s="30" t="n"/>
      <c r="F394" s="30" t="n"/>
      <c r="G394" s="30" t="n"/>
      <c r="H394" s="30" t="n"/>
      <c r="I394" s="31" t="n"/>
      <c r="J394" s="30" t="n"/>
      <c r="K394" s="30" t="n"/>
      <c r="L394" s="30" t="n"/>
      <c r="M394" s="30" t="n"/>
      <c r="N394" s="32" t="n"/>
      <c r="O394" s="30" t="n"/>
      <c r="P394" s="32" t="n"/>
      <c r="Q394" s="30" t="n"/>
      <c r="R394" s="32" t="n"/>
      <c r="S394" s="30" t="n"/>
      <c r="T394" s="30" t="n"/>
      <c r="U394" s="30" t="n"/>
      <c r="V394" s="30" t="n"/>
      <c r="W394" s="29">
        <f>IF(H394="","",IF(H394="Kenya","Yes","No"))</f>
        <v/>
      </c>
      <c r="X394" s="29">
        <f>IF(B394="","",IF(COUNTIF($B$5:$B$3004,B394)&gt;1,"DUPLICATE","OK"))</f>
        <v/>
      </c>
      <c r="Y394" s="29">
        <f>IF(OR(U394="",V394="",V394="Excluded"),"",IF(COUNTIFS($U$5:$U$3004,U394,$V$5:$V$3004,"&lt;&gt;"&amp;V394,$V$5:$V$3004,"&lt;&gt;",$V$5:$V$3004,"&lt;&gt;Excluded")&gt;0,"LEAK RISK","OK"))</f>
        <v/>
      </c>
      <c r="Z394" s="30" t="n"/>
    </row>
    <row r="395">
      <c r="A395" s="30" t="n"/>
      <c r="B395" s="30" t="n"/>
      <c r="C395" s="30" t="n"/>
      <c r="D395" s="30" t="n"/>
      <c r="E395" s="30" t="n"/>
      <c r="F395" s="30" t="n"/>
      <c r="G395" s="30" t="n"/>
      <c r="H395" s="30" t="n"/>
      <c r="I395" s="31" t="n"/>
      <c r="J395" s="30" t="n"/>
      <c r="K395" s="30" t="n"/>
      <c r="L395" s="30" t="n"/>
      <c r="M395" s="30" t="n"/>
      <c r="N395" s="32" t="n"/>
      <c r="O395" s="30" t="n"/>
      <c r="P395" s="32" t="n"/>
      <c r="Q395" s="30" t="n"/>
      <c r="R395" s="32" t="n"/>
      <c r="S395" s="30" t="n"/>
      <c r="T395" s="30" t="n"/>
      <c r="U395" s="30" t="n"/>
      <c r="V395" s="30" t="n"/>
      <c r="W395" s="29">
        <f>IF(H395="","",IF(H395="Kenya","Yes","No"))</f>
        <v/>
      </c>
      <c r="X395" s="29">
        <f>IF(B395="","",IF(COUNTIF($B$5:$B$3004,B395)&gt;1,"DUPLICATE","OK"))</f>
        <v/>
      </c>
      <c r="Y395" s="29">
        <f>IF(OR(U395="",V395="",V395="Excluded"),"",IF(COUNTIFS($U$5:$U$3004,U395,$V$5:$V$3004,"&lt;&gt;"&amp;V395,$V$5:$V$3004,"&lt;&gt;",$V$5:$V$3004,"&lt;&gt;Excluded")&gt;0,"LEAK RISK","OK"))</f>
        <v/>
      </c>
      <c r="Z395" s="30" t="n"/>
    </row>
    <row r="396">
      <c r="A396" s="30" t="n"/>
      <c r="B396" s="30" t="n"/>
      <c r="C396" s="30" t="n"/>
      <c r="D396" s="30" t="n"/>
      <c r="E396" s="30" t="n"/>
      <c r="F396" s="30" t="n"/>
      <c r="G396" s="30" t="n"/>
      <c r="H396" s="30" t="n"/>
      <c r="I396" s="31" t="n"/>
      <c r="J396" s="30" t="n"/>
      <c r="K396" s="30" t="n"/>
      <c r="L396" s="30" t="n"/>
      <c r="M396" s="30" t="n"/>
      <c r="N396" s="32" t="n"/>
      <c r="O396" s="30" t="n"/>
      <c r="P396" s="32" t="n"/>
      <c r="Q396" s="30" t="n"/>
      <c r="R396" s="32" t="n"/>
      <c r="S396" s="30" t="n"/>
      <c r="T396" s="30" t="n"/>
      <c r="U396" s="30" t="n"/>
      <c r="V396" s="30" t="n"/>
      <c r="W396" s="29">
        <f>IF(H396="","",IF(H396="Kenya","Yes","No"))</f>
        <v/>
      </c>
      <c r="X396" s="29">
        <f>IF(B396="","",IF(COUNTIF($B$5:$B$3004,B396)&gt;1,"DUPLICATE","OK"))</f>
        <v/>
      </c>
      <c r="Y396" s="29">
        <f>IF(OR(U396="",V396="",V396="Excluded"),"",IF(COUNTIFS($U$5:$U$3004,U396,$V$5:$V$3004,"&lt;&gt;"&amp;V396,$V$5:$V$3004,"&lt;&gt;",$V$5:$V$3004,"&lt;&gt;Excluded")&gt;0,"LEAK RISK","OK"))</f>
        <v/>
      </c>
      <c r="Z396" s="30" t="n"/>
    </row>
    <row r="397">
      <c r="A397" s="30" t="n"/>
      <c r="B397" s="30" t="n"/>
      <c r="C397" s="30" t="n"/>
      <c r="D397" s="30" t="n"/>
      <c r="E397" s="30" t="n"/>
      <c r="F397" s="30" t="n"/>
      <c r="G397" s="30" t="n"/>
      <c r="H397" s="30" t="n"/>
      <c r="I397" s="31" t="n"/>
      <c r="J397" s="30" t="n"/>
      <c r="K397" s="30" t="n"/>
      <c r="L397" s="30" t="n"/>
      <c r="M397" s="30" t="n"/>
      <c r="N397" s="32" t="n"/>
      <c r="O397" s="30" t="n"/>
      <c r="P397" s="32" t="n"/>
      <c r="Q397" s="30" t="n"/>
      <c r="R397" s="32" t="n"/>
      <c r="S397" s="30" t="n"/>
      <c r="T397" s="30" t="n"/>
      <c r="U397" s="30" t="n"/>
      <c r="V397" s="30" t="n"/>
      <c r="W397" s="29">
        <f>IF(H397="","",IF(H397="Kenya","Yes","No"))</f>
        <v/>
      </c>
      <c r="X397" s="29">
        <f>IF(B397="","",IF(COUNTIF($B$5:$B$3004,B397)&gt;1,"DUPLICATE","OK"))</f>
        <v/>
      </c>
      <c r="Y397" s="29">
        <f>IF(OR(U397="",V397="",V397="Excluded"),"",IF(COUNTIFS($U$5:$U$3004,U397,$V$5:$V$3004,"&lt;&gt;"&amp;V397,$V$5:$V$3004,"&lt;&gt;",$V$5:$V$3004,"&lt;&gt;Excluded")&gt;0,"LEAK RISK","OK"))</f>
        <v/>
      </c>
      <c r="Z397" s="30" t="n"/>
    </row>
    <row r="398">
      <c r="A398" s="30" t="n"/>
      <c r="B398" s="30" t="n"/>
      <c r="C398" s="30" t="n"/>
      <c r="D398" s="30" t="n"/>
      <c r="E398" s="30" t="n"/>
      <c r="F398" s="30" t="n"/>
      <c r="G398" s="30" t="n"/>
      <c r="H398" s="30" t="n"/>
      <c r="I398" s="31" t="n"/>
      <c r="J398" s="30" t="n"/>
      <c r="K398" s="30" t="n"/>
      <c r="L398" s="30" t="n"/>
      <c r="M398" s="30" t="n"/>
      <c r="N398" s="32" t="n"/>
      <c r="O398" s="30" t="n"/>
      <c r="P398" s="32" t="n"/>
      <c r="Q398" s="30" t="n"/>
      <c r="R398" s="32" t="n"/>
      <c r="S398" s="30" t="n"/>
      <c r="T398" s="30" t="n"/>
      <c r="U398" s="30" t="n"/>
      <c r="V398" s="30" t="n"/>
      <c r="W398" s="29">
        <f>IF(H398="","",IF(H398="Kenya","Yes","No"))</f>
        <v/>
      </c>
      <c r="X398" s="29">
        <f>IF(B398="","",IF(COUNTIF($B$5:$B$3004,B398)&gt;1,"DUPLICATE","OK"))</f>
        <v/>
      </c>
      <c r="Y398" s="29">
        <f>IF(OR(U398="",V398="",V398="Excluded"),"",IF(COUNTIFS($U$5:$U$3004,U398,$V$5:$V$3004,"&lt;&gt;"&amp;V398,$V$5:$V$3004,"&lt;&gt;",$V$5:$V$3004,"&lt;&gt;Excluded")&gt;0,"LEAK RISK","OK"))</f>
        <v/>
      </c>
      <c r="Z398" s="30" t="n"/>
    </row>
    <row r="399">
      <c r="A399" s="30" t="n"/>
      <c r="B399" s="30" t="n"/>
      <c r="C399" s="30" t="n"/>
      <c r="D399" s="30" t="n"/>
      <c r="E399" s="30" t="n"/>
      <c r="F399" s="30" t="n"/>
      <c r="G399" s="30" t="n"/>
      <c r="H399" s="30" t="n"/>
      <c r="I399" s="31" t="n"/>
      <c r="J399" s="30" t="n"/>
      <c r="K399" s="30" t="n"/>
      <c r="L399" s="30" t="n"/>
      <c r="M399" s="30" t="n"/>
      <c r="N399" s="32" t="n"/>
      <c r="O399" s="30" t="n"/>
      <c r="P399" s="32" t="n"/>
      <c r="Q399" s="30" t="n"/>
      <c r="R399" s="32" t="n"/>
      <c r="S399" s="30" t="n"/>
      <c r="T399" s="30" t="n"/>
      <c r="U399" s="30" t="n"/>
      <c r="V399" s="30" t="n"/>
      <c r="W399" s="29">
        <f>IF(H399="","",IF(H399="Kenya","Yes","No"))</f>
        <v/>
      </c>
      <c r="X399" s="29">
        <f>IF(B399="","",IF(COUNTIF($B$5:$B$3004,B399)&gt;1,"DUPLICATE","OK"))</f>
        <v/>
      </c>
      <c r="Y399" s="29">
        <f>IF(OR(U399="",V399="",V399="Excluded"),"",IF(COUNTIFS($U$5:$U$3004,U399,$V$5:$V$3004,"&lt;&gt;"&amp;V399,$V$5:$V$3004,"&lt;&gt;",$V$5:$V$3004,"&lt;&gt;Excluded")&gt;0,"LEAK RISK","OK"))</f>
        <v/>
      </c>
      <c r="Z399" s="30" t="n"/>
    </row>
    <row r="400">
      <c r="A400" s="30" t="n"/>
      <c r="B400" s="30" t="n"/>
      <c r="C400" s="30" t="n"/>
      <c r="D400" s="30" t="n"/>
      <c r="E400" s="30" t="n"/>
      <c r="F400" s="30" t="n"/>
      <c r="G400" s="30" t="n"/>
      <c r="H400" s="30" t="n"/>
      <c r="I400" s="31" t="n"/>
      <c r="J400" s="30" t="n"/>
      <c r="K400" s="30" t="n"/>
      <c r="L400" s="30" t="n"/>
      <c r="M400" s="30" t="n"/>
      <c r="N400" s="32" t="n"/>
      <c r="O400" s="30" t="n"/>
      <c r="P400" s="32" t="n"/>
      <c r="Q400" s="30" t="n"/>
      <c r="R400" s="32" t="n"/>
      <c r="S400" s="30" t="n"/>
      <c r="T400" s="30" t="n"/>
      <c r="U400" s="30" t="n"/>
      <c r="V400" s="30" t="n"/>
      <c r="W400" s="29">
        <f>IF(H400="","",IF(H400="Kenya","Yes","No"))</f>
        <v/>
      </c>
      <c r="X400" s="29">
        <f>IF(B400="","",IF(COUNTIF($B$5:$B$3004,B400)&gt;1,"DUPLICATE","OK"))</f>
        <v/>
      </c>
      <c r="Y400" s="29">
        <f>IF(OR(U400="",V400="",V400="Excluded"),"",IF(COUNTIFS($U$5:$U$3004,U400,$V$5:$V$3004,"&lt;&gt;"&amp;V400,$V$5:$V$3004,"&lt;&gt;",$V$5:$V$3004,"&lt;&gt;Excluded")&gt;0,"LEAK RISK","OK"))</f>
        <v/>
      </c>
      <c r="Z400" s="30" t="n"/>
    </row>
    <row r="401">
      <c r="A401" s="30" t="n"/>
      <c r="B401" s="30" t="n"/>
      <c r="C401" s="30" t="n"/>
      <c r="D401" s="30" t="n"/>
      <c r="E401" s="30" t="n"/>
      <c r="F401" s="30" t="n"/>
      <c r="G401" s="30" t="n"/>
      <c r="H401" s="30" t="n"/>
      <c r="I401" s="31" t="n"/>
      <c r="J401" s="30" t="n"/>
      <c r="K401" s="30" t="n"/>
      <c r="L401" s="30" t="n"/>
      <c r="M401" s="30" t="n"/>
      <c r="N401" s="32" t="n"/>
      <c r="O401" s="30" t="n"/>
      <c r="P401" s="32" t="n"/>
      <c r="Q401" s="30" t="n"/>
      <c r="R401" s="32" t="n"/>
      <c r="S401" s="30" t="n"/>
      <c r="T401" s="30" t="n"/>
      <c r="U401" s="30" t="n"/>
      <c r="V401" s="30" t="n"/>
      <c r="W401" s="29">
        <f>IF(H401="","",IF(H401="Kenya","Yes","No"))</f>
        <v/>
      </c>
      <c r="X401" s="29">
        <f>IF(B401="","",IF(COUNTIF($B$5:$B$3004,B401)&gt;1,"DUPLICATE","OK"))</f>
        <v/>
      </c>
      <c r="Y401" s="29">
        <f>IF(OR(U401="",V401="",V401="Excluded"),"",IF(COUNTIFS($U$5:$U$3004,U401,$V$5:$V$3004,"&lt;&gt;"&amp;V401,$V$5:$V$3004,"&lt;&gt;",$V$5:$V$3004,"&lt;&gt;Excluded")&gt;0,"LEAK RISK","OK"))</f>
        <v/>
      </c>
      <c r="Z401" s="30" t="n"/>
    </row>
    <row r="402">
      <c r="A402" s="30" t="n"/>
      <c r="B402" s="30" t="n"/>
      <c r="C402" s="30" t="n"/>
      <c r="D402" s="30" t="n"/>
      <c r="E402" s="30" t="n"/>
      <c r="F402" s="30" t="n"/>
      <c r="G402" s="30" t="n"/>
      <c r="H402" s="30" t="n"/>
      <c r="I402" s="31" t="n"/>
      <c r="J402" s="30" t="n"/>
      <c r="K402" s="30" t="n"/>
      <c r="L402" s="30" t="n"/>
      <c r="M402" s="30" t="n"/>
      <c r="N402" s="32" t="n"/>
      <c r="O402" s="30" t="n"/>
      <c r="P402" s="32" t="n"/>
      <c r="Q402" s="30" t="n"/>
      <c r="R402" s="32" t="n"/>
      <c r="S402" s="30" t="n"/>
      <c r="T402" s="30" t="n"/>
      <c r="U402" s="30" t="n"/>
      <c r="V402" s="30" t="n"/>
      <c r="W402" s="29">
        <f>IF(H402="","",IF(H402="Kenya","Yes","No"))</f>
        <v/>
      </c>
      <c r="X402" s="29">
        <f>IF(B402="","",IF(COUNTIF($B$5:$B$3004,B402)&gt;1,"DUPLICATE","OK"))</f>
        <v/>
      </c>
      <c r="Y402" s="29">
        <f>IF(OR(U402="",V402="",V402="Excluded"),"",IF(COUNTIFS($U$5:$U$3004,U402,$V$5:$V$3004,"&lt;&gt;"&amp;V402,$V$5:$V$3004,"&lt;&gt;",$V$5:$V$3004,"&lt;&gt;Excluded")&gt;0,"LEAK RISK","OK"))</f>
        <v/>
      </c>
      <c r="Z402" s="30" t="n"/>
    </row>
    <row r="403">
      <c r="A403" s="30" t="n"/>
      <c r="B403" s="30" t="n"/>
      <c r="C403" s="30" t="n"/>
      <c r="D403" s="30" t="n"/>
      <c r="E403" s="30" t="n"/>
      <c r="F403" s="30" t="n"/>
      <c r="G403" s="30" t="n"/>
      <c r="H403" s="30" t="n"/>
      <c r="I403" s="31" t="n"/>
      <c r="J403" s="30" t="n"/>
      <c r="K403" s="30" t="n"/>
      <c r="L403" s="30" t="n"/>
      <c r="M403" s="30" t="n"/>
      <c r="N403" s="32" t="n"/>
      <c r="O403" s="30" t="n"/>
      <c r="P403" s="32" t="n"/>
      <c r="Q403" s="30" t="n"/>
      <c r="R403" s="32" t="n"/>
      <c r="S403" s="30" t="n"/>
      <c r="T403" s="30" t="n"/>
      <c r="U403" s="30" t="n"/>
      <c r="V403" s="30" t="n"/>
      <c r="W403" s="29">
        <f>IF(H403="","",IF(H403="Kenya","Yes","No"))</f>
        <v/>
      </c>
      <c r="X403" s="29">
        <f>IF(B403="","",IF(COUNTIF($B$5:$B$3004,B403)&gt;1,"DUPLICATE","OK"))</f>
        <v/>
      </c>
      <c r="Y403" s="29">
        <f>IF(OR(U403="",V403="",V403="Excluded"),"",IF(COUNTIFS($U$5:$U$3004,U403,$V$5:$V$3004,"&lt;&gt;"&amp;V403,$V$5:$V$3004,"&lt;&gt;",$V$5:$V$3004,"&lt;&gt;Excluded")&gt;0,"LEAK RISK","OK"))</f>
        <v/>
      </c>
      <c r="Z403" s="30" t="n"/>
    </row>
    <row r="404">
      <c r="A404" s="30" t="n"/>
      <c r="B404" s="30" t="n"/>
      <c r="C404" s="30" t="n"/>
      <c r="D404" s="30" t="n"/>
      <c r="E404" s="30" t="n"/>
      <c r="F404" s="30" t="n"/>
      <c r="G404" s="30" t="n"/>
      <c r="H404" s="30" t="n"/>
      <c r="I404" s="31" t="n"/>
      <c r="J404" s="30" t="n"/>
      <c r="K404" s="30" t="n"/>
      <c r="L404" s="30" t="n"/>
      <c r="M404" s="30" t="n"/>
      <c r="N404" s="32" t="n"/>
      <c r="O404" s="30" t="n"/>
      <c r="P404" s="32" t="n"/>
      <c r="Q404" s="30" t="n"/>
      <c r="R404" s="32" t="n"/>
      <c r="S404" s="30" t="n"/>
      <c r="T404" s="30" t="n"/>
      <c r="U404" s="30" t="n"/>
      <c r="V404" s="30" t="n"/>
      <c r="W404" s="29">
        <f>IF(H404="","",IF(H404="Kenya","Yes","No"))</f>
        <v/>
      </c>
      <c r="X404" s="29">
        <f>IF(B404="","",IF(COUNTIF($B$5:$B$3004,B404)&gt;1,"DUPLICATE","OK"))</f>
        <v/>
      </c>
      <c r="Y404" s="29">
        <f>IF(OR(U404="",V404="",V404="Excluded"),"",IF(COUNTIFS($U$5:$U$3004,U404,$V$5:$V$3004,"&lt;&gt;"&amp;V404,$V$5:$V$3004,"&lt;&gt;",$V$5:$V$3004,"&lt;&gt;Excluded")&gt;0,"LEAK RISK","OK"))</f>
        <v/>
      </c>
      <c r="Z404" s="30" t="n"/>
    </row>
    <row r="405">
      <c r="A405" s="30" t="n"/>
      <c r="B405" s="30" t="n"/>
      <c r="C405" s="30" t="n"/>
      <c r="D405" s="30" t="n"/>
      <c r="E405" s="30" t="n"/>
      <c r="F405" s="30" t="n"/>
      <c r="G405" s="30" t="n"/>
      <c r="H405" s="30" t="n"/>
      <c r="I405" s="31" t="n"/>
      <c r="J405" s="30" t="n"/>
      <c r="K405" s="30" t="n"/>
      <c r="L405" s="30" t="n"/>
      <c r="M405" s="30" t="n"/>
      <c r="N405" s="32" t="n"/>
      <c r="O405" s="30" t="n"/>
      <c r="P405" s="32" t="n"/>
      <c r="Q405" s="30" t="n"/>
      <c r="R405" s="32" t="n"/>
      <c r="S405" s="30" t="n"/>
      <c r="T405" s="30" t="n"/>
      <c r="U405" s="30" t="n"/>
      <c r="V405" s="30" t="n"/>
      <c r="W405" s="29">
        <f>IF(H405="","",IF(H405="Kenya","Yes","No"))</f>
        <v/>
      </c>
      <c r="X405" s="29">
        <f>IF(B405="","",IF(COUNTIF($B$5:$B$3004,B405)&gt;1,"DUPLICATE","OK"))</f>
        <v/>
      </c>
      <c r="Y405" s="29">
        <f>IF(OR(U405="",V405="",V405="Excluded"),"",IF(COUNTIFS($U$5:$U$3004,U405,$V$5:$V$3004,"&lt;&gt;"&amp;V405,$V$5:$V$3004,"&lt;&gt;",$V$5:$V$3004,"&lt;&gt;Excluded")&gt;0,"LEAK RISK","OK"))</f>
        <v/>
      </c>
      <c r="Z405" s="30" t="n"/>
    </row>
    <row r="406">
      <c r="A406" s="30" t="n"/>
      <c r="B406" s="30" t="n"/>
      <c r="C406" s="30" t="n"/>
      <c r="D406" s="30" t="n"/>
      <c r="E406" s="30" t="n"/>
      <c r="F406" s="30" t="n"/>
      <c r="G406" s="30" t="n"/>
      <c r="H406" s="30" t="n"/>
      <c r="I406" s="31" t="n"/>
      <c r="J406" s="30" t="n"/>
      <c r="K406" s="30" t="n"/>
      <c r="L406" s="30" t="n"/>
      <c r="M406" s="30" t="n"/>
      <c r="N406" s="32" t="n"/>
      <c r="O406" s="30" t="n"/>
      <c r="P406" s="32" t="n"/>
      <c r="Q406" s="30" t="n"/>
      <c r="R406" s="32" t="n"/>
      <c r="S406" s="30" t="n"/>
      <c r="T406" s="30" t="n"/>
      <c r="U406" s="30" t="n"/>
      <c r="V406" s="30" t="n"/>
      <c r="W406" s="29">
        <f>IF(H406="","",IF(H406="Kenya","Yes","No"))</f>
        <v/>
      </c>
      <c r="X406" s="29">
        <f>IF(B406="","",IF(COUNTIF($B$5:$B$3004,B406)&gt;1,"DUPLICATE","OK"))</f>
        <v/>
      </c>
      <c r="Y406" s="29">
        <f>IF(OR(U406="",V406="",V406="Excluded"),"",IF(COUNTIFS($U$5:$U$3004,U406,$V$5:$V$3004,"&lt;&gt;"&amp;V406,$V$5:$V$3004,"&lt;&gt;",$V$5:$V$3004,"&lt;&gt;Excluded")&gt;0,"LEAK RISK","OK"))</f>
        <v/>
      </c>
      <c r="Z406" s="30" t="n"/>
    </row>
    <row r="407">
      <c r="A407" s="30" t="n"/>
      <c r="B407" s="30" t="n"/>
      <c r="C407" s="30" t="n"/>
      <c r="D407" s="30" t="n"/>
      <c r="E407" s="30" t="n"/>
      <c r="F407" s="30" t="n"/>
      <c r="G407" s="30" t="n"/>
      <c r="H407" s="30" t="n"/>
      <c r="I407" s="31" t="n"/>
      <c r="J407" s="30" t="n"/>
      <c r="K407" s="30" t="n"/>
      <c r="L407" s="30" t="n"/>
      <c r="M407" s="30" t="n"/>
      <c r="N407" s="32" t="n"/>
      <c r="O407" s="30" t="n"/>
      <c r="P407" s="32" t="n"/>
      <c r="Q407" s="30" t="n"/>
      <c r="R407" s="32" t="n"/>
      <c r="S407" s="30" t="n"/>
      <c r="T407" s="30" t="n"/>
      <c r="U407" s="30" t="n"/>
      <c r="V407" s="30" t="n"/>
      <c r="W407" s="29">
        <f>IF(H407="","",IF(H407="Kenya","Yes","No"))</f>
        <v/>
      </c>
      <c r="X407" s="29">
        <f>IF(B407="","",IF(COUNTIF($B$5:$B$3004,B407)&gt;1,"DUPLICATE","OK"))</f>
        <v/>
      </c>
      <c r="Y407" s="29">
        <f>IF(OR(U407="",V407="",V407="Excluded"),"",IF(COUNTIFS($U$5:$U$3004,U407,$V$5:$V$3004,"&lt;&gt;"&amp;V407,$V$5:$V$3004,"&lt;&gt;",$V$5:$V$3004,"&lt;&gt;Excluded")&gt;0,"LEAK RISK","OK"))</f>
        <v/>
      </c>
      <c r="Z407" s="30" t="n"/>
    </row>
    <row r="408">
      <c r="A408" s="30" t="n"/>
      <c r="B408" s="30" t="n"/>
      <c r="C408" s="30" t="n"/>
      <c r="D408" s="30" t="n"/>
      <c r="E408" s="30" t="n"/>
      <c r="F408" s="30" t="n"/>
      <c r="G408" s="30" t="n"/>
      <c r="H408" s="30" t="n"/>
      <c r="I408" s="31" t="n"/>
      <c r="J408" s="30" t="n"/>
      <c r="K408" s="30" t="n"/>
      <c r="L408" s="30" t="n"/>
      <c r="M408" s="30" t="n"/>
      <c r="N408" s="32" t="n"/>
      <c r="O408" s="30" t="n"/>
      <c r="P408" s="32" t="n"/>
      <c r="Q408" s="30" t="n"/>
      <c r="R408" s="32" t="n"/>
      <c r="S408" s="30" t="n"/>
      <c r="T408" s="30" t="n"/>
      <c r="U408" s="30" t="n"/>
      <c r="V408" s="30" t="n"/>
      <c r="W408" s="29">
        <f>IF(H408="","",IF(H408="Kenya","Yes","No"))</f>
        <v/>
      </c>
      <c r="X408" s="29">
        <f>IF(B408="","",IF(COUNTIF($B$5:$B$3004,B408)&gt;1,"DUPLICATE","OK"))</f>
        <v/>
      </c>
      <c r="Y408" s="29">
        <f>IF(OR(U408="",V408="",V408="Excluded"),"",IF(COUNTIFS($U$5:$U$3004,U408,$V$5:$V$3004,"&lt;&gt;"&amp;V408,$V$5:$V$3004,"&lt;&gt;",$V$5:$V$3004,"&lt;&gt;Excluded")&gt;0,"LEAK RISK","OK"))</f>
        <v/>
      </c>
      <c r="Z408" s="30" t="n"/>
    </row>
    <row r="409">
      <c r="A409" s="30" t="n"/>
      <c r="B409" s="30" t="n"/>
      <c r="C409" s="30" t="n"/>
      <c r="D409" s="30" t="n"/>
      <c r="E409" s="30" t="n"/>
      <c r="F409" s="30" t="n"/>
      <c r="G409" s="30" t="n"/>
      <c r="H409" s="30" t="n"/>
      <c r="I409" s="31" t="n"/>
      <c r="J409" s="30" t="n"/>
      <c r="K409" s="30" t="n"/>
      <c r="L409" s="30" t="n"/>
      <c r="M409" s="30" t="n"/>
      <c r="N409" s="32" t="n"/>
      <c r="O409" s="30" t="n"/>
      <c r="P409" s="32" t="n"/>
      <c r="Q409" s="30" t="n"/>
      <c r="R409" s="32" t="n"/>
      <c r="S409" s="30" t="n"/>
      <c r="T409" s="30" t="n"/>
      <c r="U409" s="30" t="n"/>
      <c r="V409" s="30" t="n"/>
      <c r="W409" s="29">
        <f>IF(H409="","",IF(H409="Kenya","Yes","No"))</f>
        <v/>
      </c>
      <c r="X409" s="29">
        <f>IF(B409="","",IF(COUNTIF($B$5:$B$3004,B409)&gt;1,"DUPLICATE","OK"))</f>
        <v/>
      </c>
      <c r="Y409" s="29">
        <f>IF(OR(U409="",V409="",V409="Excluded"),"",IF(COUNTIFS($U$5:$U$3004,U409,$V$5:$V$3004,"&lt;&gt;"&amp;V409,$V$5:$V$3004,"&lt;&gt;",$V$5:$V$3004,"&lt;&gt;Excluded")&gt;0,"LEAK RISK","OK"))</f>
        <v/>
      </c>
      <c r="Z409" s="30" t="n"/>
    </row>
    <row r="410">
      <c r="A410" s="30" t="n"/>
      <c r="B410" s="30" t="n"/>
      <c r="C410" s="30" t="n"/>
      <c r="D410" s="30" t="n"/>
      <c r="E410" s="30" t="n"/>
      <c r="F410" s="30" t="n"/>
      <c r="G410" s="30" t="n"/>
      <c r="H410" s="30" t="n"/>
      <c r="I410" s="31" t="n"/>
      <c r="J410" s="30" t="n"/>
      <c r="K410" s="30" t="n"/>
      <c r="L410" s="30" t="n"/>
      <c r="M410" s="30" t="n"/>
      <c r="N410" s="32" t="n"/>
      <c r="O410" s="30" t="n"/>
      <c r="P410" s="32" t="n"/>
      <c r="Q410" s="30" t="n"/>
      <c r="R410" s="32" t="n"/>
      <c r="S410" s="30" t="n"/>
      <c r="T410" s="30" t="n"/>
      <c r="U410" s="30" t="n"/>
      <c r="V410" s="30" t="n"/>
      <c r="W410" s="29">
        <f>IF(H410="","",IF(H410="Kenya","Yes","No"))</f>
        <v/>
      </c>
      <c r="X410" s="29">
        <f>IF(B410="","",IF(COUNTIF($B$5:$B$3004,B410)&gt;1,"DUPLICATE","OK"))</f>
        <v/>
      </c>
      <c r="Y410" s="29">
        <f>IF(OR(U410="",V410="",V410="Excluded"),"",IF(COUNTIFS($U$5:$U$3004,U410,$V$5:$V$3004,"&lt;&gt;"&amp;V410,$V$5:$V$3004,"&lt;&gt;",$V$5:$V$3004,"&lt;&gt;Excluded")&gt;0,"LEAK RISK","OK"))</f>
        <v/>
      </c>
      <c r="Z410" s="30" t="n"/>
    </row>
    <row r="411">
      <c r="A411" s="30" t="n"/>
      <c r="B411" s="30" t="n"/>
      <c r="C411" s="30" t="n"/>
      <c r="D411" s="30" t="n"/>
      <c r="E411" s="30" t="n"/>
      <c r="F411" s="30" t="n"/>
      <c r="G411" s="30" t="n"/>
      <c r="H411" s="30" t="n"/>
      <c r="I411" s="31" t="n"/>
      <c r="J411" s="30" t="n"/>
      <c r="K411" s="30" t="n"/>
      <c r="L411" s="30" t="n"/>
      <c r="M411" s="30" t="n"/>
      <c r="N411" s="32" t="n"/>
      <c r="O411" s="30" t="n"/>
      <c r="P411" s="32" t="n"/>
      <c r="Q411" s="30" t="n"/>
      <c r="R411" s="32" t="n"/>
      <c r="S411" s="30" t="n"/>
      <c r="T411" s="30" t="n"/>
      <c r="U411" s="30" t="n"/>
      <c r="V411" s="30" t="n"/>
      <c r="W411" s="29">
        <f>IF(H411="","",IF(H411="Kenya","Yes","No"))</f>
        <v/>
      </c>
      <c r="X411" s="29">
        <f>IF(B411="","",IF(COUNTIF($B$5:$B$3004,B411)&gt;1,"DUPLICATE","OK"))</f>
        <v/>
      </c>
      <c r="Y411" s="29">
        <f>IF(OR(U411="",V411="",V411="Excluded"),"",IF(COUNTIFS($U$5:$U$3004,U411,$V$5:$V$3004,"&lt;&gt;"&amp;V411,$V$5:$V$3004,"&lt;&gt;",$V$5:$V$3004,"&lt;&gt;Excluded")&gt;0,"LEAK RISK","OK"))</f>
        <v/>
      </c>
      <c r="Z411" s="30" t="n"/>
    </row>
    <row r="412">
      <c r="A412" s="30" t="n"/>
      <c r="B412" s="30" t="n"/>
      <c r="C412" s="30" t="n"/>
      <c r="D412" s="30" t="n"/>
      <c r="E412" s="30" t="n"/>
      <c r="F412" s="30" t="n"/>
      <c r="G412" s="30" t="n"/>
      <c r="H412" s="30" t="n"/>
      <c r="I412" s="31" t="n"/>
      <c r="J412" s="30" t="n"/>
      <c r="K412" s="30" t="n"/>
      <c r="L412" s="30" t="n"/>
      <c r="M412" s="30" t="n"/>
      <c r="N412" s="32" t="n"/>
      <c r="O412" s="30" t="n"/>
      <c r="P412" s="32" t="n"/>
      <c r="Q412" s="30" t="n"/>
      <c r="R412" s="32" t="n"/>
      <c r="S412" s="30" t="n"/>
      <c r="T412" s="30" t="n"/>
      <c r="U412" s="30" t="n"/>
      <c r="V412" s="30" t="n"/>
      <c r="W412" s="29">
        <f>IF(H412="","",IF(H412="Kenya","Yes","No"))</f>
        <v/>
      </c>
      <c r="X412" s="29">
        <f>IF(B412="","",IF(COUNTIF($B$5:$B$3004,B412)&gt;1,"DUPLICATE","OK"))</f>
        <v/>
      </c>
      <c r="Y412" s="29">
        <f>IF(OR(U412="",V412="",V412="Excluded"),"",IF(COUNTIFS($U$5:$U$3004,U412,$V$5:$V$3004,"&lt;&gt;"&amp;V412,$V$5:$V$3004,"&lt;&gt;",$V$5:$V$3004,"&lt;&gt;Excluded")&gt;0,"LEAK RISK","OK"))</f>
        <v/>
      </c>
      <c r="Z412" s="30" t="n"/>
    </row>
    <row r="413">
      <c r="A413" s="30" t="n"/>
      <c r="B413" s="30" t="n"/>
      <c r="C413" s="30" t="n"/>
      <c r="D413" s="30" t="n"/>
      <c r="E413" s="30" t="n"/>
      <c r="F413" s="30" t="n"/>
      <c r="G413" s="30" t="n"/>
      <c r="H413" s="30" t="n"/>
      <c r="I413" s="31" t="n"/>
      <c r="J413" s="30" t="n"/>
      <c r="K413" s="30" t="n"/>
      <c r="L413" s="30" t="n"/>
      <c r="M413" s="30" t="n"/>
      <c r="N413" s="32" t="n"/>
      <c r="O413" s="30" t="n"/>
      <c r="P413" s="32" t="n"/>
      <c r="Q413" s="30" t="n"/>
      <c r="R413" s="32" t="n"/>
      <c r="S413" s="30" t="n"/>
      <c r="T413" s="30" t="n"/>
      <c r="U413" s="30" t="n"/>
      <c r="V413" s="30" t="n"/>
      <c r="W413" s="29">
        <f>IF(H413="","",IF(H413="Kenya","Yes","No"))</f>
        <v/>
      </c>
      <c r="X413" s="29">
        <f>IF(B413="","",IF(COUNTIF($B$5:$B$3004,B413)&gt;1,"DUPLICATE","OK"))</f>
        <v/>
      </c>
      <c r="Y413" s="29">
        <f>IF(OR(U413="",V413="",V413="Excluded"),"",IF(COUNTIFS($U$5:$U$3004,U413,$V$5:$V$3004,"&lt;&gt;"&amp;V413,$V$5:$V$3004,"&lt;&gt;",$V$5:$V$3004,"&lt;&gt;Excluded")&gt;0,"LEAK RISK","OK"))</f>
        <v/>
      </c>
      <c r="Z413" s="30" t="n"/>
    </row>
    <row r="414">
      <c r="A414" s="30" t="n"/>
      <c r="B414" s="30" t="n"/>
      <c r="C414" s="30" t="n"/>
      <c r="D414" s="30" t="n"/>
      <c r="E414" s="30" t="n"/>
      <c r="F414" s="30" t="n"/>
      <c r="G414" s="30" t="n"/>
      <c r="H414" s="30" t="n"/>
      <c r="I414" s="31" t="n"/>
      <c r="J414" s="30" t="n"/>
      <c r="K414" s="30" t="n"/>
      <c r="L414" s="30" t="n"/>
      <c r="M414" s="30" t="n"/>
      <c r="N414" s="32" t="n"/>
      <c r="O414" s="30" t="n"/>
      <c r="P414" s="32" t="n"/>
      <c r="Q414" s="30" t="n"/>
      <c r="R414" s="32" t="n"/>
      <c r="S414" s="30" t="n"/>
      <c r="T414" s="30" t="n"/>
      <c r="U414" s="30" t="n"/>
      <c r="V414" s="30" t="n"/>
      <c r="W414" s="29">
        <f>IF(H414="","",IF(H414="Kenya","Yes","No"))</f>
        <v/>
      </c>
      <c r="X414" s="29">
        <f>IF(B414="","",IF(COUNTIF($B$5:$B$3004,B414)&gt;1,"DUPLICATE","OK"))</f>
        <v/>
      </c>
      <c r="Y414" s="29">
        <f>IF(OR(U414="",V414="",V414="Excluded"),"",IF(COUNTIFS($U$5:$U$3004,U414,$V$5:$V$3004,"&lt;&gt;"&amp;V414,$V$5:$V$3004,"&lt;&gt;",$V$5:$V$3004,"&lt;&gt;Excluded")&gt;0,"LEAK RISK","OK"))</f>
        <v/>
      </c>
      <c r="Z414" s="30" t="n"/>
    </row>
    <row r="415">
      <c r="A415" s="30" t="n"/>
      <c r="B415" s="30" t="n"/>
      <c r="C415" s="30" t="n"/>
      <c r="D415" s="30" t="n"/>
      <c r="E415" s="30" t="n"/>
      <c r="F415" s="30" t="n"/>
      <c r="G415" s="30" t="n"/>
      <c r="H415" s="30" t="n"/>
      <c r="I415" s="31" t="n"/>
      <c r="J415" s="30" t="n"/>
      <c r="K415" s="30" t="n"/>
      <c r="L415" s="30" t="n"/>
      <c r="M415" s="30" t="n"/>
      <c r="N415" s="32" t="n"/>
      <c r="O415" s="30" t="n"/>
      <c r="P415" s="32" t="n"/>
      <c r="Q415" s="30" t="n"/>
      <c r="R415" s="32" t="n"/>
      <c r="S415" s="30" t="n"/>
      <c r="T415" s="30" t="n"/>
      <c r="U415" s="30" t="n"/>
      <c r="V415" s="30" t="n"/>
      <c r="W415" s="29">
        <f>IF(H415="","",IF(H415="Kenya","Yes","No"))</f>
        <v/>
      </c>
      <c r="X415" s="29">
        <f>IF(B415="","",IF(COUNTIF($B$5:$B$3004,B415)&gt;1,"DUPLICATE","OK"))</f>
        <v/>
      </c>
      <c r="Y415" s="29">
        <f>IF(OR(U415="",V415="",V415="Excluded"),"",IF(COUNTIFS($U$5:$U$3004,U415,$V$5:$V$3004,"&lt;&gt;"&amp;V415,$V$5:$V$3004,"&lt;&gt;",$V$5:$V$3004,"&lt;&gt;Excluded")&gt;0,"LEAK RISK","OK"))</f>
        <v/>
      </c>
      <c r="Z415" s="30" t="n"/>
    </row>
    <row r="416">
      <c r="A416" s="30" t="n"/>
      <c r="B416" s="30" t="n"/>
      <c r="C416" s="30" t="n"/>
      <c r="D416" s="30" t="n"/>
      <c r="E416" s="30" t="n"/>
      <c r="F416" s="30" t="n"/>
      <c r="G416" s="30" t="n"/>
      <c r="H416" s="30" t="n"/>
      <c r="I416" s="31" t="n"/>
      <c r="J416" s="30" t="n"/>
      <c r="K416" s="30" t="n"/>
      <c r="L416" s="30" t="n"/>
      <c r="M416" s="30" t="n"/>
      <c r="N416" s="32" t="n"/>
      <c r="O416" s="30" t="n"/>
      <c r="P416" s="32" t="n"/>
      <c r="Q416" s="30" t="n"/>
      <c r="R416" s="32" t="n"/>
      <c r="S416" s="30" t="n"/>
      <c r="T416" s="30" t="n"/>
      <c r="U416" s="30" t="n"/>
      <c r="V416" s="30" t="n"/>
      <c r="W416" s="29">
        <f>IF(H416="","",IF(H416="Kenya","Yes","No"))</f>
        <v/>
      </c>
      <c r="X416" s="29">
        <f>IF(B416="","",IF(COUNTIF($B$5:$B$3004,B416)&gt;1,"DUPLICATE","OK"))</f>
        <v/>
      </c>
      <c r="Y416" s="29">
        <f>IF(OR(U416="",V416="",V416="Excluded"),"",IF(COUNTIFS($U$5:$U$3004,U416,$V$5:$V$3004,"&lt;&gt;"&amp;V416,$V$5:$V$3004,"&lt;&gt;",$V$5:$V$3004,"&lt;&gt;Excluded")&gt;0,"LEAK RISK","OK"))</f>
        <v/>
      </c>
      <c r="Z416" s="30" t="n"/>
    </row>
    <row r="417">
      <c r="A417" s="30" t="n"/>
      <c r="B417" s="30" t="n"/>
      <c r="C417" s="30" t="n"/>
      <c r="D417" s="30" t="n"/>
      <c r="E417" s="30" t="n"/>
      <c r="F417" s="30" t="n"/>
      <c r="G417" s="30" t="n"/>
      <c r="H417" s="30" t="n"/>
      <c r="I417" s="31" t="n"/>
      <c r="J417" s="30" t="n"/>
      <c r="K417" s="30" t="n"/>
      <c r="L417" s="30" t="n"/>
      <c r="M417" s="30" t="n"/>
      <c r="N417" s="32" t="n"/>
      <c r="O417" s="30" t="n"/>
      <c r="P417" s="32" t="n"/>
      <c r="Q417" s="30" t="n"/>
      <c r="R417" s="32" t="n"/>
      <c r="S417" s="30" t="n"/>
      <c r="T417" s="30" t="n"/>
      <c r="U417" s="30" t="n"/>
      <c r="V417" s="30" t="n"/>
      <c r="W417" s="29">
        <f>IF(H417="","",IF(H417="Kenya","Yes","No"))</f>
        <v/>
      </c>
      <c r="X417" s="29">
        <f>IF(B417="","",IF(COUNTIF($B$5:$B$3004,B417)&gt;1,"DUPLICATE","OK"))</f>
        <v/>
      </c>
      <c r="Y417" s="29">
        <f>IF(OR(U417="",V417="",V417="Excluded"),"",IF(COUNTIFS($U$5:$U$3004,U417,$V$5:$V$3004,"&lt;&gt;"&amp;V417,$V$5:$V$3004,"&lt;&gt;",$V$5:$V$3004,"&lt;&gt;Excluded")&gt;0,"LEAK RISK","OK"))</f>
        <v/>
      </c>
      <c r="Z417" s="30" t="n"/>
    </row>
    <row r="418">
      <c r="A418" s="30" t="n"/>
      <c r="B418" s="30" t="n"/>
      <c r="C418" s="30" t="n"/>
      <c r="D418" s="30" t="n"/>
      <c r="E418" s="30" t="n"/>
      <c r="F418" s="30" t="n"/>
      <c r="G418" s="30" t="n"/>
      <c r="H418" s="30" t="n"/>
      <c r="I418" s="31" t="n"/>
      <c r="J418" s="30" t="n"/>
      <c r="K418" s="30" t="n"/>
      <c r="L418" s="30" t="n"/>
      <c r="M418" s="30" t="n"/>
      <c r="N418" s="32" t="n"/>
      <c r="O418" s="30" t="n"/>
      <c r="P418" s="32" t="n"/>
      <c r="Q418" s="30" t="n"/>
      <c r="R418" s="32" t="n"/>
      <c r="S418" s="30" t="n"/>
      <c r="T418" s="30" t="n"/>
      <c r="U418" s="30" t="n"/>
      <c r="V418" s="30" t="n"/>
      <c r="W418" s="29">
        <f>IF(H418="","",IF(H418="Kenya","Yes","No"))</f>
        <v/>
      </c>
      <c r="X418" s="29">
        <f>IF(B418="","",IF(COUNTIF($B$5:$B$3004,B418)&gt;1,"DUPLICATE","OK"))</f>
        <v/>
      </c>
      <c r="Y418" s="29">
        <f>IF(OR(U418="",V418="",V418="Excluded"),"",IF(COUNTIFS($U$5:$U$3004,U418,$V$5:$V$3004,"&lt;&gt;"&amp;V418,$V$5:$V$3004,"&lt;&gt;",$V$5:$V$3004,"&lt;&gt;Excluded")&gt;0,"LEAK RISK","OK"))</f>
        <v/>
      </c>
      <c r="Z418" s="30" t="n"/>
    </row>
    <row r="419">
      <c r="A419" s="30" t="n"/>
      <c r="B419" s="30" t="n"/>
      <c r="C419" s="30" t="n"/>
      <c r="D419" s="30" t="n"/>
      <c r="E419" s="30" t="n"/>
      <c r="F419" s="30" t="n"/>
      <c r="G419" s="30" t="n"/>
      <c r="H419" s="30" t="n"/>
      <c r="I419" s="31" t="n"/>
      <c r="J419" s="30" t="n"/>
      <c r="K419" s="30" t="n"/>
      <c r="L419" s="30" t="n"/>
      <c r="M419" s="30" t="n"/>
      <c r="N419" s="32" t="n"/>
      <c r="O419" s="30" t="n"/>
      <c r="P419" s="32" t="n"/>
      <c r="Q419" s="30" t="n"/>
      <c r="R419" s="32" t="n"/>
      <c r="S419" s="30" t="n"/>
      <c r="T419" s="30" t="n"/>
      <c r="U419" s="30" t="n"/>
      <c r="V419" s="30" t="n"/>
      <c r="W419" s="29">
        <f>IF(H419="","",IF(H419="Kenya","Yes","No"))</f>
        <v/>
      </c>
      <c r="X419" s="29">
        <f>IF(B419="","",IF(COUNTIF($B$5:$B$3004,B419)&gt;1,"DUPLICATE","OK"))</f>
        <v/>
      </c>
      <c r="Y419" s="29">
        <f>IF(OR(U419="",V419="",V419="Excluded"),"",IF(COUNTIFS($U$5:$U$3004,U419,$V$5:$V$3004,"&lt;&gt;"&amp;V419,$V$5:$V$3004,"&lt;&gt;",$V$5:$V$3004,"&lt;&gt;Excluded")&gt;0,"LEAK RISK","OK"))</f>
        <v/>
      </c>
      <c r="Z419" s="30" t="n"/>
    </row>
    <row r="420">
      <c r="A420" s="30" t="n"/>
      <c r="B420" s="30" t="n"/>
      <c r="C420" s="30" t="n"/>
      <c r="D420" s="30" t="n"/>
      <c r="E420" s="30" t="n"/>
      <c r="F420" s="30" t="n"/>
      <c r="G420" s="30" t="n"/>
      <c r="H420" s="30" t="n"/>
      <c r="I420" s="31" t="n"/>
      <c r="J420" s="30" t="n"/>
      <c r="K420" s="30" t="n"/>
      <c r="L420" s="30" t="n"/>
      <c r="M420" s="30" t="n"/>
      <c r="N420" s="32" t="n"/>
      <c r="O420" s="30" t="n"/>
      <c r="P420" s="32" t="n"/>
      <c r="Q420" s="30" t="n"/>
      <c r="R420" s="32" t="n"/>
      <c r="S420" s="30" t="n"/>
      <c r="T420" s="30" t="n"/>
      <c r="U420" s="30" t="n"/>
      <c r="V420" s="30" t="n"/>
      <c r="W420" s="29">
        <f>IF(H420="","",IF(H420="Kenya","Yes","No"))</f>
        <v/>
      </c>
      <c r="X420" s="29">
        <f>IF(B420="","",IF(COUNTIF($B$5:$B$3004,B420)&gt;1,"DUPLICATE","OK"))</f>
        <v/>
      </c>
      <c r="Y420" s="29">
        <f>IF(OR(U420="",V420="",V420="Excluded"),"",IF(COUNTIFS($U$5:$U$3004,U420,$V$5:$V$3004,"&lt;&gt;"&amp;V420,$V$5:$V$3004,"&lt;&gt;",$V$5:$V$3004,"&lt;&gt;Excluded")&gt;0,"LEAK RISK","OK"))</f>
        <v/>
      </c>
      <c r="Z420" s="30" t="n"/>
    </row>
    <row r="421">
      <c r="A421" s="30" t="n"/>
      <c r="B421" s="30" t="n"/>
      <c r="C421" s="30" t="n"/>
      <c r="D421" s="30" t="n"/>
      <c r="E421" s="30" t="n"/>
      <c r="F421" s="30" t="n"/>
      <c r="G421" s="30" t="n"/>
      <c r="H421" s="30" t="n"/>
      <c r="I421" s="31" t="n"/>
      <c r="J421" s="30" t="n"/>
      <c r="K421" s="30" t="n"/>
      <c r="L421" s="30" t="n"/>
      <c r="M421" s="30" t="n"/>
      <c r="N421" s="32" t="n"/>
      <c r="O421" s="30" t="n"/>
      <c r="P421" s="32" t="n"/>
      <c r="Q421" s="30" t="n"/>
      <c r="R421" s="32" t="n"/>
      <c r="S421" s="30" t="n"/>
      <c r="T421" s="30" t="n"/>
      <c r="U421" s="30" t="n"/>
      <c r="V421" s="30" t="n"/>
      <c r="W421" s="29">
        <f>IF(H421="","",IF(H421="Kenya","Yes","No"))</f>
        <v/>
      </c>
      <c r="X421" s="29">
        <f>IF(B421="","",IF(COUNTIF($B$5:$B$3004,B421)&gt;1,"DUPLICATE","OK"))</f>
        <v/>
      </c>
      <c r="Y421" s="29">
        <f>IF(OR(U421="",V421="",V421="Excluded"),"",IF(COUNTIFS($U$5:$U$3004,U421,$V$5:$V$3004,"&lt;&gt;"&amp;V421,$V$5:$V$3004,"&lt;&gt;",$V$5:$V$3004,"&lt;&gt;Excluded")&gt;0,"LEAK RISK","OK"))</f>
        <v/>
      </c>
      <c r="Z421" s="30" t="n"/>
    </row>
    <row r="422">
      <c r="A422" s="30" t="n"/>
      <c r="B422" s="30" t="n"/>
      <c r="C422" s="30" t="n"/>
      <c r="D422" s="30" t="n"/>
      <c r="E422" s="30" t="n"/>
      <c r="F422" s="30" t="n"/>
      <c r="G422" s="30" t="n"/>
      <c r="H422" s="30" t="n"/>
      <c r="I422" s="31" t="n"/>
      <c r="J422" s="30" t="n"/>
      <c r="K422" s="30" t="n"/>
      <c r="L422" s="30" t="n"/>
      <c r="M422" s="30" t="n"/>
      <c r="N422" s="32" t="n"/>
      <c r="O422" s="30" t="n"/>
      <c r="P422" s="32" t="n"/>
      <c r="Q422" s="30" t="n"/>
      <c r="R422" s="32" t="n"/>
      <c r="S422" s="30" t="n"/>
      <c r="T422" s="30" t="n"/>
      <c r="U422" s="30" t="n"/>
      <c r="V422" s="30" t="n"/>
      <c r="W422" s="29">
        <f>IF(H422="","",IF(H422="Kenya","Yes","No"))</f>
        <v/>
      </c>
      <c r="X422" s="29">
        <f>IF(B422="","",IF(COUNTIF($B$5:$B$3004,B422)&gt;1,"DUPLICATE","OK"))</f>
        <v/>
      </c>
      <c r="Y422" s="29">
        <f>IF(OR(U422="",V422="",V422="Excluded"),"",IF(COUNTIFS($U$5:$U$3004,U422,$V$5:$V$3004,"&lt;&gt;"&amp;V422,$V$5:$V$3004,"&lt;&gt;",$V$5:$V$3004,"&lt;&gt;Excluded")&gt;0,"LEAK RISK","OK"))</f>
        <v/>
      </c>
      <c r="Z422" s="30" t="n"/>
    </row>
    <row r="423">
      <c r="A423" s="30" t="n"/>
      <c r="B423" s="30" t="n"/>
      <c r="C423" s="30" t="n"/>
      <c r="D423" s="30" t="n"/>
      <c r="E423" s="30" t="n"/>
      <c r="F423" s="30" t="n"/>
      <c r="G423" s="30" t="n"/>
      <c r="H423" s="30" t="n"/>
      <c r="I423" s="31" t="n"/>
      <c r="J423" s="30" t="n"/>
      <c r="K423" s="30" t="n"/>
      <c r="L423" s="30" t="n"/>
      <c r="M423" s="30" t="n"/>
      <c r="N423" s="32" t="n"/>
      <c r="O423" s="30" t="n"/>
      <c r="P423" s="32" t="n"/>
      <c r="Q423" s="30" t="n"/>
      <c r="R423" s="32" t="n"/>
      <c r="S423" s="30" t="n"/>
      <c r="T423" s="30" t="n"/>
      <c r="U423" s="30" t="n"/>
      <c r="V423" s="30" t="n"/>
      <c r="W423" s="29">
        <f>IF(H423="","",IF(H423="Kenya","Yes","No"))</f>
        <v/>
      </c>
      <c r="X423" s="29">
        <f>IF(B423="","",IF(COUNTIF($B$5:$B$3004,B423)&gt;1,"DUPLICATE","OK"))</f>
        <v/>
      </c>
      <c r="Y423" s="29">
        <f>IF(OR(U423="",V423="",V423="Excluded"),"",IF(COUNTIFS($U$5:$U$3004,U423,$V$5:$V$3004,"&lt;&gt;"&amp;V423,$V$5:$V$3004,"&lt;&gt;",$V$5:$V$3004,"&lt;&gt;Excluded")&gt;0,"LEAK RISK","OK"))</f>
        <v/>
      </c>
      <c r="Z423" s="30" t="n"/>
    </row>
    <row r="424">
      <c r="A424" s="30" t="n"/>
      <c r="B424" s="30" t="n"/>
      <c r="C424" s="30" t="n"/>
      <c r="D424" s="30" t="n"/>
      <c r="E424" s="30" t="n"/>
      <c r="F424" s="30" t="n"/>
      <c r="G424" s="30" t="n"/>
      <c r="H424" s="30" t="n"/>
      <c r="I424" s="31" t="n"/>
      <c r="J424" s="30" t="n"/>
      <c r="K424" s="30" t="n"/>
      <c r="L424" s="30" t="n"/>
      <c r="M424" s="30" t="n"/>
      <c r="N424" s="32" t="n"/>
      <c r="O424" s="30" t="n"/>
      <c r="P424" s="32" t="n"/>
      <c r="Q424" s="30" t="n"/>
      <c r="R424" s="32" t="n"/>
      <c r="S424" s="30" t="n"/>
      <c r="T424" s="30" t="n"/>
      <c r="U424" s="30" t="n"/>
      <c r="V424" s="30" t="n"/>
      <c r="W424" s="29">
        <f>IF(H424="","",IF(H424="Kenya","Yes","No"))</f>
        <v/>
      </c>
      <c r="X424" s="29">
        <f>IF(B424="","",IF(COUNTIF($B$5:$B$3004,B424)&gt;1,"DUPLICATE","OK"))</f>
        <v/>
      </c>
      <c r="Y424" s="29">
        <f>IF(OR(U424="",V424="",V424="Excluded"),"",IF(COUNTIFS($U$5:$U$3004,U424,$V$5:$V$3004,"&lt;&gt;"&amp;V424,$V$5:$V$3004,"&lt;&gt;",$V$5:$V$3004,"&lt;&gt;Excluded")&gt;0,"LEAK RISK","OK"))</f>
        <v/>
      </c>
      <c r="Z424" s="30" t="n"/>
    </row>
    <row r="425">
      <c r="A425" s="30" t="n"/>
      <c r="B425" s="30" t="n"/>
      <c r="C425" s="30" t="n"/>
      <c r="D425" s="30" t="n"/>
      <c r="E425" s="30" t="n"/>
      <c r="F425" s="30" t="n"/>
      <c r="G425" s="30" t="n"/>
      <c r="H425" s="30" t="n"/>
      <c r="I425" s="31" t="n"/>
      <c r="J425" s="30" t="n"/>
      <c r="K425" s="30" t="n"/>
      <c r="L425" s="30" t="n"/>
      <c r="M425" s="30" t="n"/>
      <c r="N425" s="32" t="n"/>
      <c r="O425" s="30" t="n"/>
      <c r="P425" s="32" t="n"/>
      <c r="Q425" s="30" t="n"/>
      <c r="R425" s="32" t="n"/>
      <c r="S425" s="30" t="n"/>
      <c r="T425" s="30" t="n"/>
      <c r="U425" s="30" t="n"/>
      <c r="V425" s="30" t="n"/>
      <c r="W425" s="29">
        <f>IF(H425="","",IF(H425="Kenya","Yes","No"))</f>
        <v/>
      </c>
      <c r="X425" s="29">
        <f>IF(B425="","",IF(COUNTIF($B$5:$B$3004,B425)&gt;1,"DUPLICATE","OK"))</f>
        <v/>
      </c>
      <c r="Y425" s="29">
        <f>IF(OR(U425="",V425="",V425="Excluded"),"",IF(COUNTIFS($U$5:$U$3004,U425,$V$5:$V$3004,"&lt;&gt;"&amp;V425,$V$5:$V$3004,"&lt;&gt;",$V$5:$V$3004,"&lt;&gt;Excluded")&gt;0,"LEAK RISK","OK"))</f>
        <v/>
      </c>
      <c r="Z425" s="30" t="n"/>
    </row>
    <row r="426">
      <c r="A426" s="30" t="n"/>
      <c r="B426" s="30" t="n"/>
      <c r="C426" s="30" t="n"/>
      <c r="D426" s="30" t="n"/>
      <c r="E426" s="30" t="n"/>
      <c r="F426" s="30" t="n"/>
      <c r="G426" s="30" t="n"/>
      <c r="H426" s="30" t="n"/>
      <c r="I426" s="31" t="n"/>
      <c r="J426" s="30" t="n"/>
      <c r="K426" s="30" t="n"/>
      <c r="L426" s="30" t="n"/>
      <c r="M426" s="30" t="n"/>
      <c r="N426" s="32" t="n"/>
      <c r="O426" s="30" t="n"/>
      <c r="P426" s="32" t="n"/>
      <c r="Q426" s="30" t="n"/>
      <c r="R426" s="32" t="n"/>
      <c r="S426" s="30" t="n"/>
      <c r="T426" s="30" t="n"/>
      <c r="U426" s="30" t="n"/>
      <c r="V426" s="30" t="n"/>
      <c r="W426" s="29">
        <f>IF(H426="","",IF(H426="Kenya","Yes","No"))</f>
        <v/>
      </c>
      <c r="X426" s="29">
        <f>IF(B426="","",IF(COUNTIF($B$5:$B$3004,B426)&gt;1,"DUPLICATE","OK"))</f>
        <v/>
      </c>
      <c r="Y426" s="29">
        <f>IF(OR(U426="",V426="",V426="Excluded"),"",IF(COUNTIFS($U$5:$U$3004,U426,$V$5:$V$3004,"&lt;&gt;"&amp;V426,$V$5:$V$3004,"&lt;&gt;",$V$5:$V$3004,"&lt;&gt;Excluded")&gt;0,"LEAK RISK","OK"))</f>
        <v/>
      </c>
      <c r="Z426" s="30" t="n"/>
    </row>
    <row r="427">
      <c r="A427" s="30" t="n"/>
      <c r="B427" s="30" t="n"/>
      <c r="C427" s="30" t="n"/>
      <c r="D427" s="30" t="n"/>
      <c r="E427" s="30" t="n"/>
      <c r="F427" s="30" t="n"/>
      <c r="G427" s="30" t="n"/>
      <c r="H427" s="30" t="n"/>
      <c r="I427" s="31" t="n"/>
      <c r="J427" s="30" t="n"/>
      <c r="K427" s="30" t="n"/>
      <c r="L427" s="30" t="n"/>
      <c r="M427" s="30" t="n"/>
      <c r="N427" s="32" t="n"/>
      <c r="O427" s="30" t="n"/>
      <c r="P427" s="32" t="n"/>
      <c r="Q427" s="30" t="n"/>
      <c r="R427" s="32" t="n"/>
      <c r="S427" s="30" t="n"/>
      <c r="T427" s="30" t="n"/>
      <c r="U427" s="30" t="n"/>
      <c r="V427" s="30" t="n"/>
      <c r="W427" s="29">
        <f>IF(H427="","",IF(H427="Kenya","Yes","No"))</f>
        <v/>
      </c>
      <c r="X427" s="29">
        <f>IF(B427="","",IF(COUNTIF($B$5:$B$3004,B427)&gt;1,"DUPLICATE","OK"))</f>
        <v/>
      </c>
      <c r="Y427" s="29">
        <f>IF(OR(U427="",V427="",V427="Excluded"),"",IF(COUNTIFS($U$5:$U$3004,U427,$V$5:$V$3004,"&lt;&gt;"&amp;V427,$V$5:$V$3004,"&lt;&gt;",$V$5:$V$3004,"&lt;&gt;Excluded")&gt;0,"LEAK RISK","OK"))</f>
        <v/>
      </c>
      <c r="Z427" s="30" t="n"/>
    </row>
    <row r="428">
      <c r="A428" s="30" t="n"/>
      <c r="B428" s="30" t="n"/>
      <c r="C428" s="30" t="n"/>
      <c r="D428" s="30" t="n"/>
      <c r="E428" s="30" t="n"/>
      <c r="F428" s="30" t="n"/>
      <c r="G428" s="30" t="n"/>
      <c r="H428" s="30" t="n"/>
      <c r="I428" s="31" t="n"/>
      <c r="J428" s="30" t="n"/>
      <c r="K428" s="30" t="n"/>
      <c r="L428" s="30" t="n"/>
      <c r="M428" s="30" t="n"/>
      <c r="N428" s="32" t="n"/>
      <c r="O428" s="30" t="n"/>
      <c r="P428" s="32" t="n"/>
      <c r="Q428" s="30" t="n"/>
      <c r="R428" s="32" t="n"/>
      <c r="S428" s="30" t="n"/>
      <c r="T428" s="30" t="n"/>
      <c r="U428" s="30" t="n"/>
      <c r="V428" s="30" t="n"/>
      <c r="W428" s="29">
        <f>IF(H428="","",IF(H428="Kenya","Yes","No"))</f>
        <v/>
      </c>
      <c r="X428" s="29">
        <f>IF(B428="","",IF(COUNTIF($B$5:$B$3004,B428)&gt;1,"DUPLICATE","OK"))</f>
        <v/>
      </c>
      <c r="Y428" s="29">
        <f>IF(OR(U428="",V428="",V428="Excluded"),"",IF(COUNTIFS($U$5:$U$3004,U428,$V$5:$V$3004,"&lt;&gt;"&amp;V428,$V$5:$V$3004,"&lt;&gt;",$V$5:$V$3004,"&lt;&gt;Excluded")&gt;0,"LEAK RISK","OK"))</f>
        <v/>
      </c>
      <c r="Z428" s="30" t="n"/>
    </row>
    <row r="429">
      <c r="A429" s="30" t="n"/>
      <c r="B429" s="30" t="n"/>
      <c r="C429" s="30" t="n"/>
      <c r="D429" s="30" t="n"/>
      <c r="E429" s="30" t="n"/>
      <c r="F429" s="30" t="n"/>
      <c r="G429" s="30" t="n"/>
      <c r="H429" s="30" t="n"/>
      <c r="I429" s="31" t="n"/>
      <c r="J429" s="30" t="n"/>
      <c r="K429" s="30" t="n"/>
      <c r="L429" s="30" t="n"/>
      <c r="M429" s="30" t="n"/>
      <c r="N429" s="32" t="n"/>
      <c r="O429" s="30" t="n"/>
      <c r="P429" s="32" t="n"/>
      <c r="Q429" s="30" t="n"/>
      <c r="R429" s="32" t="n"/>
      <c r="S429" s="30" t="n"/>
      <c r="T429" s="30" t="n"/>
      <c r="U429" s="30" t="n"/>
      <c r="V429" s="30" t="n"/>
      <c r="W429" s="29">
        <f>IF(H429="","",IF(H429="Kenya","Yes","No"))</f>
        <v/>
      </c>
      <c r="X429" s="29">
        <f>IF(B429="","",IF(COUNTIF($B$5:$B$3004,B429)&gt;1,"DUPLICATE","OK"))</f>
        <v/>
      </c>
      <c r="Y429" s="29">
        <f>IF(OR(U429="",V429="",V429="Excluded"),"",IF(COUNTIFS($U$5:$U$3004,U429,$V$5:$V$3004,"&lt;&gt;"&amp;V429,$V$5:$V$3004,"&lt;&gt;",$V$5:$V$3004,"&lt;&gt;Excluded")&gt;0,"LEAK RISK","OK"))</f>
        <v/>
      </c>
      <c r="Z429" s="30" t="n"/>
    </row>
    <row r="430">
      <c r="A430" s="30" t="n"/>
      <c r="B430" s="30" t="n"/>
      <c r="C430" s="30" t="n"/>
      <c r="D430" s="30" t="n"/>
      <c r="E430" s="30" t="n"/>
      <c r="F430" s="30" t="n"/>
      <c r="G430" s="30" t="n"/>
      <c r="H430" s="30" t="n"/>
      <c r="I430" s="31" t="n"/>
      <c r="J430" s="30" t="n"/>
      <c r="K430" s="30" t="n"/>
      <c r="L430" s="30" t="n"/>
      <c r="M430" s="30" t="n"/>
      <c r="N430" s="32" t="n"/>
      <c r="O430" s="30" t="n"/>
      <c r="P430" s="32" t="n"/>
      <c r="Q430" s="30" t="n"/>
      <c r="R430" s="32" t="n"/>
      <c r="S430" s="30" t="n"/>
      <c r="T430" s="30" t="n"/>
      <c r="U430" s="30" t="n"/>
      <c r="V430" s="30" t="n"/>
      <c r="W430" s="29">
        <f>IF(H430="","",IF(H430="Kenya","Yes","No"))</f>
        <v/>
      </c>
      <c r="X430" s="29">
        <f>IF(B430="","",IF(COUNTIF($B$5:$B$3004,B430)&gt;1,"DUPLICATE","OK"))</f>
        <v/>
      </c>
      <c r="Y430" s="29">
        <f>IF(OR(U430="",V430="",V430="Excluded"),"",IF(COUNTIFS($U$5:$U$3004,U430,$V$5:$V$3004,"&lt;&gt;"&amp;V430,$V$5:$V$3004,"&lt;&gt;",$V$5:$V$3004,"&lt;&gt;Excluded")&gt;0,"LEAK RISK","OK"))</f>
        <v/>
      </c>
      <c r="Z430" s="30" t="n"/>
    </row>
    <row r="431">
      <c r="A431" s="30" t="n"/>
      <c r="B431" s="30" t="n"/>
      <c r="C431" s="30" t="n"/>
      <c r="D431" s="30" t="n"/>
      <c r="E431" s="30" t="n"/>
      <c r="F431" s="30" t="n"/>
      <c r="G431" s="30" t="n"/>
      <c r="H431" s="30" t="n"/>
      <c r="I431" s="31" t="n"/>
      <c r="J431" s="30" t="n"/>
      <c r="K431" s="30" t="n"/>
      <c r="L431" s="30" t="n"/>
      <c r="M431" s="30" t="n"/>
      <c r="N431" s="32" t="n"/>
      <c r="O431" s="30" t="n"/>
      <c r="P431" s="32" t="n"/>
      <c r="Q431" s="30" t="n"/>
      <c r="R431" s="32" t="n"/>
      <c r="S431" s="30" t="n"/>
      <c r="T431" s="30" t="n"/>
      <c r="U431" s="30" t="n"/>
      <c r="V431" s="30" t="n"/>
      <c r="W431" s="29">
        <f>IF(H431="","",IF(H431="Kenya","Yes","No"))</f>
        <v/>
      </c>
      <c r="X431" s="29">
        <f>IF(B431="","",IF(COUNTIF($B$5:$B$3004,B431)&gt;1,"DUPLICATE","OK"))</f>
        <v/>
      </c>
      <c r="Y431" s="29">
        <f>IF(OR(U431="",V431="",V431="Excluded"),"",IF(COUNTIFS($U$5:$U$3004,U431,$V$5:$V$3004,"&lt;&gt;"&amp;V431,$V$5:$V$3004,"&lt;&gt;",$V$5:$V$3004,"&lt;&gt;Excluded")&gt;0,"LEAK RISK","OK"))</f>
        <v/>
      </c>
      <c r="Z431" s="30" t="n"/>
    </row>
    <row r="432">
      <c r="A432" s="30" t="n"/>
      <c r="B432" s="30" t="n"/>
      <c r="C432" s="30" t="n"/>
      <c r="D432" s="30" t="n"/>
      <c r="E432" s="30" t="n"/>
      <c r="F432" s="30" t="n"/>
      <c r="G432" s="30" t="n"/>
      <c r="H432" s="30" t="n"/>
      <c r="I432" s="31" t="n"/>
      <c r="J432" s="30" t="n"/>
      <c r="K432" s="30" t="n"/>
      <c r="L432" s="30" t="n"/>
      <c r="M432" s="30" t="n"/>
      <c r="N432" s="32" t="n"/>
      <c r="O432" s="30" t="n"/>
      <c r="P432" s="32" t="n"/>
      <c r="Q432" s="30" t="n"/>
      <c r="R432" s="32" t="n"/>
      <c r="S432" s="30" t="n"/>
      <c r="T432" s="30" t="n"/>
      <c r="U432" s="30" t="n"/>
      <c r="V432" s="30" t="n"/>
      <c r="W432" s="29">
        <f>IF(H432="","",IF(H432="Kenya","Yes","No"))</f>
        <v/>
      </c>
      <c r="X432" s="29">
        <f>IF(B432="","",IF(COUNTIF($B$5:$B$3004,B432)&gt;1,"DUPLICATE","OK"))</f>
        <v/>
      </c>
      <c r="Y432" s="29">
        <f>IF(OR(U432="",V432="",V432="Excluded"),"",IF(COUNTIFS($U$5:$U$3004,U432,$V$5:$V$3004,"&lt;&gt;"&amp;V432,$V$5:$V$3004,"&lt;&gt;",$V$5:$V$3004,"&lt;&gt;Excluded")&gt;0,"LEAK RISK","OK"))</f>
        <v/>
      </c>
      <c r="Z432" s="30" t="n"/>
    </row>
    <row r="433">
      <c r="A433" s="30" t="n"/>
      <c r="B433" s="30" t="n"/>
      <c r="C433" s="30" t="n"/>
      <c r="D433" s="30" t="n"/>
      <c r="E433" s="30" t="n"/>
      <c r="F433" s="30" t="n"/>
      <c r="G433" s="30" t="n"/>
      <c r="H433" s="30" t="n"/>
      <c r="I433" s="31" t="n"/>
      <c r="J433" s="30" t="n"/>
      <c r="K433" s="30" t="n"/>
      <c r="L433" s="30" t="n"/>
      <c r="M433" s="30" t="n"/>
      <c r="N433" s="32" t="n"/>
      <c r="O433" s="30" t="n"/>
      <c r="P433" s="32" t="n"/>
      <c r="Q433" s="30" t="n"/>
      <c r="R433" s="32" t="n"/>
      <c r="S433" s="30" t="n"/>
      <c r="T433" s="30" t="n"/>
      <c r="U433" s="30" t="n"/>
      <c r="V433" s="30" t="n"/>
      <c r="W433" s="29">
        <f>IF(H433="","",IF(H433="Kenya","Yes","No"))</f>
        <v/>
      </c>
      <c r="X433" s="29">
        <f>IF(B433="","",IF(COUNTIF($B$5:$B$3004,B433)&gt;1,"DUPLICATE","OK"))</f>
        <v/>
      </c>
      <c r="Y433" s="29">
        <f>IF(OR(U433="",V433="",V433="Excluded"),"",IF(COUNTIFS($U$5:$U$3004,U433,$V$5:$V$3004,"&lt;&gt;"&amp;V433,$V$5:$V$3004,"&lt;&gt;",$V$5:$V$3004,"&lt;&gt;Excluded")&gt;0,"LEAK RISK","OK"))</f>
        <v/>
      </c>
      <c r="Z433" s="30" t="n"/>
    </row>
    <row r="434">
      <c r="A434" s="30" t="n"/>
      <c r="B434" s="30" t="n"/>
      <c r="C434" s="30" t="n"/>
      <c r="D434" s="30" t="n"/>
      <c r="E434" s="30" t="n"/>
      <c r="F434" s="30" t="n"/>
      <c r="G434" s="30" t="n"/>
      <c r="H434" s="30" t="n"/>
      <c r="I434" s="31" t="n"/>
      <c r="J434" s="30" t="n"/>
      <c r="K434" s="30" t="n"/>
      <c r="L434" s="30" t="n"/>
      <c r="M434" s="30" t="n"/>
      <c r="N434" s="32" t="n"/>
      <c r="O434" s="30" t="n"/>
      <c r="P434" s="32" t="n"/>
      <c r="Q434" s="30" t="n"/>
      <c r="R434" s="32" t="n"/>
      <c r="S434" s="30" t="n"/>
      <c r="T434" s="30" t="n"/>
      <c r="U434" s="30" t="n"/>
      <c r="V434" s="30" t="n"/>
      <c r="W434" s="29">
        <f>IF(H434="","",IF(H434="Kenya","Yes","No"))</f>
        <v/>
      </c>
      <c r="X434" s="29">
        <f>IF(B434="","",IF(COUNTIF($B$5:$B$3004,B434)&gt;1,"DUPLICATE","OK"))</f>
        <v/>
      </c>
      <c r="Y434" s="29">
        <f>IF(OR(U434="",V434="",V434="Excluded"),"",IF(COUNTIFS($U$5:$U$3004,U434,$V$5:$V$3004,"&lt;&gt;"&amp;V434,$V$5:$V$3004,"&lt;&gt;",$V$5:$V$3004,"&lt;&gt;Excluded")&gt;0,"LEAK RISK","OK"))</f>
        <v/>
      </c>
      <c r="Z434" s="30" t="n"/>
    </row>
    <row r="435">
      <c r="A435" s="30" t="n"/>
      <c r="B435" s="30" t="n"/>
      <c r="C435" s="30" t="n"/>
      <c r="D435" s="30" t="n"/>
      <c r="E435" s="30" t="n"/>
      <c r="F435" s="30" t="n"/>
      <c r="G435" s="30" t="n"/>
      <c r="H435" s="30" t="n"/>
      <c r="I435" s="31" t="n"/>
      <c r="J435" s="30" t="n"/>
      <c r="K435" s="30" t="n"/>
      <c r="L435" s="30" t="n"/>
      <c r="M435" s="30" t="n"/>
      <c r="N435" s="32" t="n"/>
      <c r="O435" s="30" t="n"/>
      <c r="P435" s="32" t="n"/>
      <c r="Q435" s="30" t="n"/>
      <c r="R435" s="32" t="n"/>
      <c r="S435" s="30" t="n"/>
      <c r="T435" s="30" t="n"/>
      <c r="U435" s="30" t="n"/>
      <c r="V435" s="30" t="n"/>
      <c r="W435" s="29">
        <f>IF(H435="","",IF(H435="Kenya","Yes","No"))</f>
        <v/>
      </c>
      <c r="X435" s="29">
        <f>IF(B435="","",IF(COUNTIF($B$5:$B$3004,B435)&gt;1,"DUPLICATE","OK"))</f>
        <v/>
      </c>
      <c r="Y435" s="29">
        <f>IF(OR(U435="",V435="",V435="Excluded"),"",IF(COUNTIFS($U$5:$U$3004,U435,$V$5:$V$3004,"&lt;&gt;"&amp;V435,$V$5:$V$3004,"&lt;&gt;",$V$5:$V$3004,"&lt;&gt;Excluded")&gt;0,"LEAK RISK","OK"))</f>
        <v/>
      </c>
      <c r="Z435" s="30" t="n"/>
    </row>
    <row r="436">
      <c r="A436" s="30" t="n"/>
      <c r="B436" s="30" t="n"/>
      <c r="C436" s="30" t="n"/>
      <c r="D436" s="30" t="n"/>
      <c r="E436" s="30" t="n"/>
      <c r="F436" s="30" t="n"/>
      <c r="G436" s="30" t="n"/>
      <c r="H436" s="30" t="n"/>
      <c r="I436" s="31" t="n"/>
      <c r="J436" s="30" t="n"/>
      <c r="K436" s="30" t="n"/>
      <c r="L436" s="30" t="n"/>
      <c r="M436" s="30" t="n"/>
      <c r="N436" s="32" t="n"/>
      <c r="O436" s="30" t="n"/>
      <c r="P436" s="32" t="n"/>
      <c r="Q436" s="30" t="n"/>
      <c r="R436" s="32" t="n"/>
      <c r="S436" s="30" t="n"/>
      <c r="T436" s="30" t="n"/>
      <c r="U436" s="30" t="n"/>
      <c r="V436" s="30" t="n"/>
      <c r="W436" s="29">
        <f>IF(H436="","",IF(H436="Kenya","Yes","No"))</f>
        <v/>
      </c>
      <c r="X436" s="29">
        <f>IF(B436="","",IF(COUNTIF($B$5:$B$3004,B436)&gt;1,"DUPLICATE","OK"))</f>
        <v/>
      </c>
      <c r="Y436" s="29">
        <f>IF(OR(U436="",V436="",V436="Excluded"),"",IF(COUNTIFS($U$5:$U$3004,U436,$V$5:$V$3004,"&lt;&gt;"&amp;V436,$V$5:$V$3004,"&lt;&gt;",$V$5:$V$3004,"&lt;&gt;Excluded")&gt;0,"LEAK RISK","OK"))</f>
        <v/>
      </c>
      <c r="Z436" s="30" t="n"/>
    </row>
    <row r="437">
      <c r="A437" s="30" t="n"/>
      <c r="B437" s="30" t="n"/>
      <c r="C437" s="30" t="n"/>
      <c r="D437" s="30" t="n"/>
      <c r="E437" s="30" t="n"/>
      <c r="F437" s="30" t="n"/>
      <c r="G437" s="30" t="n"/>
      <c r="H437" s="30" t="n"/>
      <c r="I437" s="31" t="n"/>
      <c r="J437" s="30" t="n"/>
      <c r="K437" s="30" t="n"/>
      <c r="L437" s="30" t="n"/>
      <c r="M437" s="30" t="n"/>
      <c r="N437" s="32" t="n"/>
      <c r="O437" s="30" t="n"/>
      <c r="P437" s="32" t="n"/>
      <c r="Q437" s="30" t="n"/>
      <c r="R437" s="32" t="n"/>
      <c r="S437" s="30" t="n"/>
      <c r="T437" s="30" t="n"/>
      <c r="U437" s="30" t="n"/>
      <c r="V437" s="30" t="n"/>
      <c r="W437" s="29">
        <f>IF(H437="","",IF(H437="Kenya","Yes","No"))</f>
        <v/>
      </c>
      <c r="X437" s="29">
        <f>IF(B437="","",IF(COUNTIF($B$5:$B$3004,B437)&gt;1,"DUPLICATE","OK"))</f>
        <v/>
      </c>
      <c r="Y437" s="29">
        <f>IF(OR(U437="",V437="",V437="Excluded"),"",IF(COUNTIFS($U$5:$U$3004,U437,$V$5:$V$3004,"&lt;&gt;"&amp;V437,$V$5:$V$3004,"&lt;&gt;",$V$5:$V$3004,"&lt;&gt;Excluded")&gt;0,"LEAK RISK","OK"))</f>
        <v/>
      </c>
      <c r="Z437" s="30" t="n"/>
    </row>
    <row r="438">
      <c r="A438" s="30" t="n"/>
      <c r="B438" s="30" t="n"/>
      <c r="C438" s="30" t="n"/>
      <c r="D438" s="30" t="n"/>
      <c r="E438" s="30" t="n"/>
      <c r="F438" s="30" t="n"/>
      <c r="G438" s="30" t="n"/>
      <c r="H438" s="30" t="n"/>
      <c r="I438" s="31" t="n"/>
      <c r="J438" s="30" t="n"/>
      <c r="K438" s="30" t="n"/>
      <c r="L438" s="30" t="n"/>
      <c r="M438" s="30" t="n"/>
      <c r="N438" s="32" t="n"/>
      <c r="O438" s="30" t="n"/>
      <c r="P438" s="32" t="n"/>
      <c r="Q438" s="30" t="n"/>
      <c r="R438" s="32" t="n"/>
      <c r="S438" s="30" t="n"/>
      <c r="T438" s="30" t="n"/>
      <c r="U438" s="30" t="n"/>
      <c r="V438" s="30" t="n"/>
      <c r="W438" s="29">
        <f>IF(H438="","",IF(H438="Kenya","Yes","No"))</f>
        <v/>
      </c>
      <c r="X438" s="29">
        <f>IF(B438="","",IF(COUNTIF($B$5:$B$3004,B438)&gt;1,"DUPLICATE","OK"))</f>
        <v/>
      </c>
      <c r="Y438" s="29">
        <f>IF(OR(U438="",V438="",V438="Excluded"),"",IF(COUNTIFS($U$5:$U$3004,U438,$V$5:$V$3004,"&lt;&gt;"&amp;V438,$V$5:$V$3004,"&lt;&gt;",$V$5:$V$3004,"&lt;&gt;Excluded")&gt;0,"LEAK RISK","OK"))</f>
        <v/>
      </c>
      <c r="Z438" s="30" t="n"/>
    </row>
    <row r="439">
      <c r="A439" s="30" t="n"/>
      <c r="B439" s="30" t="n"/>
      <c r="C439" s="30" t="n"/>
      <c r="D439" s="30" t="n"/>
      <c r="E439" s="30" t="n"/>
      <c r="F439" s="30" t="n"/>
      <c r="G439" s="30" t="n"/>
      <c r="H439" s="30" t="n"/>
      <c r="I439" s="31" t="n"/>
      <c r="J439" s="30" t="n"/>
      <c r="K439" s="30" t="n"/>
      <c r="L439" s="30" t="n"/>
      <c r="M439" s="30" t="n"/>
      <c r="N439" s="32" t="n"/>
      <c r="O439" s="30" t="n"/>
      <c r="P439" s="32" t="n"/>
      <c r="Q439" s="30" t="n"/>
      <c r="R439" s="32" t="n"/>
      <c r="S439" s="30" t="n"/>
      <c r="T439" s="30" t="n"/>
      <c r="U439" s="30" t="n"/>
      <c r="V439" s="30" t="n"/>
      <c r="W439" s="29">
        <f>IF(H439="","",IF(H439="Kenya","Yes","No"))</f>
        <v/>
      </c>
      <c r="X439" s="29">
        <f>IF(B439="","",IF(COUNTIF($B$5:$B$3004,B439)&gt;1,"DUPLICATE","OK"))</f>
        <v/>
      </c>
      <c r="Y439" s="29">
        <f>IF(OR(U439="",V439="",V439="Excluded"),"",IF(COUNTIFS($U$5:$U$3004,U439,$V$5:$V$3004,"&lt;&gt;"&amp;V439,$V$5:$V$3004,"&lt;&gt;",$V$5:$V$3004,"&lt;&gt;Excluded")&gt;0,"LEAK RISK","OK"))</f>
        <v/>
      </c>
      <c r="Z439" s="30" t="n"/>
    </row>
    <row r="440">
      <c r="A440" s="30" t="n"/>
      <c r="B440" s="30" t="n"/>
      <c r="C440" s="30" t="n"/>
      <c r="D440" s="30" t="n"/>
      <c r="E440" s="30" t="n"/>
      <c r="F440" s="30" t="n"/>
      <c r="G440" s="30" t="n"/>
      <c r="H440" s="30" t="n"/>
      <c r="I440" s="31" t="n"/>
      <c r="J440" s="30" t="n"/>
      <c r="K440" s="30" t="n"/>
      <c r="L440" s="30" t="n"/>
      <c r="M440" s="30" t="n"/>
      <c r="N440" s="32" t="n"/>
      <c r="O440" s="30" t="n"/>
      <c r="P440" s="32" t="n"/>
      <c r="Q440" s="30" t="n"/>
      <c r="R440" s="32" t="n"/>
      <c r="S440" s="30" t="n"/>
      <c r="T440" s="30" t="n"/>
      <c r="U440" s="30" t="n"/>
      <c r="V440" s="30" t="n"/>
      <c r="W440" s="29">
        <f>IF(H440="","",IF(H440="Kenya","Yes","No"))</f>
        <v/>
      </c>
      <c r="X440" s="29">
        <f>IF(B440="","",IF(COUNTIF($B$5:$B$3004,B440)&gt;1,"DUPLICATE","OK"))</f>
        <v/>
      </c>
      <c r="Y440" s="29">
        <f>IF(OR(U440="",V440="",V440="Excluded"),"",IF(COUNTIFS($U$5:$U$3004,U440,$V$5:$V$3004,"&lt;&gt;"&amp;V440,$V$5:$V$3004,"&lt;&gt;",$V$5:$V$3004,"&lt;&gt;Excluded")&gt;0,"LEAK RISK","OK"))</f>
        <v/>
      </c>
      <c r="Z440" s="30" t="n"/>
    </row>
    <row r="441">
      <c r="A441" s="30" t="n"/>
      <c r="B441" s="30" t="n"/>
      <c r="C441" s="30" t="n"/>
      <c r="D441" s="30" t="n"/>
      <c r="E441" s="30" t="n"/>
      <c r="F441" s="30" t="n"/>
      <c r="G441" s="30" t="n"/>
      <c r="H441" s="30" t="n"/>
      <c r="I441" s="31" t="n"/>
      <c r="J441" s="30" t="n"/>
      <c r="K441" s="30" t="n"/>
      <c r="L441" s="30" t="n"/>
      <c r="M441" s="30" t="n"/>
      <c r="N441" s="32" t="n"/>
      <c r="O441" s="30" t="n"/>
      <c r="P441" s="32" t="n"/>
      <c r="Q441" s="30" t="n"/>
      <c r="R441" s="32" t="n"/>
      <c r="S441" s="30" t="n"/>
      <c r="T441" s="30" t="n"/>
      <c r="U441" s="30" t="n"/>
      <c r="V441" s="30" t="n"/>
      <c r="W441" s="29">
        <f>IF(H441="","",IF(H441="Kenya","Yes","No"))</f>
        <v/>
      </c>
      <c r="X441" s="29">
        <f>IF(B441="","",IF(COUNTIF($B$5:$B$3004,B441)&gt;1,"DUPLICATE","OK"))</f>
        <v/>
      </c>
      <c r="Y441" s="29">
        <f>IF(OR(U441="",V441="",V441="Excluded"),"",IF(COUNTIFS($U$5:$U$3004,U441,$V$5:$V$3004,"&lt;&gt;"&amp;V441,$V$5:$V$3004,"&lt;&gt;",$V$5:$V$3004,"&lt;&gt;Excluded")&gt;0,"LEAK RISK","OK"))</f>
        <v/>
      </c>
      <c r="Z441" s="30" t="n"/>
    </row>
    <row r="442">
      <c r="A442" s="30" t="n"/>
      <c r="B442" s="30" t="n"/>
      <c r="C442" s="30" t="n"/>
      <c r="D442" s="30" t="n"/>
      <c r="E442" s="30" t="n"/>
      <c r="F442" s="30" t="n"/>
      <c r="G442" s="30" t="n"/>
      <c r="H442" s="30" t="n"/>
      <c r="I442" s="31" t="n"/>
      <c r="J442" s="30" t="n"/>
      <c r="K442" s="30" t="n"/>
      <c r="L442" s="30" t="n"/>
      <c r="M442" s="30" t="n"/>
      <c r="N442" s="32" t="n"/>
      <c r="O442" s="30" t="n"/>
      <c r="P442" s="32" t="n"/>
      <c r="Q442" s="30" t="n"/>
      <c r="R442" s="32" t="n"/>
      <c r="S442" s="30" t="n"/>
      <c r="T442" s="30" t="n"/>
      <c r="U442" s="30" t="n"/>
      <c r="V442" s="30" t="n"/>
      <c r="W442" s="29">
        <f>IF(H442="","",IF(H442="Kenya","Yes","No"))</f>
        <v/>
      </c>
      <c r="X442" s="29">
        <f>IF(B442="","",IF(COUNTIF($B$5:$B$3004,B442)&gt;1,"DUPLICATE","OK"))</f>
        <v/>
      </c>
      <c r="Y442" s="29">
        <f>IF(OR(U442="",V442="",V442="Excluded"),"",IF(COUNTIFS($U$5:$U$3004,U442,$V$5:$V$3004,"&lt;&gt;"&amp;V442,$V$5:$V$3004,"&lt;&gt;",$V$5:$V$3004,"&lt;&gt;Excluded")&gt;0,"LEAK RISK","OK"))</f>
        <v/>
      </c>
      <c r="Z442" s="30" t="n"/>
    </row>
    <row r="443">
      <c r="A443" s="30" t="n"/>
      <c r="B443" s="30" t="n"/>
      <c r="C443" s="30" t="n"/>
      <c r="D443" s="30" t="n"/>
      <c r="E443" s="30" t="n"/>
      <c r="F443" s="30" t="n"/>
      <c r="G443" s="30" t="n"/>
      <c r="H443" s="30" t="n"/>
      <c r="I443" s="31" t="n"/>
      <c r="J443" s="30" t="n"/>
      <c r="K443" s="30" t="n"/>
      <c r="L443" s="30" t="n"/>
      <c r="M443" s="30" t="n"/>
      <c r="N443" s="32" t="n"/>
      <c r="O443" s="30" t="n"/>
      <c r="P443" s="32" t="n"/>
      <c r="Q443" s="30" t="n"/>
      <c r="R443" s="32" t="n"/>
      <c r="S443" s="30" t="n"/>
      <c r="T443" s="30" t="n"/>
      <c r="U443" s="30" t="n"/>
      <c r="V443" s="30" t="n"/>
      <c r="W443" s="29">
        <f>IF(H443="","",IF(H443="Kenya","Yes","No"))</f>
        <v/>
      </c>
      <c r="X443" s="29">
        <f>IF(B443="","",IF(COUNTIF($B$5:$B$3004,B443)&gt;1,"DUPLICATE","OK"))</f>
        <v/>
      </c>
      <c r="Y443" s="29">
        <f>IF(OR(U443="",V443="",V443="Excluded"),"",IF(COUNTIFS($U$5:$U$3004,U443,$V$5:$V$3004,"&lt;&gt;"&amp;V443,$V$5:$V$3004,"&lt;&gt;",$V$5:$V$3004,"&lt;&gt;Excluded")&gt;0,"LEAK RISK","OK"))</f>
        <v/>
      </c>
      <c r="Z443" s="30" t="n"/>
    </row>
    <row r="444">
      <c r="A444" s="30" t="n"/>
      <c r="B444" s="30" t="n"/>
      <c r="C444" s="30" t="n"/>
      <c r="D444" s="30" t="n"/>
      <c r="E444" s="30" t="n"/>
      <c r="F444" s="30" t="n"/>
      <c r="G444" s="30" t="n"/>
      <c r="H444" s="30" t="n"/>
      <c r="I444" s="31" t="n"/>
      <c r="J444" s="30" t="n"/>
      <c r="K444" s="30" t="n"/>
      <c r="L444" s="30" t="n"/>
      <c r="M444" s="30" t="n"/>
      <c r="N444" s="32" t="n"/>
      <c r="O444" s="30" t="n"/>
      <c r="P444" s="32" t="n"/>
      <c r="Q444" s="30" t="n"/>
      <c r="R444" s="32" t="n"/>
      <c r="S444" s="30" t="n"/>
      <c r="T444" s="30" t="n"/>
      <c r="U444" s="30" t="n"/>
      <c r="V444" s="30" t="n"/>
      <c r="W444" s="29">
        <f>IF(H444="","",IF(H444="Kenya","Yes","No"))</f>
        <v/>
      </c>
      <c r="X444" s="29">
        <f>IF(B444="","",IF(COUNTIF($B$5:$B$3004,B444)&gt;1,"DUPLICATE","OK"))</f>
        <v/>
      </c>
      <c r="Y444" s="29">
        <f>IF(OR(U444="",V444="",V444="Excluded"),"",IF(COUNTIFS($U$5:$U$3004,U444,$V$5:$V$3004,"&lt;&gt;"&amp;V444,$V$5:$V$3004,"&lt;&gt;",$V$5:$V$3004,"&lt;&gt;Excluded")&gt;0,"LEAK RISK","OK"))</f>
        <v/>
      </c>
      <c r="Z444" s="30" t="n"/>
    </row>
    <row r="445">
      <c r="A445" s="30" t="n"/>
      <c r="B445" s="30" t="n"/>
      <c r="C445" s="30" t="n"/>
      <c r="D445" s="30" t="n"/>
      <c r="E445" s="30" t="n"/>
      <c r="F445" s="30" t="n"/>
      <c r="G445" s="30" t="n"/>
      <c r="H445" s="30" t="n"/>
      <c r="I445" s="31" t="n"/>
      <c r="J445" s="30" t="n"/>
      <c r="K445" s="30" t="n"/>
      <c r="L445" s="30" t="n"/>
      <c r="M445" s="30" t="n"/>
      <c r="N445" s="32" t="n"/>
      <c r="O445" s="30" t="n"/>
      <c r="P445" s="32" t="n"/>
      <c r="Q445" s="30" t="n"/>
      <c r="R445" s="32" t="n"/>
      <c r="S445" s="30" t="n"/>
      <c r="T445" s="30" t="n"/>
      <c r="U445" s="30" t="n"/>
      <c r="V445" s="30" t="n"/>
      <c r="W445" s="29">
        <f>IF(H445="","",IF(H445="Kenya","Yes","No"))</f>
        <v/>
      </c>
      <c r="X445" s="29">
        <f>IF(B445="","",IF(COUNTIF($B$5:$B$3004,B445)&gt;1,"DUPLICATE","OK"))</f>
        <v/>
      </c>
      <c r="Y445" s="29">
        <f>IF(OR(U445="",V445="",V445="Excluded"),"",IF(COUNTIFS($U$5:$U$3004,U445,$V$5:$V$3004,"&lt;&gt;"&amp;V445,$V$5:$V$3004,"&lt;&gt;",$V$5:$V$3004,"&lt;&gt;Excluded")&gt;0,"LEAK RISK","OK"))</f>
        <v/>
      </c>
      <c r="Z445" s="30" t="n"/>
    </row>
    <row r="446">
      <c r="A446" s="30" t="n"/>
      <c r="B446" s="30" t="n"/>
      <c r="C446" s="30" t="n"/>
      <c r="D446" s="30" t="n"/>
      <c r="E446" s="30" t="n"/>
      <c r="F446" s="30" t="n"/>
      <c r="G446" s="30" t="n"/>
      <c r="H446" s="30" t="n"/>
      <c r="I446" s="31" t="n"/>
      <c r="J446" s="30" t="n"/>
      <c r="K446" s="30" t="n"/>
      <c r="L446" s="30" t="n"/>
      <c r="M446" s="30" t="n"/>
      <c r="N446" s="32" t="n"/>
      <c r="O446" s="30" t="n"/>
      <c r="P446" s="32" t="n"/>
      <c r="Q446" s="30" t="n"/>
      <c r="R446" s="32" t="n"/>
      <c r="S446" s="30" t="n"/>
      <c r="T446" s="30" t="n"/>
      <c r="U446" s="30" t="n"/>
      <c r="V446" s="30" t="n"/>
      <c r="W446" s="29">
        <f>IF(H446="","",IF(H446="Kenya","Yes","No"))</f>
        <v/>
      </c>
      <c r="X446" s="29">
        <f>IF(B446="","",IF(COUNTIF($B$5:$B$3004,B446)&gt;1,"DUPLICATE","OK"))</f>
        <v/>
      </c>
      <c r="Y446" s="29">
        <f>IF(OR(U446="",V446="",V446="Excluded"),"",IF(COUNTIFS($U$5:$U$3004,U446,$V$5:$V$3004,"&lt;&gt;"&amp;V446,$V$5:$V$3004,"&lt;&gt;",$V$5:$V$3004,"&lt;&gt;Excluded")&gt;0,"LEAK RISK","OK"))</f>
        <v/>
      </c>
      <c r="Z446" s="30" t="n"/>
    </row>
    <row r="447">
      <c r="A447" s="30" t="n"/>
      <c r="B447" s="30" t="n"/>
      <c r="C447" s="30" t="n"/>
      <c r="D447" s="30" t="n"/>
      <c r="E447" s="30" t="n"/>
      <c r="F447" s="30" t="n"/>
      <c r="G447" s="30" t="n"/>
      <c r="H447" s="30" t="n"/>
      <c r="I447" s="31" t="n"/>
      <c r="J447" s="30" t="n"/>
      <c r="K447" s="30" t="n"/>
      <c r="L447" s="30" t="n"/>
      <c r="M447" s="30" t="n"/>
      <c r="N447" s="32" t="n"/>
      <c r="O447" s="30" t="n"/>
      <c r="P447" s="32" t="n"/>
      <c r="Q447" s="30" t="n"/>
      <c r="R447" s="32" t="n"/>
      <c r="S447" s="30" t="n"/>
      <c r="T447" s="30" t="n"/>
      <c r="U447" s="30" t="n"/>
      <c r="V447" s="30" t="n"/>
      <c r="W447" s="29">
        <f>IF(H447="","",IF(H447="Kenya","Yes","No"))</f>
        <v/>
      </c>
      <c r="X447" s="29">
        <f>IF(B447="","",IF(COUNTIF($B$5:$B$3004,B447)&gt;1,"DUPLICATE","OK"))</f>
        <v/>
      </c>
      <c r="Y447" s="29">
        <f>IF(OR(U447="",V447="",V447="Excluded"),"",IF(COUNTIFS($U$5:$U$3004,U447,$V$5:$V$3004,"&lt;&gt;"&amp;V447,$V$5:$V$3004,"&lt;&gt;",$V$5:$V$3004,"&lt;&gt;Excluded")&gt;0,"LEAK RISK","OK"))</f>
        <v/>
      </c>
      <c r="Z447" s="30" t="n"/>
    </row>
    <row r="448">
      <c r="A448" s="30" t="n"/>
      <c r="B448" s="30" t="n"/>
      <c r="C448" s="30" t="n"/>
      <c r="D448" s="30" t="n"/>
      <c r="E448" s="30" t="n"/>
      <c r="F448" s="30" t="n"/>
      <c r="G448" s="30" t="n"/>
      <c r="H448" s="30" t="n"/>
      <c r="I448" s="31" t="n"/>
      <c r="J448" s="30" t="n"/>
      <c r="K448" s="30" t="n"/>
      <c r="L448" s="30" t="n"/>
      <c r="M448" s="30" t="n"/>
      <c r="N448" s="32" t="n"/>
      <c r="O448" s="30" t="n"/>
      <c r="P448" s="32" t="n"/>
      <c r="Q448" s="30" t="n"/>
      <c r="R448" s="32" t="n"/>
      <c r="S448" s="30" t="n"/>
      <c r="T448" s="30" t="n"/>
      <c r="U448" s="30" t="n"/>
      <c r="V448" s="30" t="n"/>
      <c r="W448" s="29">
        <f>IF(H448="","",IF(H448="Kenya","Yes","No"))</f>
        <v/>
      </c>
      <c r="X448" s="29">
        <f>IF(B448="","",IF(COUNTIF($B$5:$B$3004,B448)&gt;1,"DUPLICATE","OK"))</f>
        <v/>
      </c>
      <c r="Y448" s="29">
        <f>IF(OR(U448="",V448="",V448="Excluded"),"",IF(COUNTIFS($U$5:$U$3004,U448,$V$5:$V$3004,"&lt;&gt;"&amp;V448,$V$5:$V$3004,"&lt;&gt;",$V$5:$V$3004,"&lt;&gt;Excluded")&gt;0,"LEAK RISK","OK"))</f>
        <v/>
      </c>
      <c r="Z448" s="30" t="n"/>
    </row>
    <row r="449">
      <c r="A449" s="30" t="n"/>
      <c r="B449" s="30" t="n"/>
      <c r="C449" s="30" t="n"/>
      <c r="D449" s="30" t="n"/>
      <c r="E449" s="30" t="n"/>
      <c r="F449" s="30" t="n"/>
      <c r="G449" s="30" t="n"/>
      <c r="H449" s="30" t="n"/>
      <c r="I449" s="31" t="n"/>
      <c r="J449" s="30" t="n"/>
      <c r="K449" s="30" t="n"/>
      <c r="L449" s="30" t="n"/>
      <c r="M449" s="30" t="n"/>
      <c r="N449" s="32" t="n"/>
      <c r="O449" s="30" t="n"/>
      <c r="P449" s="32" t="n"/>
      <c r="Q449" s="30" t="n"/>
      <c r="R449" s="32" t="n"/>
      <c r="S449" s="30" t="n"/>
      <c r="T449" s="30" t="n"/>
      <c r="U449" s="30" t="n"/>
      <c r="V449" s="30" t="n"/>
      <c r="W449" s="29">
        <f>IF(H449="","",IF(H449="Kenya","Yes","No"))</f>
        <v/>
      </c>
      <c r="X449" s="29">
        <f>IF(B449="","",IF(COUNTIF($B$5:$B$3004,B449)&gt;1,"DUPLICATE","OK"))</f>
        <v/>
      </c>
      <c r="Y449" s="29">
        <f>IF(OR(U449="",V449="",V449="Excluded"),"",IF(COUNTIFS($U$5:$U$3004,U449,$V$5:$V$3004,"&lt;&gt;"&amp;V449,$V$5:$V$3004,"&lt;&gt;",$V$5:$V$3004,"&lt;&gt;Excluded")&gt;0,"LEAK RISK","OK"))</f>
        <v/>
      </c>
      <c r="Z449" s="30" t="n"/>
    </row>
    <row r="450">
      <c r="A450" s="30" t="n"/>
      <c r="B450" s="30" t="n"/>
      <c r="C450" s="30" t="n"/>
      <c r="D450" s="30" t="n"/>
      <c r="E450" s="30" t="n"/>
      <c r="F450" s="30" t="n"/>
      <c r="G450" s="30" t="n"/>
      <c r="H450" s="30" t="n"/>
      <c r="I450" s="31" t="n"/>
      <c r="J450" s="30" t="n"/>
      <c r="K450" s="30" t="n"/>
      <c r="L450" s="30" t="n"/>
      <c r="M450" s="30" t="n"/>
      <c r="N450" s="32" t="n"/>
      <c r="O450" s="30" t="n"/>
      <c r="P450" s="32" t="n"/>
      <c r="Q450" s="30" t="n"/>
      <c r="R450" s="32" t="n"/>
      <c r="S450" s="30" t="n"/>
      <c r="T450" s="30" t="n"/>
      <c r="U450" s="30" t="n"/>
      <c r="V450" s="30" t="n"/>
      <c r="W450" s="29">
        <f>IF(H450="","",IF(H450="Kenya","Yes","No"))</f>
        <v/>
      </c>
      <c r="X450" s="29">
        <f>IF(B450="","",IF(COUNTIF($B$5:$B$3004,B450)&gt;1,"DUPLICATE","OK"))</f>
        <v/>
      </c>
      <c r="Y450" s="29">
        <f>IF(OR(U450="",V450="",V450="Excluded"),"",IF(COUNTIFS($U$5:$U$3004,U450,$V$5:$V$3004,"&lt;&gt;"&amp;V450,$V$5:$V$3004,"&lt;&gt;",$V$5:$V$3004,"&lt;&gt;Excluded")&gt;0,"LEAK RISK","OK"))</f>
        <v/>
      </c>
      <c r="Z450" s="30" t="n"/>
    </row>
    <row r="451">
      <c r="A451" s="30" t="n"/>
      <c r="B451" s="30" t="n"/>
      <c r="C451" s="30" t="n"/>
      <c r="D451" s="30" t="n"/>
      <c r="E451" s="30" t="n"/>
      <c r="F451" s="30" t="n"/>
      <c r="G451" s="30" t="n"/>
      <c r="H451" s="30" t="n"/>
      <c r="I451" s="31" t="n"/>
      <c r="J451" s="30" t="n"/>
      <c r="K451" s="30" t="n"/>
      <c r="L451" s="30" t="n"/>
      <c r="M451" s="30" t="n"/>
      <c r="N451" s="32" t="n"/>
      <c r="O451" s="30" t="n"/>
      <c r="P451" s="32" t="n"/>
      <c r="Q451" s="30" t="n"/>
      <c r="R451" s="32" t="n"/>
      <c r="S451" s="30" t="n"/>
      <c r="T451" s="30" t="n"/>
      <c r="U451" s="30" t="n"/>
      <c r="V451" s="30" t="n"/>
      <c r="W451" s="29">
        <f>IF(H451="","",IF(H451="Kenya","Yes","No"))</f>
        <v/>
      </c>
      <c r="X451" s="29">
        <f>IF(B451="","",IF(COUNTIF($B$5:$B$3004,B451)&gt;1,"DUPLICATE","OK"))</f>
        <v/>
      </c>
      <c r="Y451" s="29">
        <f>IF(OR(U451="",V451="",V451="Excluded"),"",IF(COUNTIFS($U$5:$U$3004,U451,$V$5:$V$3004,"&lt;&gt;"&amp;V451,$V$5:$V$3004,"&lt;&gt;",$V$5:$V$3004,"&lt;&gt;Excluded")&gt;0,"LEAK RISK","OK"))</f>
        <v/>
      </c>
      <c r="Z451" s="30" t="n"/>
    </row>
    <row r="452">
      <c r="A452" s="30" t="n"/>
      <c r="B452" s="30" t="n"/>
      <c r="C452" s="30" t="n"/>
      <c r="D452" s="30" t="n"/>
      <c r="E452" s="30" t="n"/>
      <c r="F452" s="30" t="n"/>
      <c r="G452" s="30" t="n"/>
      <c r="H452" s="30" t="n"/>
      <c r="I452" s="31" t="n"/>
      <c r="J452" s="30" t="n"/>
      <c r="K452" s="30" t="n"/>
      <c r="L452" s="30" t="n"/>
      <c r="M452" s="30" t="n"/>
      <c r="N452" s="32" t="n"/>
      <c r="O452" s="30" t="n"/>
      <c r="P452" s="32" t="n"/>
      <c r="Q452" s="30" t="n"/>
      <c r="R452" s="32" t="n"/>
      <c r="S452" s="30" t="n"/>
      <c r="T452" s="30" t="n"/>
      <c r="U452" s="30" t="n"/>
      <c r="V452" s="30" t="n"/>
      <c r="W452" s="29">
        <f>IF(H452="","",IF(H452="Kenya","Yes","No"))</f>
        <v/>
      </c>
      <c r="X452" s="29">
        <f>IF(B452="","",IF(COUNTIF($B$5:$B$3004,B452)&gt;1,"DUPLICATE","OK"))</f>
        <v/>
      </c>
      <c r="Y452" s="29">
        <f>IF(OR(U452="",V452="",V452="Excluded"),"",IF(COUNTIFS($U$5:$U$3004,U452,$V$5:$V$3004,"&lt;&gt;"&amp;V452,$V$5:$V$3004,"&lt;&gt;",$V$5:$V$3004,"&lt;&gt;Excluded")&gt;0,"LEAK RISK","OK"))</f>
        <v/>
      </c>
      <c r="Z452" s="30" t="n"/>
    </row>
    <row r="453">
      <c r="A453" s="30" t="n"/>
      <c r="B453" s="30" t="n"/>
      <c r="C453" s="30" t="n"/>
      <c r="D453" s="30" t="n"/>
      <c r="E453" s="30" t="n"/>
      <c r="F453" s="30" t="n"/>
      <c r="G453" s="30" t="n"/>
      <c r="H453" s="30" t="n"/>
      <c r="I453" s="31" t="n"/>
      <c r="J453" s="30" t="n"/>
      <c r="K453" s="30" t="n"/>
      <c r="L453" s="30" t="n"/>
      <c r="M453" s="30" t="n"/>
      <c r="N453" s="32" t="n"/>
      <c r="O453" s="30" t="n"/>
      <c r="P453" s="32" t="n"/>
      <c r="Q453" s="30" t="n"/>
      <c r="R453" s="32" t="n"/>
      <c r="S453" s="30" t="n"/>
      <c r="T453" s="30" t="n"/>
      <c r="U453" s="30" t="n"/>
      <c r="V453" s="30" t="n"/>
      <c r="W453" s="29">
        <f>IF(H453="","",IF(H453="Kenya","Yes","No"))</f>
        <v/>
      </c>
      <c r="X453" s="29">
        <f>IF(B453="","",IF(COUNTIF($B$5:$B$3004,B453)&gt;1,"DUPLICATE","OK"))</f>
        <v/>
      </c>
      <c r="Y453" s="29">
        <f>IF(OR(U453="",V453="",V453="Excluded"),"",IF(COUNTIFS($U$5:$U$3004,U453,$V$5:$V$3004,"&lt;&gt;"&amp;V453,$V$5:$V$3004,"&lt;&gt;",$V$5:$V$3004,"&lt;&gt;Excluded")&gt;0,"LEAK RISK","OK"))</f>
        <v/>
      </c>
      <c r="Z453" s="30" t="n"/>
    </row>
    <row r="454">
      <c r="A454" s="30" t="n"/>
      <c r="B454" s="30" t="n"/>
      <c r="C454" s="30" t="n"/>
      <c r="D454" s="30" t="n"/>
      <c r="E454" s="30" t="n"/>
      <c r="F454" s="30" t="n"/>
      <c r="G454" s="30" t="n"/>
      <c r="H454" s="30" t="n"/>
      <c r="I454" s="31" t="n"/>
      <c r="J454" s="30" t="n"/>
      <c r="K454" s="30" t="n"/>
      <c r="L454" s="30" t="n"/>
      <c r="M454" s="30" t="n"/>
      <c r="N454" s="32" t="n"/>
      <c r="O454" s="30" t="n"/>
      <c r="P454" s="32" t="n"/>
      <c r="Q454" s="30" t="n"/>
      <c r="R454" s="32" t="n"/>
      <c r="S454" s="30" t="n"/>
      <c r="T454" s="30" t="n"/>
      <c r="U454" s="30" t="n"/>
      <c r="V454" s="30" t="n"/>
      <c r="W454" s="29">
        <f>IF(H454="","",IF(H454="Kenya","Yes","No"))</f>
        <v/>
      </c>
      <c r="X454" s="29">
        <f>IF(B454="","",IF(COUNTIF($B$5:$B$3004,B454)&gt;1,"DUPLICATE","OK"))</f>
        <v/>
      </c>
      <c r="Y454" s="29">
        <f>IF(OR(U454="",V454="",V454="Excluded"),"",IF(COUNTIFS($U$5:$U$3004,U454,$V$5:$V$3004,"&lt;&gt;"&amp;V454,$V$5:$V$3004,"&lt;&gt;",$V$5:$V$3004,"&lt;&gt;Excluded")&gt;0,"LEAK RISK","OK"))</f>
        <v/>
      </c>
      <c r="Z454" s="30" t="n"/>
    </row>
    <row r="455">
      <c r="A455" s="30" t="n"/>
      <c r="B455" s="30" t="n"/>
      <c r="C455" s="30" t="n"/>
      <c r="D455" s="30" t="n"/>
      <c r="E455" s="30" t="n"/>
      <c r="F455" s="30" t="n"/>
      <c r="G455" s="30" t="n"/>
      <c r="H455" s="30" t="n"/>
      <c r="I455" s="31" t="n"/>
      <c r="J455" s="30" t="n"/>
      <c r="K455" s="30" t="n"/>
      <c r="L455" s="30" t="n"/>
      <c r="M455" s="30" t="n"/>
      <c r="N455" s="32" t="n"/>
      <c r="O455" s="30" t="n"/>
      <c r="P455" s="32" t="n"/>
      <c r="Q455" s="30" t="n"/>
      <c r="R455" s="32" t="n"/>
      <c r="S455" s="30" t="n"/>
      <c r="T455" s="30" t="n"/>
      <c r="U455" s="30" t="n"/>
      <c r="V455" s="30" t="n"/>
      <c r="W455" s="29">
        <f>IF(H455="","",IF(H455="Kenya","Yes","No"))</f>
        <v/>
      </c>
      <c r="X455" s="29">
        <f>IF(B455="","",IF(COUNTIF($B$5:$B$3004,B455)&gt;1,"DUPLICATE","OK"))</f>
        <v/>
      </c>
      <c r="Y455" s="29">
        <f>IF(OR(U455="",V455="",V455="Excluded"),"",IF(COUNTIFS($U$5:$U$3004,U455,$V$5:$V$3004,"&lt;&gt;"&amp;V455,$V$5:$V$3004,"&lt;&gt;",$V$5:$V$3004,"&lt;&gt;Excluded")&gt;0,"LEAK RISK","OK"))</f>
        <v/>
      </c>
      <c r="Z455" s="30" t="n"/>
    </row>
    <row r="456">
      <c r="A456" s="30" t="n"/>
      <c r="B456" s="30" t="n"/>
      <c r="C456" s="30" t="n"/>
      <c r="D456" s="30" t="n"/>
      <c r="E456" s="30" t="n"/>
      <c r="F456" s="30" t="n"/>
      <c r="G456" s="30" t="n"/>
      <c r="H456" s="30" t="n"/>
      <c r="I456" s="31" t="n"/>
      <c r="J456" s="30" t="n"/>
      <c r="K456" s="30" t="n"/>
      <c r="L456" s="30" t="n"/>
      <c r="M456" s="30" t="n"/>
      <c r="N456" s="32" t="n"/>
      <c r="O456" s="30" t="n"/>
      <c r="P456" s="32" t="n"/>
      <c r="Q456" s="30" t="n"/>
      <c r="R456" s="32" t="n"/>
      <c r="S456" s="30" t="n"/>
      <c r="T456" s="30" t="n"/>
      <c r="U456" s="30" t="n"/>
      <c r="V456" s="30" t="n"/>
      <c r="W456" s="29">
        <f>IF(H456="","",IF(H456="Kenya","Yes","No"))</f>
        <v/>
      </c>
      <c r="X456" s="29">
        <f>IF(B456="","",IF(COUNTIF($B$5:$B$3004,B456)&gt;1,"DUPLICATE","OK"))</f>
        <v/>
      </c>
      <c r="Y456" s="29">
        <f>IF(OR(U456="",V456="",V456="Excluded"),"",IF(COUNTIFS($U$5:$U$3004,U456,$V$5:$V$3004,"&lt;&gt;"&amp;V456,$V$5:$V$3004,"&lt;&gt;",$V$5:$V$3004,"&lt;&gt;Excluded")&gt;0,"LEAK RISK","OK"))</f>
        <v/>
      </c>
      <c r="Z456" s="30" t="n"/>
    </row>
    <row r="457">
      <c r="A457" s="30" t="n"/>
      <c r="B457" s="30" t="n"/>
      <c r="C457" s="30" t="n"/>
      <c r="D457" s="30" t="n"/>
      <c r="E457" s="30" t="n"/>
      <c r="F457" s="30" t="n"/>
      <c r="G457" s="30" t="n"/>
      <c r="H457" s="30" t="n"/>
      <c r="I457" s="31" t="n"/>
      <c r="J457" s="30" t="n"/>
      <c r="K457" s="30" t="n"/>
      <c r="L457" s="30" t="n"/>
      <c r="M457" s="30" t="n"/>
      <c r="N457" s="32" t="n"/>
      <c r="O457" s="30" t="n"/>
      <c r="P457" s="32" t="n"/>
      <c r="Q457" s="30" t="n"/>
      <c r="R457" s="32" t="n"/>
      <c r="S457" s="30" t="n"/>
      <c r="T457" s="30" t="n"/>
      <c r="U457" s="30" t="n"/>
      <c r="V457" s="30" t="n"/>
      <c r="W457" s="29">
        <f>IF(H457="","",IF(H457="Kenya","Yes","No"))</f>
        <v/>
      </c>
      <c r="X457" s="29">
        <f>IF(B457="","",IF(COUNTIF($B$5:$B$3004,B457)&gt;1,"DUPLICATE","OK"))</f>
        <v/>
      </c>
      <c r="Y457" s="29">
        <f>IF(OR(U457="",V457="",V457="Excluded"),"",IF(COUNTIFS($U$5:$U$3004,U457,$V$5:$V$3004,"&lt;&gt;"&amp;V457,$V$5:$V$3004,"&lt;&gt;",$V$5:$V$3004,"&lt;&gt;Excluded")&gt;0,"LEAK RISK","OK"))</f>
        <v/>
      </c>
      <c r="Z457" s="30" t="n"/>
    </row>
    <row r="458">
      <c r="A458" s="30" t="n"/>
      <c r="B458" s="30" t="n"/>
      <c r="C458" s="30" t="n"/>
      <c r="D458" s="30" t="n"/>
      <c r="E458" s="30" t="n"/>
      <c r="F458" s="30" t="n"/>
      <c r="G458" s="30" t="n"/>
      <c r="H458" s="30" t="n"/>
      <c r="I458" s="31" t="n"/>
      <c r="J458" s="30" t="n"/>
      <c r="K458" s="30" t="n"/>
      <c r="L458" s="30" t="n"/>
      <c r="M458" s="30" t="n"/>
      <c r="N458" s="32" t="n"/>
      <c r="O458" s="30" t="n"/>
      <c r="P458" s="32" t="n"/>
      <c r="Q458" s="30" t="n"/>
      <c r="R458" s="32" t="n"/>
      <c r="S458" s="30" t="n"/>
      <c r="T458" s="30" t="n"/>
      <c r="U458" s="30" t="n"/>
      <c r="V458" s="30" t="n"/>
      <c r="W458" s="29">
        <f>IF(H458="","",IF(H458="Kenya","Yes","No"))</f>
        <v/>
      </c>
      <c r="X458" s="29">
        <f>IF(B458="","",IF(COUNTIF($B$5:$B$3004,B458)&gt;1,"DUPLICATE","OK"))</f>
        <v/>
      </c>
      <c r="Y458" s="29">
        <f>IF(OR(U458="",V458="",V458="Excluded"),"",IF(COUNTIFS($U$5:$U$3004,U458,$V$5:$V$3004,"&lt;&gt;"&amp;V458,$V$5:$V$3004,"&lt;&gt;",$V$5:$V$3004,"&lt;&gt;Excluded")&gt;0,"LEAK RISK","OK"))</f>
        <v/>
      </c>
      <c r="Z458" s="30" t="n"/>
    </row>
    <row r="459">
      <c r="A459" s="30" t="n"/>
      <c r="B459" s="30" t="n"/>
      <c r="C459" s="30" t="n"/>
      <c r="D459" s="30" t="n"/>
      <c r="E459" s="30" t="n"/>
      <c r="F459" s="30" t="n"/>
      <c r="G459" s="30" t="n"/>
      <c r="H459" s="30" t="n"/>
      <c r="I459" s="31" t="n"/>
      <c r="J459" s="30" t="n"/>
      <c r="K459" s="30" t="n"/>
      <c r="L459" s="30" t="n"/>
      <c r="M459" s="30" t="n"/>
      <c r="N459" s="32" t="n"/>
      <c r="O459" s="30" t="n"/>
      <c r="P459" s="32" t="n"/>
      <c r="Q459" s="30" t="n"/>
      <c r="R459" s="32" t="n"/>
      <c r="S459" s="30" t="n"/>
      <c r="T459" s="30" t="n"/>
      <c r="U459" s="30" t="n"/>
      <c r="V459" s="30" t="n"/>
      <c r="W459" s="29">
        <f>IF(H459="","",IF(H459="Kenya","Yes","No"))</f>
        <v/>
      </c>
      <c r="X459" s="29">
        <f>IF(B459="","",IF(COUNTIF($B$5:$B$3004,B459)&gt;1,"DUPLICATE","OK"))</f>
        <v/>
      </c>
      <c r="Y459" s="29">
        <f>IF(OR(U459="",V459="",V459="Excluded"),"",IF(COUNTIFS($U$5:$U$3004,U459,$V$5:$V$3004,"&lt;&gt;"&amp;V459,$V$5:$V$3004,"&lt;&gt;",$V$5:$V$3004,"&lt;&gt;Excluded")&gt;0,"LEAK RISK","OK"))</f>
        <v/>
      </c>
      <c r="Z459" s="30" t="n"/>
    </row>
    <row r="460">
      <c r="A460" s="30" t="n"/>
      <c r="B460" s="30" t="n"/>
      <c r="C460" s="30" t="n"/>
      <c r="D460" s="30" t="n"/>
      <c r="E460" s="30" t="n"/>
      <c r="F460" s="30" t="n"/>
      <c r="G460" s="30" t="n"/>
      <c r="H460" s="30" t="n"/>
      <c r="I460" s="31" t="n"/>
      <c r="J460" s="30" t="n"/>
      <c r="K460" s="30" t="n"/>
      <c r="L460" s="30" t="n"/>
      <c r="M460" s="30" t="n"/>
      <c r="N460" s="32" t="n"/>
      <c r="O460" s="30" t="n"/>
      <c r="P460" s="32" t="n"/>
      <c r="Q460" s="30" t="n"/>
      <c r="R460" s="32" t="n"/>
      <c r="S460" s="30" t="n"/>
      <c r="T460" s="30" t="n"/>
      <c r="U460" s="30" t="n"/>
      <c r="V460" s="30" t="n"/>
      <c r="W460" s="29">
        <f>IF(H460="","",IF(H460="Kenya","Yes","No"))</f>
        <v/>
      </c>
      <c r="X460" s="29">
        <f>IF(B460="","",IF(COUNTIF($B$5:$B$3004,B460)&gt;1,"DUPLICATE","OK"))</f>
        <v/>
      </c>
      <c r="Y460" s="29">
        <f>IF(OR(U460="",V460="",V460="Excluded"),"",IF(COUNTIFS($U$5:$U$3004,U460,$V$5:$V$3004,"&lt;&gt;"&amp;V460,$V$5:$V$3004,"&lt;&gt;",$V$5:$V$3004,"&lt;&gt;Excluded")&gt;0,"LEAK RISK","OK"))</f>
        <v/>
      </c>
      <c r="Z460" s="30" t="n"/>
    </row>
    <row r="461">
      <c r="A461" s="30" t="n"/>
      <c r="B461" s="30" t="n"/>
      <c r="C461" s="30" t="n"/>
      <c r="D461" s="30" t="n"/>
      <c r="E461" s="30" t="n"/>
      <c r="F461" s="30" t="n"/>
      <c r="G461" s="30" t="n"/>
      <c r="H461" s="30" t="n"/>
      <c r="I461" s="31" t="n"/>
      <c r="J461" s="30" t="n"/>
      <c r="K461" s="30" t="n"/>
      <c r="L461" s="30" t="n"/>
      <c r="M461" s="30" t="n"/>
      <c r="N461" s="32" t="n"/>
      <c r="O461" s="30" t="n"/>
      <c r="P461" s="32" t="n"/>
      <c r="Q461" s="30" t="n"/>
      <c r="R461" s="32" t="n"/>
      <c r="S461" s="30" t="n"/>
      <c r="T461" s="30" t="n"/>
      <c r="U461" s="30" t="n"/>
      <c r="V461" s="30" t="n"/>
      <c r="W461" s="29">
        <f>IF(H461="","",IF(H461="Kenya","Yes","No"))</f>
        <v/>
      </c>
      <c r="X461" s="29">
        <f>IF(B461="","",IF(COUNTIF($B$5:$B$3004,B461)&gt;1,"DUPLICATE","OK"))</f>
        <v/>
      </c>
      <c r="Y461" s="29">
        <f>IF(OR(U461="",V461="",V461="Excluded"),"",IF(COUNTIFS($U$5:$U$3004,U461,$V$5:$V$3004,"&lt;&gt;"&amp;V461,$V$5:$V$3004,"&lt;&gt;",$V$5:$V$3004,"&lt;&gt;Excluded")&gt;0,"LEAK RISK","OK"))</f>
        <v/>
      </c>
      <c r="Z461" s="30" t="n"/>
    </row>
    <row r="462">
      <c r="A462" s="30" t="n"/>
      <c r="B462" s="30" t="n"/>
      <c r="C462" s="30" t="n"/>
      <c r="D462" s="30" t="n"/>
      <c r="E462" s="30" t="n"/>
      <c r="F462" s="30" t="n"/>
      <c r="G462" s="30" t="n"/>
      <c r="H462" s="30" t="n"/>
      <c r="I462" s="31" t="n"/>
      <c r="J462" s="30" t="n"/>
      <c r="K462" s="30" t="n"/>
      <c r="L462" s="30" t="n"/>
      <c r="M462" s="30" t="n"/>
      <c r="N462" s="32" t="n"/>
      <c r="O462" s="30" t="n"/>
      <c r="P462" s="32" t="n"/>
      <c r="Q462" s="30" t="n"/>
      <c r="R462" s="32" t="n"/>
      <c r="S462" s="30" t="n"/>
      <c r="T462" s="30" t="n"/>
      <c r="U462" s="30" t="n"/>
      <c r="V462" s="30" t="n"/>
      <c r="W462" s="29">
        <f>IF(H462="","",IF(H462="Kenya","Yes","No"))</f>
        <v/>
      </c>
      <c r="X462" s="29">
        <f>IF(B462="","",IF(COUNTIF($B$5:$B$3004,B462)&gt;1,"DUPLICATE","OK"))</f>
        <v/>
      </c>
      <c r="Y462" s="29">
        <f>IF(OR(U462="",V462="",V462="Excluded"),"",IF(COUNTIFS($U$5:$U$3004,U462,$V$5:$V$3004,"&lt;&gt;"&amp;V462,$V$5:$V$3004,"&lt;&gt;",$V$5:$V$3004,"&lt;&gt;Excluded")&gt;0,"LEAK RISK","OK"))</f>
        <v/>
      </c>
      <c r="Z462" s="30" t="n"/>
    </row>
    <row r="463">
      <c r="A463" s="30" t="n"/>
      <c r="B463" s="30" t="n"/>
      <c r="C463" s="30" t="n"/>
      <c r="D463" s="30" t="n"/>
      <c r="E463" s="30" t="n"/>
      <c r="F463" s="30" t="n"/>
      <c r="G463" s="30" t="n"/>
      <c r="H463" s="30" t="n"/>
      <c r="I463" s="31" t="n"/>
      <c r="J463" s="30" t="n"/>
      <c r="K463" s="30" t="n"/>
      <c r="L463" s="30" t="n"/>
      <c r="M463" s="30" t="n"/>
      <c r="N463" s="32" t="n"/>
      <c r="O463" s="30" t="n"/>
      <c r="P463" s="32" t="n"/>
      <c r="Q463" s="30" t="n"/>
      <c r="R463" s="32" t="n"/>
      <c r="S463" s="30" t="n"/>
      <c r="T463" s="30" t="n"/>
      <c r="U463" s="30" t="n"/>
      <c r="V463" s="30" t="n"/>
      <c r="W463" s="29">
        <f>IF(H463="","",IF(H463="Kenya","Yes","No"))</f>
        <v/>
      </c>
      <c r="X463" s="29">
        <f>IF(B463="","",IF(COUNTIF($B$5:$B$3004,B463)&gt;1,"DUPLICATE","OK"))</f>
        <v/>
      </c>
      <c r="Y463" s="29">
        <f>IF(OR(U463="",V463="",V463="Excluded"),"",IF(COUNTIFS($U$5:$U$3004,U463,$V$5:$V$3004,"&lt;&gt;"&amp;V463,$V$5:$V$3004,"&lt;&gt;",$V$5:$V$3004,"&lt;&gt;Excluded")&gt;0,"LEAK RISK","OK"))</f>
        <v/>
      </c>
      <c r="Z463" s="30" t="n"/>
    </row>
    <row r="464">
      <c r="A464" s="30" t="n"/>
      <c r="B464" s="30" t="n"/>
      <c r="C464" s="30" t="n"/>
      <c r="D464" s="30" t="n"/>
      <c r="E464" s="30" t="n"/>
      <c r="F464" s="30" t="n"/>
      <c r="G464" s="30" t="n"/>
      <c r="H464" s="30" t="n"/>
      <c r="I464" s="31" t="n"/>
      <c r="J464" s="30" t="n"/>
      <c r="K464" s="30" t="n"/>
      <c r="L464" s="30" t="n"/>
      <c r="M464" s="30" t="n"/>
      <c r="N464" s="32" t="n"/>
      <c r="O464" s="30" t="n"/>
      <c r="P464" s="32" t="n"/>
      <c r="Q464" s="30" t="n"/>
      <c r="R464" s="32" t="n"/>
      <c r="S464" s="30" t="n"/>
      <c r="T464" s="30" t="n"/>
      <c r="U464" s="30" t="n"/>
      <c r="V464" s="30" t="n"/>
      <c r="W464" s="29">
        <f>IF(H464="","",IF(H464="Kenya","Yes","No"))</f>
        <v/>
      </c>
      <c r="X464" s="29">
        <f>IF(B464="","",IF(COUNTIF($B$5:$B$3004,B464)&gt;1,"DUPLICATE","OK"))</f>
        <v/>
      </c>
      <c r="Y464" s="29">
        <f>IF(OR(U464="",V464="",V464="Excluded"),"",IF(COUNTIFS($U$5:$U$3004,U464,$V$5:$V$3004,"&lt;&gt;"&amp;V464,$V$5:$V$3004,"&lt;&gt;",$V$5:$V$3004,"&lt;&gt;Excluded")&gt;0,"LEAK RISK","OK"))</f>
        <v/>
      </c>
      <c r="Z464" s="30" t="n"/>
    </row>
    <row r="465">
      <c r="A465" s="30" t="n"/>
      <c r="B465" s="30" t="n"/>
      <c r="C465" s="30" t="n"/>
      <c r="D465" s="30" t="n"/>
      <c r="E465" s="30" t="n"/>
      <c r="F465" s="30" t="n"/>
      <c r="G465" s="30" t="n"/>
      <c r="H465" s="30" t="n"/>
      <c r="I465" s="31" t="n"/>
      <c r="J465" s="30" t="n"/>
      <c r="K465" s="30" t="n"/>
      <c r="L465" s="30" t="n"/>
      <c r="M465" s="30" t="n"/>
      <c r="N465" s="32" t="n"/>
      <c r="O465" s="30" t="n"/>
      <c r="P465" s="32" t="n"/>
      <c r="Q465" s="30" t="n"/>
      <c r="R465" s="32" t="n"/>
      <c r="S465" s="30" t="n"/>
      <c r="T465" s="30" t="n"/>
      <c r="U465" s="30" t="n"/>
      <c r="V465" s="30" t="n"/>
      <c r="W465" s="29">
        <f>IF(H465="","",IF(H465="Kenya","Yes","No"))</f>
        <v/>
      </c>
      <c r="X465" s="29">
        <f>IF(B465="","",IF(COUNTIF($B$5:$B$3004,B465)&gt;1,"DUPLICATE","OK"))</f>
        <v/>
      </c>
      <c r="Y465" s="29">
        <f>IF(OR(U465="",V465="",V465="Excluded"),"",IF(COUNTIFS($U$5:$U$3004,U465,$V$5:$V$3004,"&lt;&gt;"&amp;V465,$V$5:$V$3004,"&lt;&gt;",$V$5:$V$3004,"&lt;&gt;Excluded")&gt;0,"LEAK RISK","OK"))</f>
        <v/>
      </c>
      <c r="Z465" s="30" t="n"/>
    </row>
    <row r="466">
      <c r="A466" s="30" t="n"/>
      <c r="B466" s="30" t="n"/>
      <c r="C466" s="30" t="n"/>
      <c r="D466" s="30" t="n"/>
      <c r="E466" s="30" t="n"/>
      <c r="F466" s="30" t="n"/>
      <c r="G466" s="30" t="n"/>
      <c r="H466" s="30" t="n"/>
      <c r="I466" s="31" t="n"/>
      <c r="J466" s="30" t="n"/>
      <c r="K466" s="30" t="n"/>
      <c r="L466" s="30" t="n"/>
      <c r="M466" s="30" t="n"/>
      <c r="N466" s="32" t="n"/>
      <c r="O466" s="30" t="n"/>
      <c r="P466" s="32" t="n"/>
      <c r="Q466" s="30" t="n"/>
      <c r="R466" s="32" t="n"/>
      <c r="S466" s="30" t="n"/>
      <c r="T466" s="30" t="n"/>
      <c r="U466" s="30" t="n"/>
      <c r="V466" s="30" t="n"/>
      <c r="W466" s="29">
        <f>IF(H466="","",IF(H466="Kenya","Yes","No"))</f>
        <v/>
      </c>
      <c r="X466" s="29">
        <f>IF(B466="","",IF(COUNTIF($B$5:$B$3004,B466)&gt;1,"DUPLICATE","OK"))</f>
        <v/>
      </c>
      <c r="Y466" s="29">
        <f>IF(OR(U466="",V466="",V466="Excluded"),"",IF(COUNTIFS($U$5:$U$3004,U466,$V$5:$V$3004,"&lt;&gt;"&amp;V466,$V$5:$V$3004,"&lt;&gt;",$V$5:$V$3004,"&lt;&gt;Excluded")&gt;0,"LEAK RISK","OK"))</f>
        <v/>
      </c>
      <c r="Z466" s="30" t="n"/>
    </row>
    <row r="467">
      <c r="A467" s="30" t="n"/>
      <c r="B467" s="30" t="n"/>
      <c r="C467" s="30" t="n"/>
      <c r="D467" s="30" t="n"/>
      <c r="E467" s="30" t="n"/>
      <c r="F467" s="30" t="n"/>
      <c r="G467" s="30" t="n"/>
      <c r="H467" s="30" t="n"/>
      <c r="I467" s="31" t="n"/>
      <c r="J467" s="30" t="n"/>
      <c r="K467" s="30" t="n"/>
      <c r="L467" s="30" t="n"/>
      <c r="M467" s="30" t="n"/>
      <c r="N467" s="32" t="n"/>
      <c r="O467" s="30" t="n"/>
      <c r="P467" s="32" t="n"/>
      <c r="Q467" s="30" t="n"/>
      <c r="R467" s="32" t="n"/>
      <c r="S467" s="30" t="n"/>
      <c r="T467" s="30" t="n"/>
      <c r="U467" s="30" t="n"/>
      <c r="V467" s="30" t="n"/>
      <c r="W467" s="29">
        <f>IF(H467="","",IF(H467="Kenya","Yes","No"))</f>
        <v/>
      </c>
      <c r="X467" s="29">
        <f>IF(B467="","",IF(COUNTIF($B$5:$B$3004,B467)&gt;1,"DUPLICATE","OK"))</f>
        <v/>
      </c>
      <c r="Y467" s="29">
        <f>IF(OR(U467="",V467="",V467="Excluded"),"",IF(COUNTIFS($U$5:$U$3004,U467,$V$5:$V$3004,"&lt;&gt;"&amp;V467,$V$5:$V$3004,"&lt;&gt;",$V$5:$V$3004,"&lt;&gt;Excluded")&gt;0,"LEAK RISK","OK"))</f>
        <v/>
      </c>
      <c r="Z467" s="30" t="n"/>
    </row>
    <row r="468">
      <c r="A468" s="30" t="n"/>
      <c r="B468" s="30" t="n"/>
      <c r="C468" s="30" t="n"/>
      <c r="D468" s="30" t="n"/>
      <c r="E468" s="30" t="n"/>
      <c r="F468" s="30" t="n"/>
      <c r="G468" s="30" t="n"/>
      <c r="H468" s="30" t="n"/>
      <c r="I468" s="31" t="n"/>
      <c r="J468" s="30" t="n"/>
      <c r="K468" s="30" t="n"/>
      <c r="L468" s="30" t="n"/>
      <c r="M468" s="30" t="n"/>
      <c r="N468" s="32" t="n"/>
      <c r="O468" s="30" t="n"/>
      <c r="P468" s="32" t="n"/>
      <c r="Q468" s="30" t="n"/>
      <c r="R468" s="32" t="n"/>
      <c r="S468" s="30" t="n"/>
      <c r="T468" s="30" t="n"/>
      <c r="U468" s="30" t="n"/>
      <c r="V468" s="30" t="n"/>
      <c r="W468" s="29">
        <f>IF(H468="","",IF(H468="Kenya","Yes","No"))</f>
        <v/>
      </c>
      <c r="X468" s="29">
        <f>IF(B468="","",IF(COUNTIF($B$5:$B$3004,B468)&gt;1,"DUPLICATE","OK"))</f>
        <v/>
      </c>
      <c r="Y468" s="29">
        <f>IF(OR(U468="",V468="",V468="Excluded"),"",IF(COUNTIFS($U$5:$U$3004,U468,$V$5:$V$3004,"&lt;&gt;"&amp;V468,$V$5:$V$3004,"&lt;&gt;",$V$5:$V$3004,"&lt;&gt;Excluded")&gt;0,"LEAK RISK","OK"))</f>
        <v/>
      </c>
      <c r="Z468" s="30" t="n"/>
    </row>
    <row r="469">
      <c r="A469" s="30" t="n"/>
      <c r="B469" s="30" t="n"/>
      <c r="C469" s="30" t="n"/>
      <c r="D469" s="30" t="n"/>
      <c r="E469" s="30" t="n"/>
      <c r="F469" s="30" t="n"/>
      <c r="G469" s="30" t="n"/>
      <c r="H469" s="30" t="n"/>
      <c r="I469" s="31" t="n"/>
      <c r="J469" s="30" t="n"/>
      <c r="K469" s="30" t="n"/>
      <c r="L469" s="30" t="n"/>
      <c r="M469" s="30" t="n"/>
      <c r="N469" s="32" t="n"/>
      <c r="O469" s="30" t="n"/>
      <c r="P469" s="32" t="n"/>
      <c r="Q469" s="30" t="n"/>
      <c r="R469" s="32" t="n"/>
      <c r="S469" s="30" t="n"/>
      <c r="T469" s="30" t="n"/>
      <c r="U469" s="30" t="n"/>
      <c r="V469" s="30" t="n"/>
      <c r="W469" s="29">
        <f>IF(H469="","",IF(H469="Kenya","Yes","No"))</f>
        <v/>
      </c>
      <c r="X469" s="29">
        <f>IF(B469="","",IF(COUNTIF($B$5:$B$3004,B469)&gt;1,"DUPLICATE","OK"))</f>
        <v/>
      </c>
      <c r="Y469" s="29">
        <f>IF(OR(U469="",V469="",V469="Excluded"),"",IF(COUNTIFS($U$5:$U$3004,U469,$V$5:$V$3004,"&lt;&gt;"&amp;V469,$V$5:$V$3004,"&lt;&gt;",$V$5:$V$3004,"&lt;&gt;Excluded")&gt;0,"LEAK RISK","OK"))</f>
        <v/>
      </c>
      <c r="Z469" s="30" t="n"/>
    </row>
    <row r="470">
      <c r="A470" s="30" t="n"/>
      <c r="B470" s="30" t="n"/>
      <c r="C470" s="30" t="n"/>
      <c r="D470" s="30" t="n"/>
      <c r="E470" s="30" t="n"/>
      <c r="F470" s="30" t="n"/>
      <c r="G470" s="30" t="n"/>
      <c r="H470" s="30" t="n"/>
      <c r="I470" s="31" t="n"/>
      <c r="J470" s="30" t="n"/>
      <c r="K470" s="30" t="n"/>
      <c r="L470" s="30" t="n"/>
      <c r="M470" s="30" t="n"/>
      <c r="N470" s="32" t="n"/>
      <c r="O470" s="30" t="n"/>
      <c r="P470" s="32" t="n"/>
      <c r="Q470" s="30" t="n"/>
      <c r="R470" s="32" t="n"/>
      <c r="S470" s="30" t="n"/>
      <c r="T470" s="30" t="n"/>
      <c r="U470" s="30" t="n"/>
      <c r="V470" s="30" t="n"/>
      <c r="W470" s="29">
        <f>IF(H470="","",IF(H470="Kenya","Yes","No"))</f>
        <v/>
      </c>
      <c r="X470" s="29">
        <f>IF(B470="","",IF(COUNTIF($B$5:$B$3004,B470)&gt;1,"DUPLICATE","OK"))</f>
        <v/>
      </c>
      <c r="Y470" s="29">
        <f>IF(OR(U470="",V470="",V470="Excluded"),"",IF(COUNTIFS($U$5:$U$3004,U470,$V$5:$V$3004,"&lt;&gt;"&amp;V470,$V$5:$V$3004,"&lt;&gt;",$V$5:$V$3004,"&lt;&gt;Excluded")&gt;0,"LEAK RISK","OK"))</f>
        <v/>
      </c>
      <c r="Z470" s="30" t="n"/>
    </row>
    <row r="471">
      <c r="A471" s="30" t="n"/>
      <c r="B471" s="30" t="n"/>
      <c r="C471" s="30" t="n"/>
      <c r="D471" s="30" t="n"/>
      <c r="E471" s="30" t="n"/>
      <c r="F471" s="30" t="n"/>
      <c r="G471" s="30" t="n"/>
      <c r="H471" s="30" t="n"/>
      <c r="I471" s="31" t="n"/>
      <c r="J471" s="30" t="n"/>
      <c r="K471" s="30" t="n"/>
      <c r="L471" s="30" t="n"/>
      <c r="M471" s="30" t="n"/>
      <c r="N471" s="32" t="n"/>
      <c r="O471" s="30" t="n"/>
      <c r="P471" s="32" t="n"/>
      <c r="Q471" s="30" t="n"/>
      <c r="R471" s="32" t="n"/>
      <c r="S471" s="30" t="n"/>
      <c r="T471" s="30" t="n"/>
      <c r="U471" s="30" t="n"/>
      <c r="V471" s="30" t="n"/>
      <c r="W471" s="29">
        <f>IF(H471="","",IF(H471="Kenya","Yes","No"))</f>
        <v/>
      </c>
      <c r="X471" s="29">
        <f>IF(B471="","",IF(COUNTIF($B$5:$B$3004,B471)&gt;1,"DUPLICATE","OK"))</f>
        <v/>
      </c>
      <c r="Y471" s="29">
        <f>IF(OR(U471="",V471="",V471="Excluded"),"",IF(COUNTIFS($U$5:$U$3004,U471,$V$5:$V$3004,"&lt;&gt;"&amp;V471,$V$5:$V$3004,"&lt;&gt;",$V$5:$V$3004,"&lt;&gt;Excluded")&gt;0,"LEAK RISK","OK"))</f>
        <v/>
      </c>
      <c r="Z471" s="30" t="n"/>
    </row>
    <row r="472">
      <c r="A472" s="30" t="n"/>
      <c r="B472" s="30" t="n"/>
      <c r="C472" s="30" t="n"/>
      <c r="D472" s="30" t="n"/>
      <c r="E472" s="30" t="n"/>
      <c r="F472" s="30" t="n"/>
      <c r="G472" s="30" t="n"/>
      <c r="H472" s="30" t="n"/>
      <c r="I472" s="31" t="n"/>
      <c r="J472" s="30" t="n"/>
      <c r="K472" s="30" t="n"/>
      <c r="L472" s="30" t="n"/>
      <c r="M472" s="30" t="n"/>
      <c r="N472" s="32" t="n"/>
      <c r="O472" s="30" t="n"/>
      <c r="P472" s="32" t="n"/>
      <c r="Q472" s="30" t="n"/>
      <c r="R472" s="32" t="n"/>
      <c r="S472" s="30" t="n"/>
      <c r="T472" s="30" t="n"/>
      <c r="U472" s="30" t="n"/>
      <c r="V472" s="30" t="n"/>
      <c r="W472" s="29">
        <f>IF(H472="","",IF(H472="Kenya","Yes","No"))</f>
        <v/>
      </c>
      <c r="X472" s="29">
        <f>IF(B472="","",IF(COUNTIF($B$5:$B$3004,B472)&gt;1,"DUPLICATE","OK"))</f>
        <v/>
      </c>
      <c r="Y472" s="29">
        <f>IF(OR(U472="",V472="",V472="Excluded"),"",IF(COUNTIFS($U$5:$U$3004,U472,$V$5:$V$3004,"&lt;&gt;"&amp;V472,$V$5:$V$3004,"&lt;&gt;",$V$5:$V$3004,"&lt;&gt;Excluded")&gt;0,"LEAK RISK","OK"))</f>
        <v/>
      </c>
      <c r="Z472" s="30" t="n"/>
    </row>
    <row r="473">
      <c r="A473" s="30" t="n"/>
      <c r="B473" s="30" t="n"/>
      <c r="C473" s="30" t="n"/>
      <c r="D473" s="30" t="n"/>
      <c r="E473" s="30" t="n"/>
      <c r="F473" s="30" t="n"/>
      <c r="G473" s="30" t="n"/>
      <c r="H473" s="30" t="n"/>
      <c r="I473" s="31" t="n"/>
      <c r="J473" s="30" t="n"/>
      <c r="K473" s="30" t="n"/>
      <c r="L473" s="30" t="n"/>
      <c r="M473" s="30" t="n"/>
      <c r="N473" s="32" t="n"/>
      <c r="O473" s="30" t="n"/>
      <c r="P473" s="32" t="n"/>
      <c r="Q473" s="30" t="n"/>
      <c r="R473" s="32" t="n"/>
      <c r="S473" s="30" t="n"/>
      <c r="T473" s="30" t="n"/>
      <c r="U473" s="30" t="n"/>
      <c r="V473" s="30" t="n"/>
      <c r="W473" s="29">
        <f>IF(H473="","",IF(H473="Kenya","Yes","No"))</f>
        <v/>
      </c>
      <c r="X473" s="29">
        <f>IF(B473="","",IF(COUNTIF($B$5:$B$3004,B473)&gt;1,"DUPLICATE","OK"))</f>
        <v/>
      </c>
      <c r="Y473" s="29">
        <f>IF(OR(U473="",V473="",V473="Excluded"),"",IF(COUNTIFS($U$5:$U$3004,U473,$V$5:$V$3004,"&lt;&gt;"&amp;V473,$V$5:$V$3004,"&lt;&gt;",$V$5:$V$3004,"&lt;&gt;Excluded")&gt;0,"LEAK RISK","OK"))</f>
        <v/>
      </c>
      <c r="Z473" s="30" t="n"/>
    </row>
    <row r="474">
      <c r="A474" s="30" t="n"/>
      <c r="B474" s="30" t="n"/>
      <c r="C474" s="30" t="n"/>
      <c r="D474" s="30" t="n"/>
      <c r="E474" s="30" t="n"/>
      <c r="F474" s="30" t="n"/>
      <c r="G474" s="30" t="n"/>
      <c r="H474" s="30" t="n"/>
      <c r="I474" s="31" t="n"/>
      <c r="J474" s="30" t="n"/>
      <c r="K474" s="30" t="n"/>
      <c r="L474" s="30" t="n"/>
      <c r="M474" s="30" t="n"/>
      <c r="N474" s="32" t="n"/>
      <c r="O474" s="30" t="n"/>
      <c r="P474" s="32" t="n"/>
      <c r="Q474" s="30" t="n"/>
      <c r="R474" s="32" t="n"/>
      <c r="S474" s="30" t="n"/>
      <c r="T474" s="30" t="n"/>
      <c r="U474" s="30" t="n"/>
      <c r="V474" s="30" t="n"/>
      <c r="W474" s="29">
        <f>IF(H474="","",IF(H474="Kenya","Yes","No"))</f>
        <v/>
      </c>
      <c r="X474" s="29">
        <f>IF(B474="","",IF(COUNTIF($B$5:$B$3004,B474)&gt;1,"DUPLICATE","OK"))</f>
        <v/>
      </c>
      <c r="Y474" s="29">
        <f>IF(OR(U474="",V474="",V474="Excluded"),"",IF(COUNTIFS($U$5:$U$3004,U474,$V$5:$V$3004,"&lt;&gt;"&amp;V474,$V$5:$V$3004,"&lt;&gt;",$V$5:$V$3004,"&lt;&gt;Excluded")&gt;0,"LEAK RISK","OK"))</f>
        <v/>
      </c>
      <c r="Z474" s="30" t="n"/>
    </row>
    <row r="475">
      <c r="A475" s="30" t="n"/>
      <c r="B475" s="30" t="n"/>
      <c r="C475" s="30" t="n"/>
      <c r="D475" s="30" t="n"/>
      <c r="E475" s="30" t="n"/>
      <c r="F475" s="30" t="n"/>
      <c r="G475" s="30" t="n"/>
      <c r="H475" s="30" t="n"/>
      <c r="I475" s="31" t="n"/>
      <c r="J475" s="30" t="n"/>
      <c r="K475" s="30" t="n"/>
      <c r="L475" s="30" t="n"/>
      <c r="M475" s="30" t="n"/>
      <c r="N475" s="32" t="n"/>
      <c r="O475" s="30" t="n"/>
      <c r="P475" s="32" t="n"/>
      <c r="Q475" s="30" t="n"/>
      <c r="R475" s="32" t="n"/>
      <c r="S475" s="30" t="n"/>
      <c r="T475" s="30" t="n"/>
      <c r="U475" s="30" t="n"/>
      <c r="V475" s="30" t="n"/>
      <c r="W475" s="29">
        <f>IF(H475="","",IF(H475="Kenya","Yes","No"))</f>
        <v/>
      </c>
      <c r="X475" s="29">
        <f>IF(B475="","",IF(COUNTIF($B$5:$B$3004,B475)&gt;1,"DUPLICATE","OK"))</f>
        <v/>
      </c>
      <c r="Y475" s="29">
        <f>IF(OR(U475="",V475="",V475="Excluded"),"",IF(COUNTIFS($U$5:$U$3004,U475,$V$5:$V$3004,"&lt;&gt;"&amp;V475,$V$5:$V$3004,"&lt;&gt;",$V$5:$V$3004,"&lt;&gt;Excluded")&gt;0,"LEAK RISK","OK"))</f>
        <v/>
      </c>
      <c r="Z475" s="30" t="n"/>
    </row>
    <row r="476">
      <c r="A476" s="30" t="n"/>
      <c r="B476" s="30" t="n"/>
      <c r="C476" s="30" t="n"/>
      <c r="D476" s="30" t="n"/>
      <c r="E476" s="30" t="n"/>
      <c r="F476" s="30" t="n"/>
      <c r="G476" s="30" t="n"/>
      <c r="H476" s="30" t="n"/>
      <c r="I476" s="31" t="n"/>
      <c r="J476" s="30" t="n"/>
      <c r="K476" s="30" t="n"/>
      <c r="L476" s="30" t="n"/>
      <c r="M476" s="30" t="n"/>
      <c r="N476" s="32" t="n"/>
      <c r="O476" s="30" t="n"/>
      <c r="P476" s="32" t="n"/>
      <c r="Q476" s="30" t="n"/>
      <c r="R476" s="32" t="n"/>
      <c r="S476" s="30" t="n"/>
      <c r="T476" s="30" t="n"/>
      <c r="U476" s="30" t="n"/>
      <c r="V476" s="30" t="n"/>
      <c r="W476" s="29">
        <f>IF(H476="","",IF(H476="Kenya","Yes","No"))</f>
        <v/>
      </c>
      <c r="X476" s="29">
        <f>IF(B476="","",IF(COUNTIF($B$5:$B$3004,B476)&gt;1,"DUPLICATE","OK"))</f>
        <v/>
      </c>
      <c r="Y476" s="29">
        <f>IF(OR(U476="",V476="",V476="Excluded"),"",IF(COUNTIFS($U$5:$U$3004,U476,$V$5:$V$3004,"&lt;&gt;"&amp;V476,$V$5:$V$3004,"&lt;&gt;",$V$5:$V$3004,"&lt;&gt;Excluded")&gt;0,"LEAK RISK","OK"))</f>
        <v/>
      </c>
      <c r="Z476" s="30" t="n"/>
    </row>
    <row r="477">
      <c r="A477" s="30" t="n"/>
      <c r="B477" s="30" t="n"/>
      <c r="C477" s="30" t="n"/>
      <c r="D477" s="30" t="n"/>
      <c r="E477" s="30" t="n"/>
      <c r="F477" s="30" t="n"/>
      <c r="G477" s="30" t="n"/>
      <c r="H477" s="30" t="n"/>
      <c r="I477" s="31" t="n"/>
      <c r="J477" s="30" t="n"/>
      <c r="K477" s="30" t="n"/>
      <c r="L477" s="30" t="n"/>
      <c r="M477" s="30" t="n"/>
      <c r="N477" s="32" t="n"/>
      <c r="O477" s="30" t="n"/>
      <c r="P477" s="32" t="n"/>
      <c r="Q477" s="30" t="n"/>
      <c r="R477" s="32" t="n"/>
      <c r="S477" s="30" t="n"/>
      <c r="T477" s="30" t="n"/>
      <c r="U477" s="30" t="n"/>
      <c r="V477" s="30" t="n"/>
      <c r="W477" s="29">
        <f>IF(H477="","",IF(H477="Kenya","Yes","No"))</f>
        <v/>
      </c>
      <c r="X477" s="29">
        <f>IF(B477="","",IF(COUNTIF($B$5:$B$3004,B477)&gt;1,"DUPLICATE","OK"))</f>
        <v/>
      </c>
      <c r="Y477" s="29">
        <f>IF(OR(U477="",V477="",V477="Excluded"),"",IF(COUNTIFS($U$5:$U$3004,U477,$V$5:$V$3004,"&lt;&gt;"&amp;V477,$V$5:$V$3004,"&lt;&gt;",$V$5:$V$3004,"&lt;&gt;Excluded")&gt;0,"LEAK RISK","OK"))</f>
        <v/>
      </c>
      <c r="Z477" s="30" t="n"/>
    </row>
    <row r="478">
      <c r="A478" s="30" t="n"/>
      <c r="B478" s="30" t="n"/>
      <c r="C478" s="30" t="n"/>
      <c r="D478" s="30" t="n"/>
      <c r="E478" s="30" t="n"/>
      <c r="F478" s="30" t="n"/>
      <c r="G478" s="30" t="n"/>
      <c r="H478" s="30" t="n"/>
      <c r="I478" s="31" t="n"/>
      <c r="J478" s="30" t="n"/>
      <c r="K478" s="30" t="n"/>
      <c r="L478" s="30" t="n"/>
      <c r="M478" s="30" t="n"/>
      <c r="N478" s="32" t="n"/>
      <c r="O478" s="30" t="n"/>
      <c r="P478" s="32" t="n"/>
      <c r="Q478" s="30" t="n"/>
      <c r="R478" s="32" t="n"/>
      <c r="S478" s="30" t="n"/>
      <c r="T478" s="30" t="n"/>
      <c r="U478" s="30" t="n"/>
      <c r="V478" s="30" t="n"/>
      <c r="W478" s="29">
        <f>IF(H478="","",IF(H478="Kenya","Yes","No"))</f>
        <v/>
      </c>
      <c r="X478" s="29">
        <f>IF(B478="","",IF(COUNTIF($B$5:$B$3004,B478)&gt;1,"DUPLICATE","OK"))</f>
        <v/>
      </c>
      <c r="Y478" s="29">
        <f>IF(OR(U478="",V478="",V478="Excluded"),"",IF(COUNTIFS($U$5:$U$3004,U478,$V$5:$V$3004,"&lt;&gt;"&amp;V478,$V$5:$V$3004,"&lt;&gt;",$V$5:$V$3004,"&lt;&gt;Excluded")&gt;0,"LEAK RISK","OK"))</f>
        <v/>
      </c>
      <c r="Z478" s="30" t="n"/>
    </row>
    <row r="479">
      <c r="A479" s="30" t="n"/>
      <c r="B479" s="30" t="n"/>
      <c r="C479" s="30" t="n"/>
      <c r="D479" s="30" t="n"/>
      <c r="E479" s="30" t="n"/>
      <c r="F479" s="30" t="n"/>
      <c r="G479" s="30" t="n"/>
      <c r="H479" s="30" t="n"/>
      <c r="I479" s="31" t="n"/>
      <c r="J479" s="30" t="n"/>
      <c r="K479" s="30" t="n"/>
      <c r="L479" s="30" t="n"/>
      <c r="M479" s="30" t="n"/>
      <c r="N479" s="32" t="n"/>
      <c r="O479" s="30" t="n"/>
      <c r="P479" s="32" t="n"/>
      <c r="Q479" s="30" t="n"/>
      <c r="R479" s="32" t="n"/>
      <c r="S479" s="30" t="n"/>
      <c r="T479" s="30" t="n"/>
      <c r="U479" s="30" t="n"/>
      <c r="V479" s="30" t="n"/>
      <c r="W479" s="29">
        <f>IF(H479="","",IF(H479="Kenya","Yes","No"))</f>
        <v/>
      </c>
      <c r="X479" s="29">
        <f>IF(B479="","",IF(COUNTIF($B$5:$B$3004,B479)&gt;1,"DUPLICATE","OK"))</f>
        <v/>
      </c>
      <c r="Y479" s="29">
        <f>IF(OR(U479="",V479="",V479="Excluded"),"",IF(COUNTIFS($U$5:$U$3004,U479,$V$5:$V$3004,"&lt;&gt;"&amp;V479,$V$5:$V$3004,"&lt;&gt;",$V$5:$V$3004,"&lt;&gt;Excluded")&gt;0,"LEAK RISK","OK"))</f>
        <v/>
      </c>
      <c r="Z479" s="30" t="n"/>
    </row>
    <row r="480">
      <c r="A480" s="30" t="n"/>
      <c r="B480" s="30" t="n"/>
      <c r="C480" s="30" t="n"/>
      <c r="D480" s="30" t="n"/>
      <c r="E480" s="30" t="n"/>
      <c r="F480" s="30" t="n"/>
      <c r="G480" s="30" t="n"/>
      <c r="H480" s="30" t="n"/>
      <c r="I480" s="31" t="n"/>
      <c r="J480" s="30" t="n"/>
      <c r="K480" s="30" t="n"/>
      <c r="L480" s="30" t="n"/>
      <c r="M480" s="30" t="n"/>
      <c r="N480" s="32" t="n"/>
      <c r="O480" s="30" t="n"/>
      <c r="P480" s="32" t="n"/>
      <c r="Q480" s="30" t="n"/>
      <c r="R480" s="32" t="n"/>
      <c r="S480" s="30" t="n"/>
      <c r="T480" s="30" t="n"/>
      <c r="U480" s="30" t="n"/>
      <c r="V480" s="30" t="n"/>
      <c r="W480" s="29">
        <f>IF(H480="","",IF(H480="Kenya","Yes","No"))</f>
        <v/>
      </c>
      <c r="X480" s="29">
        <f>IF(B480="","",IF(COUNTIF($B$5:$B$3004,B480)&gt;1,"DUPLICATE","OK"))</f>
        <v/>
      </c>
      <c r="Y480" s="29">
        <f>IF(OR(U480="",V480="",V480="Excluded"),"",IF(COUNTIFS($U$5:$U$3004,U480,$V$5:$V$3004,"&lt;&gt;"&amp;V480,$V$5:$V$3004,"&lt;&gt;",$V$5:$V$3004,"&lt;&gt;Excluded")&gt;0,"LEAK RISK","OK"))</f>
        <v/>
      </c>
      <c r="Z480" s="30" t="n"/>
    </row>
    <row r="481">
      <c r="A481" s="30" t="n"/>
      <c r="B481" s="30" t="n"/>
      <c r="C481" s="30" t="n"/>
      <c r="D481" s="30" t="n"/>
      <c r="E481" s="30" t="n"/>
      <c r="F481" s="30" t="n"/>
      <c r="G481" s="30" t="n"/>
      <c r="H481" s="30" t="n"/>
      <c r="I481" s="31" t="n"/>
      <c r="J481" s="30" t="n"/>
      <c r="K481" s="30" t="n"/>
      <c r="L481" s="30" t="n"/>
      <c r="M481" s="30" t="n"/>
      <c r="N481" s="32" t="n"/>
      <c r="O481" s="30" t="n"/>
      <c r="P481" s="32" t="n"/>
      <c r="Q481" s="30" t="n"/>
      <c r="R481" s="32" t="n"/>
      <c r="S481" s="30" t="n"/>
      <c r="T481" s="30" t="n"/>
      <c r="U481" s="30" t="n"/>
      <c r="V481" s="30" t="n"/>
      <c r="W481" s="29">
        <f>IF(H481="","",IF(H481="Kenya","Yes","No"))</f>
        <v/>
      </c>
      <c r="X481" s="29">
        <f>IF(B481="","",IF(COUNTIF($B$5:$B$3004,B481)&gt;1,"DUPLICATE","OK"))</f>
        <v/>
      </c>
      <c r="Y481" s="29">
        <f>IF(OR(U481="",V481="",V481="Excluded"),"",IF(COUNTIFS($U$5:$U$3004,U481,$V$5:$V$3004,"&lt;&gt;"&amp;V481,$V$5:$V$3004,"&lt;&gt;",$V$5:$V$3004,"&lt;&gt;Excluded")&gt;0,"LEAK RISK","OK"))</f>
        <v/>
      </c>
      <c r="Z481" s="30" t="n"/>
    </row>
    <row r="482">
      <c r="A482" s="30" t="n"/>
      <c r="B482" s="30" t="n"/>
      <c r="C482" s="30" t="n"/>
      <c r="D482" s="30" t="n"/>
      <c r="E482" s="30" t="n"/>
      <c r="F482" s="30" t="n"/>
      <c r="G482" s="30" t="n"/>
      <c r="H482" s="30" t="n"/>
      <c r="I482" s="31" t="n"/>
      <c r="J482" s="30" t="n"/>
      <c r="K482" s="30" t="n"/>
      <c r="L482" s="30" t="n"/>
      <c r="M482" s="30" t="n"/>
      <c r="N482" s="32" t="n"/>
      <c r="O482" s="30" t="n"/>
      <c r="P482" s="32" t="n"/>
      <c r="Q482" s="30" t="n"/>
      <c r="R482" s="32" t="n"/>
      <c r="S482" s="30" t="n"/>
      <c r="T482" s="30" t="n"/>
      <c r="U482" s="30" t="n"/>
      <c r="V482" s="30" t="n"/>
      <c r="W482" s="29">
        <f>IF(H482="","",IF(H482="Kenya","Yes","No"))</f>
        <v/>
      </c>
      <c r="X482" s="29">
        <f>IF(B482="","",IF(COUNTIF($B$5:$B$3004,B482)&gt;1,"DUPLICATE","OK"))</f>
        <v/>
      </c>
      <c r="Y482" s="29">
        <f>IF(OR(U482="",V482="",V482="Excluded"),"",IF(COUNTIFS($U$5:$U$3004,U482,$V$5:$V$3004,"&lt;&gt;"&amp;V482,$V$5:$V$3004,"&lt;&gt;",$V$5:$V$3004,"&lt;&gt;Excluded")&gt;0,"LEAK RISK","OK"))</f>
        <v/>
      </c>
      <c r="Z482" s="30" t="n"/>
    </row>
    <row r="483">
      <c r="A483" s="30" t="n"/>
      <c r="B483" s="30" t="n"/>
      <c r="C483" s="30" t="n"/>
      <c r="D483" s="30" t="n"/>
      <c r="E483" s="30" t="n"/>
      <c r="F483" s="30" t="n"/>
      <c r="G483" s="30" t="n"/>
      <c r="H483" s="30" t="n"/>
      <c r="I483" s="31" t="n"/>
      <c r="J483" s="30" t="n"/>
      <c r="K483" s="30" t="n"/>
      <c r="L483" s="30" t="n"/>
      <c r="M483" s="30" t="n"/>
      <c r="N483" s="32" t="n"/>
      <c r="O483" s="30" t="n"/>
      <c r="P483" s="32" t="n"/>
      <c r="Q483" s="30" t="n"/>
      <c r="R483" s="32" t="n"/>
      <c r="S483" s="30" t="n"/>
      <c r="T483" s="30" t="n"/>
      <c r="U483" s="30" t="n"/>
      <c r="V483" s="30" t="n"/>
      <c r="W483" s="29">
        <f>IF(H483="","",IF(H483="Kenya","Yes","No"))</f>
        <v/>
      </c>
      <c r="X483" s="29">
        <f>IF(B483="","",IF(COUNTIF($B$5:$B$3004,B483)&gt;1,"DUPLICATE","OK"))</f>
        <v/>
      </c>
      <c r="Y483" s="29">
        <f>IF(OR(U483="",V483="",V483="Excluded"),"",IF(COUNTIFS($U$5:$U$3004,U483,$V$5:$V$3004,"&lt;&gt;"&amp;V483,$V$5:$V$3004,"&lt;&gt;",$V$5:$V$3004,"&lt;&gt;Excluded")&gt;0,"LEAK RISK","OK"))</f>
        <v/>
      </c>
      <c r="Z483" s="30" t="n"/>
    </row>
    <row r="484">
      <c r="A484" s="30" t="n"/>
      <c r="B484" s="30" t="n"/>
      <c r="C484" s="30" t="n"/>
      <c r="D484" s="30" t="n"/>
      <c r="E484" s="30" t="n"/>
      <c r="F484" s="30" t="n"/>
      <c r="G484" s="30" t="n"/>
      <c r="H484" s="30" t="n"/>
      <c r="I484" s="31" t="n"/>
      <c r="J484" s="30" t="n"/>
      <c r="K484" s="30" t="n"/>
      <c r="L484" s="30" t="n"/>
      <c r="M484" s="30" t="n"/>
      <c r="N484" s="32" t="n"/>
      <c r="O484" s="30" t="n"/>
      <c r="P484" s="32" t="n"/>
      <c r="Q484" s="30" t="n"/>
      <c r="R484" s="32" t="n"/>
      <c r="S484" s="30" t="n"/>
      <c r="T484" s="30" t="n"/>
      <c r="U484" s="30" t="n"/>
      <c r="V484" s="30" t="n"/>
      <c r="W484" s="29">
        <f>IF(H484="","",IF(H484="Kenya","Yes","No"))</f>
        <v/>
      </c>
      <c r="X484" s="29">
        <f>IF(B484="","",IF(COUNTIF($B$5:$B$3004,B484)&gt;1,"DUPLICATE","OK"))</f>
        <v/>
      </c>
      <c r="Y484" s="29">
        <f>IF(OR(U484="",V484="",V484="Excluded"),"",IF(COUNTIFS($U$5:$U$3004,U484,$V$5:$V$3004,"&lt;&gt;"&amp;V484,$V$5:$V$3004,"&lt;&gt;",$V$5:$V$3004,"&lt;&gt;Excluded")&gt;0,"LEAK RISK","OK"))</f>
        <v/>
      </c>
      <c r="Z484" s="30" t="n"/>
    </row>
    <row r="485">
      <c r="A485" s="30" t="n"/>
      <c r="B485" s="30" t="n"/>
      <c r="C485" s="30" t="n"/>
      <c r="D485" s="30" t="n"/>
      <c r="E485" s="30" t="n"/>
      <c r="F485" s="30" t="n"/>
      <c r="G485" s="30" t="n"/>
      <c r="H485" s="30" t="n"/>
      <c r="I485" s="31" t="n"/>
      <c r="J485" s="30" t="n"/>
      <c r="K485" s="30" t="n"/>
      <c r="L485" s="30" t="n"/>
      <c r="M485" s="30" t="n"/>
      <c r="N485" s="32" t="n"/>
      <c r="O485" s="30" t="n"/>
      <c r="P485" s="32" t="n"/>
      <c r="Q485" s="30" t="n"/>
      <c r="R485" s="32" t="n"/>
      <c r="S485" s="30" t="n"/>
      <c r="T485" s="30" t="n"/>
      <c r="U485" s="30" t="n"/>
      <c r="V485" s="30" t="n"/>
      <c r="W485" s="29">
        <f>IF(H485="","",IF(H485="Kenya","Yes","No"))</f>
        <v/>
      </c>
      <c r="X485" s="29">
        <f>IF(B485="","",IF(COUNTIF($B$5:$B$3004,B485)&gt;1,"DUPLICATE","OK"))</f>
        <v/>
      </c>
      <c r="Y485" s="29">
        <f>IF(OR(U485="",V485="",V485="Excluded"),"",IF(COUNTIFS($U$5:$U$3004,U485,$V$5:$V$3004,"&lt;&gt;"&amp;V485,$V$5:$V$3004,"&lt;&gt;",$V$5:$V$3004,"&lt;&gt;Excluded")&gt;0,"LEAK RISK","OK"))</f>
        <v/>
      </c>
      <c r="Z485" s="30" t="n"/>
    </row>
    <row r="486">
      <c r="A486" s="30" t="n"/>
      <c r="B486" s="30" t="n"/>
      <c r="C486" s="30" t="n"/>
      <c r="D486" s="30" t="n"/>
      <c r="E486" s="30" t="n"/>
      <c r="F486" s="30" t="n"/>
      <c r="G486" s="30" t="n"/>
      <c r="H486" s="30" t="n"/>
      <c r="I486" s="31" t="n"/>
      <c r="J486" s="30" t="n"/>
      <c r="K486" s="30" t="n"/>
      <c r="L486" s="30" t="n"/>
      <c r="M486" s="30" t="n"/>
      <c r="N486" s="32" t="n"/>
      <c r="O486" s="30" t="n"/>
      <c r="P486" s="32" t="n"/>
      <c r="Q486" s="30" t="n"/>
      <c r="R486" s="32" t="n"/>
      <c r="S486" s="30" t="n"/>
      <c r="T486" s="30" t="n"/>
      <c r="U486" s="30" t="n"/>
      <c r="V486" s="30" t="n"/>
      <c r="W486" s="29">
        <f>IF(H486="","",IF(H486="Kenya","Yes","No"))</f>
        <v/>
      </c>
      <c r="X486" s="29">
        <f>IF(B486="","",IF(COUNTIF($B$5:$B$3004,B486)&gt;1,"DUPLICATE","OK"))</f>
        <v/>
      </c>
      <c r="Y486" s="29">
        <f>IF(OR(U486="",V486="",V486="Excluded"),"",IF(COUNTIFS($U$5:$U$3004,U486,$V$5:$V$3004,"&lt;&gt;"&amp;V486,$V$5:$V$3004,"&lt;&gt;",$V$5:$V$3004,"&lt;&gt;Excluded")&gt;0,"LEAK RISK","OK"))</f>
        <v/>
      </c>
      <c r="Z486" s="30" t="n"/>
    </row>
    <row r="487">
      <c r="A487" s="30" t="n"/>
      <c r="B487" s="30" t="n"/>
      <c r="C487" s="30" t="n"/>
      <c r="D487" s="30" t="n"/>
      <c r="E487" s="30" t="n"/>
      <c r="F487" s="30" t="n"/>
      <c r="G487" s="30" t="n"/>
      <c r="H487" s="30" t="n"/>
      <c r="I487" s="31" t="n"/>
      <c r="J487" s="30" t="n"/>
      <c r="K487" s="30" t="n"/>
      <c r="L487" s="30" t="n"/>
      <c r="M487" s="30" t="n"/>
      <c r="N487" s="32" t="n"/>
      <c r="O487" s="30" t="n"/>
      <c r="P487" s="32" t="n"/>
      <c r="Q487" s="30" t="n"/>
      <c r="R487" s="32" t="n"/>
      <c r="S487" s="30" t="n"/>
      <c r="T487" s="30" t="n"/>
      <c r="U487" s="30" t="n"/>
      <c r="V487" s="30" t="n"/>
      <c r="W487" s="29">
        <f>IF(H487="","",IF(H487="Kenya","Yes","No"))</f>
        <v/>
      </c>
      <c r="X487" s="29">
        <f>IF(B487="","",IF(COUNTIF($B$5:$B$3004,B487)&gt;1,"DUPLICATE","OK"))</f>
        <v/>
      </c>
      <c r="Y487" s="29">
        <f>IF(OR(U487="",V487="",V487="Excluded"),"",IF(COUNTIFS($U$5:$U$3004,U487,$V$5:$V$3004,"&lt;&gt;"&amp;V487,$V$5:$V$3004,"&lt;&gt;",$V$5:$V$3004,"&lt;&gt;Excluded")&gt;0,"LEAK RISK","OK"))</f>
        <v/>
      </c>
      <c r="Z487" s="30" t="n"/>
    </row>
    <row r="488">
      <c r="A488" s="30" t="n"/>
      <c r="B488" s="30" t="n"/>
      <c r="C488" s="30" t="n"/>
      <c r="D488" s="30" t="n"/>
      <c r="E488" s="30" t="n"/>
      <c r="F488" s="30" t="n"/>
      <c r="G488" s="30" t="n"/>
      <c r="H488" s="30" t="n"/>
      <c r="I488" s="31" t="n"/>
      <c r="J488" s="30" t="n"/>
      <c r="K488" s="30" t="n"/>
      <c r="L488" s="30" t="n"/>
      <c r="M488" s="30" t="n"/>
      <c r="N488" s="32" t="n"/>
      <c r="O488" s="30" t="n"/>
      <c r="P488" s="32" t="n"/>
      <c r="Q488" s="30" t="n"/>
      <c r="R488" s="32" t="n"/>
      <c r="S488" s="30" t="n"/>
      <c r="T488" s="30" t="n"/>
      <c r="U488" s="30" t="n"/>
      <c r="V488" s="30" t="n"/>
      <c r="W488" s="29">
        <f>IF(H488="","",IF(H488="Kenya","Yes","No"))</f>
        <v/>
      </c>
      <c r="X488" s="29">
        <f>IF(B488="","",IF(COUNTIF($B$5:$B$3004,B488)&gt;1,"DUPLICATE","OK"))</f>
        <v/>
      </c>
      <c r="Y488" s="29">
        <f>IF(OR(U488="",V488="",V488="Excluded"),"",IF(COUNTIFS($U$5:$U$3004,U488,$V$5:$V$3004,"&lt;&gt;"&amp;V488,$V$5:$V$3004,"&lt;&gt;",$V$5:$V$3004,"&lt;&gt;Excluded")&gt;0,"LEAK RISK","OK"))</f>
        <v/>
      </c>
      <c r="Z488" s="30" t="n"/>
    </row>
    <row r="489">
      <c r="A489" s="30" t="n"/>
      <c r="B489" s="30" t="n"/>
      <c r="C489" s="30" t="n"/>
      <c r="D489" s="30" t="n"/>
      <c r="E489" s="30" t="n"/>
      <c r="F489" s="30" t="n"/>
      <c r="G489" s="30" t="n"/>
      <c r="H489" s="30" t="n"/>
      <c r="I489" s="31" t="n"/>
      <c r="J489" s="30" t="n"/>
      <c r="K489" s="30" t="n"/>
      <c r="L489" s="30" t="n"/>
      <c r="M489" s="30" t="n"/>
      <c r="N489" s="32" t="n"/>
      <c r="O489" s="30" t="n"/>
      <c r="P489" s="32" t="n"/>
      <c r="Q489" s="30" t="n"/>
      <c r="R489" s="32" t="n"/>
      <c r="S489" s="30" t="n"/>
      <c r="T489" s="30" t="n"/>
      <c r="U489" s="30" t="n"/>
      <c r="V489" s="30" t="n"/>
      <c r="W489" s="29">
        <f>IF(H489="","",IF(H489="Kenya","Yes","No"))</f>
        <v/>
      </c>
      <c r="X489" s="29">
        <f>IF(B489="","",IF(COUNTIF($B$5:$B$3004,B489)&gt;1,"DUPLICATE","OK"))</f>
        <v/>
      </c>
      <c r="Y489" s="29">
        <f>IF(OR(U489="",V489="",V489="Excluded"),"",IF(COUNTIFS($U$5:$U$3004,U489,$V$5:$V$3004,"&lt;&gt;"&amp;V489,$V$5:$V$3004,"&lt;&gt;",$V$5:$V$3004,"&lt;&gt;Excluded")&gt;0,"LEAK RISK","OK"))</f>
        <v/>
      </c>
      <c r="Z489" s="30" t="n"/>
    </row>
    <row r="490">
      <c r="A490" s="30" t="n"/>
      <c r="B490" s="30" t="n"/>
      <c r="C490" s="30" t="n"/>
      <c r="D490" s="30" t="n"/>
      <c r="E490" s="30" t="n"/>
      <c r="F490" s="30" t="n"/>
      <c r="G490" s="30" t="n"/>
      <c r="H490" s="30" t="n"/>
      <c r="I490" s="31" t="n"/>
      <c r="J490" s="30" t="n"/>
      <c r="K490" s="30" t="n"/>
      <c r="L490" s="30" t="n"/>
      <c r="M490" s="30" t="n"/>
      <c r="N490" s="32" t="n"/>
      <c r="O490" s="30" t="n"/>
      <c r="P490" s="32" t="n"/>
      <c r="Q490" s="30" t="n"/>
      <c r="R490" s="32" t="n"/>
      <c r="S490" s="30" t="n"/>
      <c r="T490" s="30" t="n"/>
      <c r="U490" s="30" t="n"/>
      <c r="V490" s="30" t="n"/>
      <c r="W490" s="29">
        <f>IF(H490="","",IF(H490="Kenya","Yes","No"))</f>
        <v/>
      </c>
      <c r="X490" s="29">
        <f>IF(B490="","",IF(COUNTIF($B$5:$B$3004,B490)&gt;1,"DUPLICATE","OK"))</f>
        <v/>
      </c>
      <c r="Y490" s="29">
        <f>IF(OR(U490="",V490="",V490="Excluded"),"",IF(COUNTIFS($U$5:$U$3004,U490,$V$5:$V$3004,"&lt;&gt;"&amp;V490,$V$5:$V$3004,"&lt;&gt;",$V$5:$V$3004,"&lt;&gt;Excluded")&gt;0,"LEAK RISK","OK"))</f>
        <v/>
      </c>
      <c r="Z490" s="30" t="n"/>
    </row>
    <row r="491">
      <c r="A491" s="30" t="n"/>
      <c r="B491" s="30" t="n"/>
      <c r="C491" s="30" t="n"/>
      <c r="D491" s="30" t="n"/>
      <c r="E491" s="30" t="n"/>
      <c r="F491" s="30" t="n"/>
      <c r="G491" s="30" t="n"/>
      <c r="H491" s="30" t="n"/>
      <c r="I491" s="31" t="n"/>
      <c r="J491" s="30" t="n"/>
      <c r="K491" s="30" t="n"/>
      <c r="L491" s="30" t="n"/>
      <c r="M491" s="30" t="n"/>
      <c r="N491" s="32" t="n"/>
      <c r="O491" s="30" t="n"/>
      <c r="P491" s="32" t="n"/>
      <c r="Q491" s="30" t="n"/>
      <c r="R491" s="32" t="n"/>
      <c r="S491" s="30" t="n"/>
      <c r="T491" s="30" t="n"/>
      <c r="U491" s="30" t="n"/>
      <c r="V491" s="30" t="n"/>
      <c r="W491" s="29">
        <f>IF(H491="","",IF(H491="Kenya","Yes","No"))</f>
        <v/>
      </c>
      <c r="X491" s="29">
        <f>IF(B491="","",IF(COUNTIF($B$5:$B$3004,B491)&gt;1,"DUPLICATE","OK"))</f>
        <v/>
      </c>
      <c r="Y491" s="29">
        <f>IF(OR(U491="",V491="",V491="Excluded"),"",IF(COUNTIFS($U$5:$U$3004,U491,$V$5:$V$3004,"&lt;&gt;"&amp;V491,$V$5:$V$3004,"&lt;&gt;",$V$5:$V$3004,"&lt;&gt;Excluded")&gt;0,"LEAK RISK","OK"))</f>
        <v/>
      </c>
      <c r="Z491" s="30" t="n"/>
    </row>
    <row r="492">
      <c r="A492" s="30" t="n"/>
      <c r="B492" s="30" t="n"/>
      <c r="C492" s="30" t="n"/>
      <c r="D492" s="30" t="n"/>
      <c r="E492" s="30" t="n"/>
      <c r="F492" s="30" t="n"/>
      <c r="G492" s="30" t="n"/>
      <c r="H492" s="30" t="n"/>
      <c r="I492" s="31" t="n"/>
      <c r="J492" s="30" t="n"/>
      <c r="K492" s="30" t="n"/>
      <c r="L492" s="30" t="n"/>
      <c r="M492" s="30" t="n"/>
      <c r="N492" s="32" t="n"/>
      <c r="O492" s="30" t="n"/>
      <c r="P492" s="32" t="n"/>
      <c r="Q492" s="30" t="n"/>
      <c r="R492" s="32" t="n"/>
      <c r="S492" s="30" t="n"/>
      <c r="T492" s="30" t="n"/>
      <c r="U492" s="30" t="n"/>
      <c r="V492" s="30" t="n"/>
      <c r="W492" s="29">
        <f>IF(H492="","",IF(H492="Kenya","Yes","No"))</f>
        <v/>
      </c>
      <c r="X492" s="29">
        <f>IF(B492="","",IF(COUNTIF($B$5:$B$3004,B492)&gt;1,"DUPLICATE","OK"))</f>
        <v/>
      </c>
      <c r="Y492" s="29">
        <f>IF(OR(U492="",V492="",V492="Excluded"),"",IF(COUNTIFS($U$5:$U$3004,U492,$V$5:$V$3004,"&lt;&gt;"&amp;V492,$V$5:$V$3004,"&lt;&gt;",$V$5:$V$3004,"&lt;&gt;Excluded")&gt;0,"LEAK RISK","OK"))</f>
        <v/>
      </c>
      <c r="Z492" s="30" t="n"/>
    </row>
    <row r="493">
      <c r="A493" s="30" t="n"/>
      <c r="B493" s="30" t="n"/>
      <c r="C493" s="30" t="n"/>
      <c r="D493" s="30" t="n"/>
      <c r="E493" s="30" t="n"/>
      <c r="F493" s="30" t="n"/>
      <c r="G493" s="30" t="n"/>
      <c r="H493" s="30" t="n"/>
      <c r="I493" s="31" t="n"/>
      <c r="J493" s="30" t="n"/>
      <c r="K493" s="30" t="n"/>
      <c r="L493" s="30" t="n"/>
      <c r="M493" s="30" t="n"/>
      <c r="N493" s="32" t="n"/>
      <c r="O493" s="30" t="n"/>
      <c r="P493" s="32" t="n"/>
      <c r="Q493" s="30" t="n"/>
      <c r="R493" s="32" t="n"/>
      <c r="S493" s="30" t="n"/>
      <c r="T493" s="30" t="n"/>
      <c r="U493" s="30" t="n"/>
      <c r="V493" s="30" t="n"/>
      <c r="W493" s="29">
        <f>IF(H493="","",IF(H493="Kenya","Yes","No"))</f>
        <v/>
      </c>
      <c r="X493" s="29">
        <f>IF(B493="","",IF(COUNTIF($B$5:$B$3004,B493)&gt;1,"DUPLICATE","OK"))</f>
        <v/>
      </c>
      <c r="Y493" s="29">
        <f>IF(OR(U493="",V493="",V493="Excluded"),"",IF(COUNTIFS($U$5:$U$3004,U493,$V$5:$V$3004,"&lt;&gt;"&amp;V493,$V$5:$V$3004,"&lt;&gt;",$V$5:$V$3004,"&lt;&gt;Excluded")&gt;0,"LEAK RISK","OK"))</f>
        <v/>
      </c>
      <c r="Z493" s="30" t="n"/>
    </row>
    <row r="494">
      <c r="A494" s="30" t="n"/>
      <c r="B494" s="30" t="n"/>
      <c r="C494" s="30" t="n"/>
      <c r="D494" s="30" t="n"/>
      <c r="E494" s="30" t="n"/>
      <c r="F494" s="30" t="n"/>
      <c r="G494" s="30" t="n"/>
      <c r="H494" s="30" t="n"/>
      <c r="I494" s="31" t="n"/>
      <c r="J494" s="30" t="n"/>
      <c r="K494" s="30" t="n"/>
      <c r="L494" s="30" t="n"/>
      <c r="M494" s="30" t="n"/>
      <c r="N494" s="32" t="n"/>
      <c r="O494" s="30" t="n"/>
      <c r="P494" s="32" t="n"/>
      <c r="Q494" s="30" t="n"/>
      <c r="R494" s="32" t="n"/>
      <c r="S494" s="30" t="n"/>
      <c r="T494" s="30" t="n"/>
      <c r="U494" s="30" t="n"/>
      <c r="V494" s="30" t="n"/>
      <c r="W494" s="29">
        <f>IF(H494="","",IF(H494="Kenya","Yes","No"))</f>
        <v/>
      </c>
      <c r="X494" s="29">
        <f>IF(B494="","",IF(COUNTIF($B$5:$B$3004,B494)&gt;1,"DUPLICATE","OK"))</f>
        <v/>
      </c>
      <c r="Y494" s="29">
        <f>IF(OR(U494="",V494="",V494="Excluded"),"",IF(COUNTIFS($U$5:$U$3004,U494,$V$5:$V$3004,"&lt;&gt;"&amp;V494,$V$5:$V$3004,"&lt;&gt;",$V$5:$V$3004,"&lt;&gt;Excluded")&gt;0,"LEAK RISK","OK"))</f>
        <v/>
      </c>
      <c r="Z494" s="30" t="n"/>
    </row>
    <row r="495">
      <c r="A495" s="30" t="n"/>
      <c r="B495" s="30" t="n"/>
      <c r="C495" s="30" t="n"/>
      <c r="D495" s="30" t="n"/>
      <c r="E495" s="30" t="n"/>
      <c r="F495" s="30" t="n"/>
      <c r="G495" s="30" t="n"/>
      <c r="H495" s="30" t="n"/>
      <c r="I495" s="31" t="n"/>
      <c r="J495" s="30" t="n"/>
      <c r="K495" s="30" t="n"/>
      <c r="L495" s="30" t="n"/>
      <c r="M495" s="30" t="n"/>
      <c r="N495" s="32" t="n"/>
      <c r="O495" s="30" t="n"/>
      <c r="P495" s="32" t="n"/>
      <c r="Q495" s="30" t="n"/>
      <c r="R495" s="32" t="n"/>
      <c r="S495" s="30" t="n"/>
      <c r="T495" s="30" t="n"/>
      <c r="U495" s="30" t="n"/>
      <c r="V495" s="30" t="n"/>
      <c r="W495" s="29">
        <f>IF(H495="","",IF(H495="Kenya","Yes","No"))</f>
        <v/>
      </c>
      <c r="X495" s="29">
        <f>IF(B495="","",IF(COUNTIF($B$5:$B$3004,B495)&gt;1,"DUPLICATE","OK"))</f>
        <v/>
      </c>
      <c r="Y495" s="29">
        <f>IF(OR(U495="",V495="",V495="Excluded"),"",IF(COUNTIFS($U$5:$U$3004,U495,$V$5:$V$3004,"&lt;&gt;"&amp;V495,$V$5:$V$3004,"&lt;&gt;",$V$5:$V$3004,"&lt;&gt;Excluded")&gt;0,"LEAK RISK","OK"))</f>
        <v/>
      </c>
      <c r="Z495" s="30" t="n"/>
    </row>
    <row r="496">
      <c r="A496" s="30" t="n"/>
      <c r="B496" s="30" t="n"/>
      <c r="C496" s="30" t="n"/>
      <c r="D496" s="30" t="n"/>
      <c r="E496" s="30" t="n"/>
      <c r="F496" s="30" t="n"/>
      <c r="G496" s="30" t="n"/>
      <c r="H496" s="30" t="n"/>
      <c r="I496" s="31" t="n"/>
      <c r="J496" s="30" t="n"/>
      <c r="K496" s="30" t="n"/>
      <c r="L496" s="30" t="n"/>
      <c r="M496" s="30" t="n"/>
      <c r="N496" s="32" t="n"/>
      <c r="O496" s="30" t="n"/>
      <c r="P496" s="32" t="n"/>
      <c r="Q496" s="30" t="n"/>
      <c r="R496" s="32" t="n"/>
      <c r="S496" s="30" t="n"/>
      <c r="T496" s="30" t="n"/>
      <c r="U496" s="30" t="n"/>
      <c r="V496" s="30" t="n"/>
      <c r="W496" s="29">
        <f>IF(H496="","",IF(H496="Kenya","Yes","No"))</f>
        <v/>
      </c>
      <c r="X496" s="29">
        <f>IF(B496="","",IF(COUNTIF($B$5:$B$3004,B496)&gt;1,"DUPLICATE","OK"))</f>
        <v/>
      </c>
      <c r="Y496" s="29">
        <f>IF(OR(U496="",V496="",V496="Excluded"),"",IF(COUNTIFS($U$5:$U$3004,U496,$V$5:$V$3004,"&lt;&gt;"&amp;V496,$V$5:$V$3004,"&lt;&gt;",$V$5:$V$3004,"&lt;&gt;Excluded")&gt;0,"LEAK RISK","OK"))</f>
        <v/>
      </c>
      <c r="Z496" s="30" t="n"/>
    </row>
    <row r="497">
      <c r="A497" s="30" t="n"/>
      <c r="B497" s="30" t="n"/>
      <c r="C497" s="30" t="n"/>
      <c r="D497" s="30" t="n"/>
      <c r="E497" s="30" t="n"/>
      <c r="F497" s="30" t="n"/>
      <c r="G497" s="30" t="n"/>
      <c r="H497" s="30" t="n"/>
      <c r="I497" s="31" t="n"/>
      <c r="J497" s="30" t="n"/>
      <c r="K497" s="30" t="n"/>
      <c r="L497" s="30" t="n"/>
      <c r="M497" s="30" t="n"/>
      <c r="N497" s="32" t="n"/>
      <c r="O497" s="30" t="n"/>
      <c r="P497" s="32" t="n"/>
      <c r="Q497" s="30" t="n"/>
      <c r="R497" s="32" t="n"/>
      <c r="S497" s="30" t="n"/>
      <c r="T497" s="30" t="n"/>
      <c r="U497" s="30" t="n"/>
      <c r="V497" s="30" t="n"/>
      <c r="W497" s="29">
        <f>IF(H497="","",IF(H497="Kenya","Yes","No"))</f>
        <v/>
      </c>
      <c r="X497" s="29">
        <f>IF(B497="","",IF(COUNTIF($B$5:$B$3004,B497)&gt;1,"DUPLICATE","OK"))</f>
        <v/>
      </c>
      <c r="Y497" s="29">
        <f>IF(OR(U497="",V497="",V497="Excluded"),"",IF(COUNTIFS($U$5:$U$3004,U497,$V$5:$V$3004,"&lt;&gt;"&amp;V497,$V$5:$V$3004,"&lt;&gt;",$V$5:$V$3004,"&lt;&gt;Excluded")&gt;0,"LEAK RISK","OK"))</f>
        <v/>
      </c>
      <c r="Z497" s="30" t="n"/>
    </row>
    <row r="498">
      <c r="A498" s="30" t="n"/>
      <c r="B498" s="30" t="n"/>
      <c r="C498" s="30" t="n"/>
      <c r="D498" s="30" t="n"/>
      <c r="E498" s="30" t="n"/>
      <c r="F498" s="30" t="n"/>
      <c r="G498" s="30" t="n"/>
      <c r="H498" s="30" t="n"/>
      <c r="I498" s="31" t="n"/>
      <c r="J498" s="30" t="n"/>
      <c r="K498" s="30" t="n"/>
      <c r="L498" s="30" t="n"/>
      <c r="M498" s="30" t="n"/>
      <c r="N498" s="32" t="n"/>
      <c r="O498" s="30" t="n"/>
      <c r="P498" s="32" t="n"/>
      <c r="Q498" s="30" t="n"/>
      <c r="R498" s="32" t="n"/>
      <c r="S498" s="30" t="n"/>
      <c r="T498" s="30" t="n"/>
      <c r="U498" s="30" t="n"/>
      <c r="V498" s="30" t="n"/>
      <c r="W498" s="29">
        <f>IF(H498="","",IF(H498="Kenya","Yes","No"))</f>
        <v/>
      </c>
      <c r="X498" s="29">
        <f>IF(B498="","",IF(COUNTIF($B$5:$B$3004,B498)&gt;1,"DUPLICATE","OK"))</f>
        <v/>
      </c>
      <c r="Y498" s="29">
        <f>IF(OR(U498="",V498="",V498="Excluded"),"",IF(COUNTIFS($U$5:$U$3004,U498,$V$5:$V$3004,"&lt;&gt;"&amp;V498,$V$5:$V$3004,"&lt;&gt;",$V$5:$V$3004,"&lt;&gt;Excluded")&gt;0,"LEAK RISK","OK"))</f>
        <v/>
      </c>
      <c r="Z498" s="30" t="n"/>
    </row>
    <row r="499">
      <c r="A499" s="30" t="n"/>
      <c r="B499" s="30" t="n"/>
      <c r="C499" s="30" t="n"/>
      <c r="D499" s="30" t="n"/>
      <c r="E499" s="30" t="n"/>
      <c r="F499" s="30" t="n"/>
      <c r="G499" s="30" t="n"/>
      <c r="H499" s="30" t="n"/>
      <c r="I499" s="31" t="n"/>
      <c r="J499" s="30" t="n"/>
      <c r="K499" s="30" t="n"/>
      <c r="L499" s="30" t="n"/>
      <c r="M499" s="30" t="n"/>
      <c r="N499" s="32" t="n"/>
      <c r="O499" s="30" t="n"/>
      <c r="P499" s="32" t="n"/>
      <c r="Q499" s="30" t="n"/>
      <c r="R499" s="32" t="n"/>
      <c r="S499" s="30" t="n"/>
      <c r="T499" s="30" t="n"/>
      <c r="U499" s="30" t="n"/>
      <c r="V499" s="30" t="n"/>
      <c r="W499" s="29">
        <f>IF(H499="","",IF(H499="Kenya","Yes","No"))</f>
        <v/>
      </c>
      <c r="X499" s="29">
        <f>IF(B499="","",IF(COUNTIF($B$5:$B$3004,B499)&gt;1,"DUPLICATE","OK"))</f>
        <v/>
      </c>
      <c r="Y499" s="29">
        <f>IF(OR(U499="",V499="",V499="Excluded"),"",IF(COUNTIFS($U$5:$U$3004,U499,$V$5:$V$3004,"&lt;&gt;"&amp;V499,$V$5:$V$3004,"&lt;&gt;",$V$5:$V$3004,"&lt;&gt;Excluded")&gt;0,"LEAK RISK","OK"))</f>
        <v/>
      </c>
      <c r="Z499" s="30" t="n"/>
    </row>
    <row r="500">
      <c r="A500" s="30" t="n"/>
      <c r="B500" s="30" t="n"/>
      <c r="C500" s="30" t="n"/>
      <c r="D500" s="30" t="n"/>
      <c r="E500" s="30" t="n"/>
      <c r="F500" s="30" t="n"/>
      <c r="G500" s="30" t="n"/>
      <c r="H500" s="30" t="n"/>
      <c r="I500" s="31" t="n"/>
      <c r="J500" s="30" t="n"/>
      <c r="K500" s="30" t="n"/>
      <c r="L500" s="30" t="n"/>
      <c r="M500" s="30" t="n"/>
      <c r="N500" s="32" t="n"/>
      <c r="O500" s="30" t="n"/>
      <c r="P500" s="32" t="n"/>
      <c r="Q500" s="30" t="n"/>
      <c r="R500" s="32" t="n"/>
      <c r="S500" s="30" t="n"/>
      <c r="T500" s="30" t="n"/>
      <c r="U500" s="30" t="n"/>
      <c r="V500" s="30" t="n"/>
      <c r="W500" s="29">
        <f>IF(H500="","",IF(H500="Kenya","Yes","No"))</f>
        <v/>
      </c>
      <c r="X500" s="29">
        <f>IF(B500="","",IF(COUNTIF($B$5:$B$3004,B500)&gt;1,"DUPLICATE","OK"))</f>
        <v/>
      </c>
      <c r="Y500" s="29">
        <f>IF(OR(U500="",V500="",V500="Excluded"),"",IF(COUNTIFS($U$5:$U$3004,U500,$V$5:$V$3004,"&lt;&gt;"&amp;V500,$V$5:$V$3004,"&lt;&gt;",$V$5:$V$3004,"&lt;&gt;Excluded")&gt;0,"LEAK RISK","OK"))</f>
        <v/>
      </c>
      <c r="Z500" s="30" t="n"/>
    </row>
    <row r="501">
      <c r="A501" s="30" t="n"/>
      <c r="B501" s="30" t="n"/>
      <c r="C501" s="30" t="n"/>
      <c r="D501" s="30" t="n"/>
      <c r="E501" s="30" t="n"/>
      <c r="F501" s="30" t="n"/>
      <c r="G501" s="30" t="n"/>
      <c r="H501" s="30" t="n"/>
      <c r="I501" s="31" t="n"/>
      <c r="J501" s="30" t="n"/>
      <c r="K501" s="30" t="n"/>
      <c r="L501" s="30" t="n"/>
      <c r="M501" s="30" t="n"/>
      <c r="N501" s="32" t="n"/>
      <c r="O501" s="30" t="n"/>
      <c r="P501" s="32" t="n"/>
      <c r="Q501" s="30" t="n"/>
      <c r="R501" s="32" t="n"/>
      <c r="S501" s="30" t="n"/>
      <c r="T501" s="30" t="n"/>
      <c r="U501" s="30" t="n"/>
      <c r="V501" s="30" t="n"/>
      <c r="W501" s="29">
        <f>IF(H501="","",IF(H501="Kenya","Yes","No"))</f>
        <v/>
      </c>
      <c r="X501" s="29">
        <f>IF(B501="","",IF(COUNTIF($B$5:$B$3004,B501)&gt;1,"DUPLICATE","OK"))</f>
        <v/>
      </c>
      <c r="Y501" s="29">
        <f>IF(OR(U501="",V501="",V501="Excluded"),"",IF(COUNTIFS($U$5:$U$3004,U501,$V$5:$V$3004,"&lt;&gt;"&amp;V501,$V$5:$V$3004,"&lt;&gt;",$V$5:$V$3004,"&lt;&gt;Excluded")&gt;0,"LEAK RISK","OK"))</f>
        <v/>
      </c>
      <c r="Z501" s="30" t="n"/>
    </row>
    <row r="502">
      <c r="A502" s="30" t="n"/>
      <c r="B502" s="30" t="n"/>
      <c r="C502" s="30" t="n"/>
      <c r="D502" s="30" t="n"/>
      <c r="E502" s="30" t="n"/>
      <c r="F502" s="30" t="n"/>
      <c r="G502" s="30" t="n"/>
      <c r="H502" s="30" t="n"/>
      <c r="I502" s="31" t="n"/>
      <c r="J502" s="30" t="n"/>
      <c r="K502" s="30" t="n"/>
      <c r="L502" s="30" t="n"/>
      <c r="M502" s="30" t="n"/>
      <c r="N502" s="32" t="n"/>
      <c r="O502" s="30" t="n"/>
      <c r="P502" s="32" t="n"/>
      <c r="Q502" s="30" t="n"/>
      <c r="R502" s="32" t="n"/>
      <c r="S502" s="30" t="n"/>
      <c r="T502" s="30" t="n"/>
      <c r="U502" s="30" t="n"/>
      <c r="V502" s="30" t="n"/>
      <c r="W502" s="29">
        <f>IF(H502="","",IF(H502="Kenya","Yes","No"))</f>
        <v/>
      </c>
      <c r="X502" s="29">
        <f>IF(B502="","",IF(COUNTIF($B$5:$B$3004,B502)&gt;1,"DUPLICATE","OK"))</f>
        <v/>
      </c>
      <c r="Y502" s="29">
        <f>IF(OR(U502="",V502="",V502="Excluded"),"",IF(COUNTIFS($U$5:$U$3004,U502,$V$5:$V$3004,"&lt;&gt;"&amp;V502,$V$5:$V$3004,"&lt;&gt;",$V$5:$V$3004,"&lt;&gt;Excluded")&gt;0,"LEAK RISK","OK"))</f>
        <v/>
      </c>
      <c r="Z502" s="30" t="n"/>
    </row>
    <row r="503">
      <c r="A503" s="30" t="n"/>
      <c r="B503" s="30" t="n"/>
      <c r="C503" s="30" t="n"/>
      <c r="D503" s="30" t="n"/>
      <c r="E503" s="30" t="n"/>
      <c r="F503" s="30" t="n"/>
      <c r="G503" s="30" t="n"/>
      <c r="H503" s="30" t="n"/>
      <c r="I503" s="31" t="n"/>
      <c r="J503" s="30" t="n"/>
      <c r="K503" s="30" t="n"/>
      <c r="L503" s="30" t="n"/>
      <c r="M503" s="30" t="n"/>
      <c r="N503" s="32" t="n"/>
      <c r="O503" s="30" t="n"/>
      <c r="P503" s="32" t="n"/>
      <c r="Q503" s="30" t="n"/>
      <c r="R503" s="32" t="n"/>
      <c r="S503" s="30" t="n"/>
      <c r="T503" s="30" t="n"/>
      <c r="U503" s="30" t="n"/>
      <c r="V503" s="30" t="n"/>
      <c r="W503" s="29">
        <f>IF(H503="","",IF(H503="Kenya","Yes","No"))</f>
        <v/>
      </c>
      <c r="X503" s="29">
        <f>IF(B503="","",IF(COUNTIF($B$5:$B$3004,B503)&gt;1,"DUPLICATE","OK"))</f>
        <v/>
      </c>
      <c r="Y503" s="29">
        <f>IF(OR(U503="",V503="",V503="Excluded"),"",IF(COUNTIFS($U$5:$U$3004,U503,$V$5:$V$3004,"&lt;&gt;"&amp;V503,$V$5:$V$3004,"&lt;&gt;",$V$5:$V$3004,"&lt;&gt;Excluded")&gt;0,"LEAK RISK","OK"))</f>
        <v/>
      </c>
      <c r="Z503" s="30" t="n"/>
    </row>
    <row r="504">
      <c r="A504" s="30" t="n"/>
      <c r="B504" s="30" t="n"/>
      <c r="C504" s="30" t="n"/>
      <c r="D504" s="30" t="n"/>
      <c r="E504" s="30" t="n"/>
      <c r="F504" s="30" t="n"/>
      <c r="G504" s="30" t="n"/>
      <c r="H504" s="30" t="n"/>
      <c r="I504" s="31" t="n"/>
      <c r="J504" s="30" t="n"/>
      <c r="K504" s="30" t="n"/>
      <c r="L504" s="30" t="n"/>
      <c r="M504" s="30" t="n"/>
      <c r="N504" s="32" t="n"/>
      <c r="O504" s="30" t="n"/>
      <c r="P504" s="32" t="n"/>
      <c r="Q504" s="30" t="n"/>
      <c r="R504" s="32" t="n"/>
      <c r="S504" s="30" t="n"/>
      <c r="T504" s="30" t="n"/>
      <c r="U504" s="30" t="n"/>
      <c r="V504" s="30" t="n"/>
      <c r="W504" s="29">
        <f>IF(H504="","",IF(H504="Kenya","Yes","No"))</f>
        <v/>
      </c>
      <c r="X504" s="29">
        <f>IF(B504="","",IF(COUNTIF($B$5:$B$3004,B504)&gt;1,"DUPLICATE","OK"))</f>
        <v/>
      </c>
      <c r="Y504" s="29">
        <f>IF(OR(U504="",V504="",V504="Excluded"),"",IF(COUNTIFS($U$5:$U$3004,U504,$V$5:$V$3004,"&lt;&gt;"&amp;V504,$V$5:$V$3004,"&lt;&gt;",$V$5:$V$3004,"&lt;&gt;Excluded")&gt;0,"LEAK RISK","OK"))</f>
        <v/>
      </c>
      <c r="Z504" s="30" t="n"/>
    </row>
    <row r="505">
      <c r="A505" s="30" t="n"/>
      <c r="B505" s="30" t="n"/>
      <c r="C505" s="30" t="n"/>
      <c r="D505" s="30" t="n"/>
      <c r="E505" s="30" t="n"/>
      <c r="F505" s="30" t="n"/>
      <c r="G505" s="30" t="n"/>
      <c r="H505" s="30" t="n"/>
      <c r="I505" s="31" t="n"/>
      <c r="J505" s="30" t="n"/>
      <c r="K505" s="30" t="n"/>
      <c r="L505" s="30" t="n"/>
      <c r="M505" s="30" t="n"/>
      <c r="N505" s="32" t="n"/>
      <c r="O505" s="30" t="n"/>
      <c r="P505" s="32" t="n"/>
      <c r="Q505" s="30" t="n"/>
      <c r="R505" s="32" t="n"/>
      <c r="S505" s="30" t="n"/>
      <c r="T505" s="30" t="n"/>
      <c r="U505" s="30" t="n"/>
      <c r="V505" s="30" t="n"/>
      <c r="W505" s="29">
        <f>IF(H505="","",IF(H505="Kenya","Yes","No"))</f>
        <v/>
      </c>
      <c r="X505" s="29">
        <f>IF(B505="","",IF(COUNTIF($B$5:$B$3004,B505)&gt;1,"DUPLICATE","OK"))</f>
        <v/>
      </c>
      <c r="Y505" s="29">
        <f>IF(OR(U505="",V505="",V505="Excluded"),"",IF(COUNTIFS($U$5:$U$3004,U505,$V$5:$V$3004,"&lt;&gt;"&amp;V505,$V$5:$V$3004,"&lt;&gt;",$V$5:$V$3004,"&lt;&gt;Excluded")&gt;0,"LEAK RISK","OK"))</f>
        <v/>
      </c>
      <c r="Z505" s="30" t="n"/>
    </row>
    <row r="506">
      <c r="A506" s="30" t="n"/>
      <c r="B506" s="30" t="n"/>
      <c r="C506" s="30" t="n"/>
      <c r="D506" s="30" t="n"/>
      <c r="E506" s="30" t="n"/>
      <c r="F506" s="30" t="n"/>
      <c r="G506" s="30" t="n"/>
      <c r="H506" s="30" t="n"/>
      <c r="I506" s="31" t="n"/>
      <c r="J506" s="30" t="n"/>
      <c r="K506" s="30" t="n"/>
      <c r="L506" s="30" t="n"/>
      <c r="M506" s="30" t="n"/>
      <c r="N506" s="32" t="n"/>
      <c r="O506" s="30" t="n"/>
      <c r="P506" s="32" t="n"/>
      <c r="Q506" s="30" t="n"/>
      <c r="R506" s="32" t="n"/>
      <c r="S506" s="30" t="n"/>
      <c r="T506" s="30" t="n"/>
      <c r="U506" s="30" t="n"/>
      <c r="V506" s="30" t="n"/>
      <c r="W506" s="29">
        <f>IF(H506="","",IF(H506="Kenya","Yes","No"))</f>
        <v/>
      </c>
      <c r="X506" s="29">
        <f>IF(B506="","",IF(COUNTIF($B$5:$B$3004,B506)&gt;1,"DUPLICATE","OK"))</f>
        <v/>
      </c>
      <c r="Y506" s="29">
        <f>IF(OR(U506="",V506="",V506="Excluded"),"",IF(COUNTIFS($U$5:$U$3004,U506,$V$5:$V$3004,"&lt;&gt;"&amp;V506,$V$5:$V$3004,"&lt;&gt;",$V$5:$V$3004,"&lt;&gt;Excluded")&gt;0,"LEAK RISK","OK"))</f>
        <v/>
      </c>
      <c r="Z506" s="30" t="n"/>
    </row>
    <row r="507">
      <c r="A507" s="30" t="n"/>
      <c r="B507" s="30" t="n"/>
      <c r="C507" s="30" t="n"/>
      <c r="D507" s="30" t="n"/>
      <c r="E507" s="30" t="n"/>
      <c r="F507" s="30" t="n"/>
      <c r="G507" s="30" t="n"/>
      <c r="H507" s="30" t="n"/>
      <c r="I507" s="31" t="n"/>
      <c r="J507" s="30" t="n"/>
      <c r="K507" s="30" t="n"/>
      <c r="L507" s="30" t="n"/>
      <c r="M507" s="30" t="n"/>
      <c r="N507" s="32" t="n"/>
      <c r="O507" s="30" t="n"/>
      <c r="P507" s="32" t="n"/>
      <c r="Q507" s="30" t="n"/>
      <c r="R507" s="32" t="n"/>
      <c r="S507" s="30" t="n"/>
      <c r="T507" s="30" t="n"/>
      <c r="U507" s="30" t="n"/>
      <c r="V507" s="30" t="n"/>
      <c r="W507" s="29">
        <f>IF(H507="","",IF(H507="Kenya","Yes","No"))</f>
        <v/>
      </c>
      <c r="X507" s="29">
        <f>IF(B507="","",IF(COUNTIF($B$5:$B$3004,B507)&gt;1,"DUPLICATE","OK"))</f>
        <v/>
      </c>
      <c r="Y507" s="29">
        <f>IF(OR(U507="",V507="",V507="Excluded"),"",IF(COUNTIFS($U$5:$U$3004,U507,$V$5:$V$3004,"&lt;&gt;"&amp;V507,$V$5:$V$3004,"&lt;&gt;",$V$5:$V$3004,"&lt;&gt;Excluded")&gt;0,"LEAK RISK","OK"))</f>
        <v/>
      </c>
      <c r="Z507" s="30" t="n"/>
    </row>
    <row r="508">
      <c r="A508" s="30" t="n"/>
      <c r="B508" s="30" t="n"/>
      <c r="C508" s="30" t="n"/>
      <c r="D508" s="30" t="n"/>
      <c r="E508" s="30" t="n"/>
      <c r="F508" s="30" t="n"/>
      <c r="G508" s="30" t="n"/>
      <c r="H508" s="30" t="n"/>
      <c r="I508" s="31" t="n"/>
      <c r="J508" s="30" t="n"/>
      <c r="K508" s="30" t="n"/>
      <c r="L508" s="30" t="n"/>
      <c r="M508" s="30" t="n"/>
      <c r="N508" s="32" t="n"/>
      <c r="O508" s="30" t="n"/>
      <c r="P508" s="32" t="n"/>
      <c r="Q508" s="30" t="n"/>
      <c r="R508" s="32" t="n"/>
      <c r="S508" s="30" t="n"/>
      <c r="T508" s="30" t="n"/>
      <c r="U508" s="30" t="n"/>
      <c r="V508" s="30" t="n"/>
      <c r="W508" s="29">
        <f>IF(H508="","",IF(H508="Kenya","Yes","No"))</f>
        <v/>
      </c>
      <c r="X508" s="29">
        <f>IF(B508="","",IF(COUNTIF($B$5:$B$3004,B508)&gt;1,"DUPLICATE","OK"))</f>
        <v/>
      </c>
      <c r="Y508" s="29">
        <f>IF(OR(U508="",V508="",V508="Excluded"),"",IF(COUNTIFS($U$5:$U$3004,U508,$V$5:$V$3004,"&lt;&gt;"&amp;V508,$V$5:$V$3004,"&lt;&gt;",$V$5:$V$3004,"&lt;&gt;Excluded")&gt;0,"LEAK RISK","OK"))</f>
        <v/>
      </c>
      <c r="Z508" s="30" t="n"/>
    </row>
    <row r="509">
      <c r="A509" s="30" t="n"/>
      <c r="B509" s="30" t="n"/>
      <c r="C509" s="30" t="n"/>
      <c r="D509" s="30" t="n"/>
      <c r="E509" s="30" t="n"/>
      <c r="F509" s="30" t="n"/>
      <c r="G509" s="30" t="n"/>
      <c r="H509" s="30" t="n"/>
      <c r="I509" s="31" t="n"/>
      <c r="J509" s="30" t="n"/>
      <c r="K509" s="30" t="n"/>
      <c r="L509" s="30" t="n"/>
      <c r="M509" s="30" t="n"/>
      <c r="N509" s="32" t="n"/>
      <c r="O509" s="30" t="n"/>
      <c r="P509" s="32" t="n"/>
      <c r="Q509" s="30" t="n"/>
      <c r="R509" s="32" t="n"/>
      <c r="S509" s="30" t="n"/>
      <c r="T509" s="30" t="n"/>
      <c r="U509" s="30" t="n"/>
      <c r="V509" s="30" t="n"/>
      <c r="W509" s="29">
        <f>IF(H509="","",IF(H509="Kenya","Yes","No"))</f>
        <v/>
      </c>
      <c r="X509" s="29">
        <f>IF(B509="","",IF(COUNTIF($B$5:$B$3004,B509)&gt;1,"DUPLICATE","OK"))</f>
        <v/>
      </c>
      <c r="Y509" s="29">
        <f>IF(OR(U509="",V509="",V509="Excluded"),"",IF(COUNTIFS($U$5:$U$3004,U509,$V$5:$V$3004,"&lt;&gt;"&amp;V509,$V$5:$V$3004,"&lt;&gt;",$V$5:$V$3004,"&lt;&gt;Excluded")&gt;0,"LEAK RISK","OK"))</f>
        <v/>
      </c>
      <c r="Z509" s="30" t="n"/>
    </row>
    <row r="510">
      <c r="A510" s="30" t="n"/>
      <c r="B510" s="30" t="n"/>
      <c r="C510" s="30" t="n"/>
      <c r="D510" s="30" t="n"/>
      <c r="E510" s="30" t="n"/>
      <c r="F510" s="30" t="n"/>
      <c r="G510" s="30" t="n"/>
      <c r="H510" s="30" t="n"/>
      <c r="I510" s="31" t="n"/>
      <c r="J510" s="30" t="n"/>
      <c r="K510" s="30" t="n"/>
      <c r="L510" s="30" t="n"/>
      <c r="M510" s="30" t="n"/>
      <c r="N510" s="32" t="n"/>
      <c r="O510" s="30" t="n"/>
      <c r="P510" s="32" t="n"/>
      <c r="Q510" s="30" t="n"/>
      <c r="R510" s="32" t="n"/>
      <c r="S510" s="30" t="n"/>
      <c r="T510" s="30" t="n"/>
      <c r="U510" s="30" t="n"/>
      <c r="V510" s="30" t="n"/>
      <c r="W510" s="29">
        <f>IF(H510="","",IF(H510="Kenya","Yes","No"))</f>
        <v/>
      </c>
      <c r="X510" s="29">
        <f>IF(B510="","",IF(COUNTIF($B$5:$B$3004,B510)&gt;1,"DUPLICATE","OK"))</f>
        <v/>
      </c>
      <c r="Y510" s="29">
        <f>IF(OR(U510="",V510="",V510="Excluded"),"",IF(COUNTIFS($U$5:$U$3004,U510,$V$5:$V$3004,"&lt;&gt;"&amp;V510,$V$5:$V$3004,"&lt;&gt;",$V$5:$V$3004,"&lt;&gt;Excluded")&gt;0,"LEAK RISK","OK"))</f>
        <v/>
      </c>
      <c r="Z510" s="30" t="n"/>
    </row>
    <row r="511">
      <c r="A511" s="30" t="n"/>
      <c r="B511" s="30" t="n"/>
      <c r="C511" s="30" t="n"/>
      <c r="D511" s="30" t="n"/>
      <c r="E511" s="30" t="n"/>
      <c r="F511" s="30" t="n"/>
      <c r="G511" s="30" t="n"/>
      <c r="H511" s="30" t="n"/>
      <c r="I511" s="31" t="n"/>
      <c r="J511" s="30" t="n"/>
      <c r="K511" s="30" t="n"/>
      <c r="L511" s="30" t="n"/>
      <c r="M511" s="30" t="n"/>
      <c r="N511" s="32" t="n"/>
      <c r="O511" s="30" t="n"/>
      <c r="P511" s="32" t="n"/>
      <c r="Q511" s="30" t="n"/>
      <c r="R511" s="32" t="n"/>
      <c r="S511" s="30" t="n"/>
      <c r="T511" s="30" t="n"/>
      <c r="U511" s="30" t="n"/>
      <c r="V511" s="30" t="n"/>
      <c r="W511" s="29">
        <f>IF(H511="","",IF(H511="Kenya","Yes","No"))</f>
        <v/>
      </c>
      <c r="X511" s="29">
        <f>IF(B511="","",IF(COUNTIF($B$5:$B$3004,B511)&gt;1,"DUPLICATE","OK"))</f>
        <v/>
      </c>
      <c r="Y511" s="29">
        <f>IF(OR(U511="",V511="",V511="Excluded"),"",IF(COUNTIFS($U$5:$U$3004,U511,$V$5:$V$3004,"&lt;&gt;"&amp;V511,$V$5:$V$3004,"&lt;&gt;",$V$5:$V$3004,"&lt;&gt;Excluded")&gt;0,"LEAK RISK","OK"))</f>
        <v/>
      </c>
      <c r="Z511" s="30" t="n"/>
    </row>
    <row r="512">
      <c r="A512" s="30" t="n"/>
      <c r="B512" s="30" t="n"/>
      <c r="C512" s="30" t="n"/>
      <c r="D512" s="30" t="n"/>
      <c r="E512" s="30" t="n"/>
      <c r="F512" s="30" t="n"/>
      <c r="G512" s="30" t="n"/>
      <c r="H512" s="30" t="n"/>
      <c r="I512" s="31" t="n"/>
      <c r="J512" s="30" t="n"/>
      <c r="K512" s="30" t="n"/>
      <c r="L512" s="30" t="n"/>
      <c r="M512" s="30" t="n"/>
      <c r="N512" s="32" t="n"/>
      <c r="O512" s="30" t="n"/>
      <c r="P512" s="32" t="n"/>
      <c r="Q512" s="30" t="n"/>
      <c r="R512" s="32" t="n"/>
      <c r="S512" s="30" t="n"/>
      <c r="T512" s="30" t="n"/>
      <c r="U512" s="30" t="n"/>
      <c r="V512" s="30" t="n"/>
      <c r="W512" s="29">
        <f>IF(H512="","",IF(H512="Kenya","Yes","No"))</f>
        <v/>
      </c>
      <c r="X512" s="29">
        <f>IF(B512="","",IF(COUNTIF($B$5:$B$3004,B512)&gt;1,"DUPLICATE","OK"))</f>
        <v/>
      </c>
      <c r="Y512" s="29">
        <f>IF(OR(U512="",V512="",V512="Excluded"),"",IF(COUNTIFS($U$5:$U$3004,U512,$V$5:$V$3004,"&lt;&gt;"&amp;V512,$V$5:$V$3004,"&lt;&gt;",$V$5:$V$3004,"&lt;&gt;Excluded")&gt;0,"LEAK RISK","OK"))</f>
        <v/>
      </c>
      <c r="Z512" s="30" t="n"/>
    </row>
    <row r="513">
      <c r="A513" s="30" t="n"/>
      <c r="B513" s="30" t="n"/>
      <c r="C513" s="30" t="n"/>
      <c r="D513" s="30" t="n"/>
      <c r="E513" s="30" t="n"/>
      <c r="F513" s="30" t="n"/>
      <c r="G513" s="30" t="n"/>
      <c r="H513" s="30" t="n"/>
      <c r="I513" s="31" t="n"/>
      <c r="J513" s="30" t="n"/>
      <c r="K513" s="30" t="n"/>
      <c r="L513" s="30" t="n"/>
      <c r="M513" s="30" t="n"/>
      <c r="N513" s="32" t="n"/>
      <c r="O513" s="30" t="n"/>
      <c r="P513" s="32" t="n"/>
      <c r="Q513" s="30" t="n"/>
      <c r="R513" s="32" t="n"/>
      <c r="S513" s="30" t="n"/>
      <c r="T513" s="30" t="n"/>
      <c r="U513" s="30" t="n"/>
      <c r="V513" s="30" t="n"/>
      <c r="W513" s="29">
        <f>IF(H513="","",IF(H513="Kenya","Yes","No"))</f>
        <v/>
      </c>
      <c r="X513" s="29">
        <f>IF(B513="","",IF(COUNTIF($B$5:$B$3004,B513)&gt;1,"DUPLICATE","OK"))</f>
        <v/>
      </c>
      <c r="Y513" s="29">
        <f>IF(OR(U513="",V513="",V513="Excluded"),"",IF(COUNTIFS($U$5:$U$3004,U513,$V$5:$V$3004,"&lt;&gt;"&amp;V513,$V$5:$V$3004,"&lt;&gt;",$V$5:$V$3004,"&lt;&gt;Excluded")&gt;0,"LEAK RISK","OK"))</f>
        <v/>
      </c>
      <c r="Z513" s="30" t="n"/>
    </row>
    <row r="514">
      <c r="A514" s="30" t="n"/>
      <c r="B514" s="30" t="n"/>
      <c r="C514" s="30" t="n"/>
      <c r="D514" s="30" t="n"/>
      <c r="E514" s="30" t="n"/>
      <c r="F514" s="30" t="n"/>
      <c r="G514" s="30" t="n"/>
      <c r="H514" s="30" t="n"/>
      <c r="I514" s="31" t="n"/>
      <c r="J514" s="30" t="n"/>
      <c r="K514" s="30" t="n"/>
      <c r="L514" s="30" t="n"/>
      <c r="M514" s="30" t="n"/>
      <c r="N514" s="32" t="n"/>
      <c r="O514" s="30" t="n"/>
      <c r="P514" s="32" t="n"/>
      <c r="Q514" s="30" t="n"/>
      <c r="R514" s="32" t="n"/>
      <c r="S514" s="30" t="n"/>
      <c r="T514" s="30" t="n"/>
      <c r="U514" s="30" t="n"/>
      <c r="V514" s="30" t="n"/>
      <c r="W514" s="29">
        <f>IF(H514="","",IF(H514="Kenya","Yes","No"))</f>
        <v/>
      </c>
      <c r="X514" s="29">
        <f>IF(B514="","",IF(COUNTIF($B$5:$B$3004,B514)&gt;1,"DUPLICATE","OK"))</f>
        <v/>
      </c>
      <c r="Y514" s="29">
        <f>IF(OR(U514="",V514="",V514="Excluded"),"",IF(COUNTIFS($U$5:$U$3004,U514,$V$5:$V$3004,"&lt;&gt;"&amp;V514,$V$5:$V$3004,"&lt;&gt;",$V$5:$V$3004,"&lt;&gt;Excluded")&gt;0,"LEAK RISK","OK"))</f>
        <v/>
      </c>
      <c r="Z514" s="30" t="n"/>
    </row>
    <row r="515">
      <c r="A515" s="30" t="n"/>
      <c r="B515" s="30" t="n"/>
      <c r="C515" s="30" t="n"/>
      <c r="D515" s="30" t="n"/>
      <c r="E515" s="30" t="n"/>
      <c r="F515" s="30" t="n"/>
      <c r="G515" s="30" t="n"/>
      <c r="H515" s="30" t="n"/>
      <c r="I515" s="31" t="n"/>
      <c r="J515" s="30" t="n"/>
      <c r="K515" s="30" t="n"/>
      <c r="L515" s="30" t="n"/>
      <c r="M515" s="30" t="n"/>
      <c r="N515" s="32" t="n"/>
      <c r="O515" s="30" t="n"/>
      <c r="P515" s="32" t="n"/>
      <c r="Q515" s="30" t="n"/>
      <c r="R515" s="32" t="n"/>
      <c r="S515" s="30" t="n"/>
      <c r="T515" s="30" t="n"/>
      <c r="U515" s="30" t="n"/>
      <c r="V515" s="30" t="n"/>
      <c r="W515" s="29">
        <f>IF(H515="","",IF(H515="Kenya","Yes","No"))</f>
        <v/>
      </c>
      <c r="X515" s="29">
        <f>IF(B515="","",IF(COUNTIF($B$5:$B$3004,B515)&gt;1,"DUPLICATE","OK"))</f>
        <v/>
      </c>
      <c r="Y515" s="29">
        <f>IF(OR(U515="",V515="",V515="Excluded"),"",IF(COUNTIFS($U$5:$U$3004,U515,$V$5:$V$3004,"&lt;&gt;"&amp;V515,$V$5:$V$3004,"&lt;&gt;",$V$5:$V$3004,"&lt;&gt;Excluded")&gt;0,"LEAK RISK","OK"))</f>
        <v/>
      </c>
      <c r="Z515" s="30" t="n"/>
    </row>
    <row r="516">
      <c r="A516" s="30" t="n"/>
      <c r="B516" s="30" t="n"/>
      <c r="C516" s="30" t="n"/>
      <c r="D516" s="30" t="n"/>
      <c r="E516" s="30" t="n"/>
      <c r="F516" s="30" t="n"/>
      <c r="G516" s="30" t="n"/>
      <c r="H516" s="30" t="n"/>
      <c r="I516" s="31" t="n"/>
      <c r="J516" s="30" t="n"/>
      <c r="K516" s="30" t="n"/>
      <c r="L516" s="30" t="n"/>
      <c r="M516" s="30" t="n"/>
      <c r="N516" s="32" t="n"/>
      <c r="O516" s="30" t="n"/>
      <c r="P516" s="32" t="n"/>
      <c r="Q516" s="30" t="n"/>
      <c r="R516" s="32" t="n"/>
      <c r="S516" s="30" t="n"/>
      <c r="T516" s="30" t="n"/>
      <c r="U516" s="30" t="n"/>
      <c r="V516" s="30" t="n"/>
      <c r="W516" s="29">
        <f>IF(H516="","",IF(H516="Kenya","Yes","No"))</f>
        <v/>
      </c>
      <c r="X516" s="29">
        <f>IF(B516="","",IF(COUNTIF($B$5:$B$3004,B516)&gt;1,"DUPLICATE","OK"))</f>
        <v/>
      </c>
      <c r="Y516" s="29">
        <f>IF(OR(U516="",V516="",V516="Excluded"),"",IF(COUNTIFS($U$5:$U$3004,U516,$V$5:$V$3004,"&lt;&gt;"&amp;V516,$V$5:$V$3004,"&lt;&gt;",$V$5:$V$3004,"&lt;&gt;Excluded")&gt;0,"LEAK RISK","OK"))</f>
        <v/>
      </c>
      <c r="Z516" s="30" t="n"/>
    </row>
    <row r="517">
      <c r="A517" s="30" t="n"/>
      <c r="B517" s="30" t="n"/>
      <c r="C517" s="30" t="n"/>
      <c r="D517" s="30" t="n"/>
      <c r="E517" s="30" t="n"/>
      <c r="F517" s="30" t="n"/>
      <c r="G517" s="30" t="n"/>
      <c r="H517" s="30" t="n"/>
      <c r="I517" s="31" t="n"/>
      <c r="J517" s="30" t="n"/>
      <c r="K517" s="30" t="n"/>
      <c r="L517" s="30" t="n"/>
      <c r="M517" s="30" t="n"/>
      <c r="N517" s="32" t="n"/>
      <c r="O517" s="30" t="n"/>
      <c r="P517" s="32" t="n"/>
      <c r="Q517" s="30" t="n"/>
      <c r="R517" s="32" t="n"/>
      <c r="S517" s="30" t="n"/>
      <c r="T517" s="30" t="n"/>
      <c r="U517" s="30" t="n"/>
      <c r="V517" s="30" t="n"/>
      <c r="W517" s="29">
        <f>IF(H517="","",IF(H517="Kenya","Yes","No"))</f>
        <v/>
      </c>
      <c r="X517" s="29">
        <f>IF(B517="","",IF(COUNTIF($B$5:$B$3004,B517)&gt;1,"DUPLICATE","OK"))</f>
        <v/>
      </c>
      <c r="Y517" s="29">
        <f>IF(OR(U517="",V517="",V517="Excluded"),"",IF(COUNTIFS($U$5:$U$3004,U517,$V$5:$V$3004,"&lt;&gt;"&amp;V517,$V$5:$V$3004,"&lt;&gt;",$V$5:$V$3004,"&lt;&gt;Excluded")&gt;0,"LEAK RISK","OK"))</f>
        <v/>
      </c>
      <c r="Z517" s="30" t="n"/>
    </row>
    <row r="518">
      <c r="A518" s="30" t="n"/>
      <c r="B518" s="30" t="n"/>
      <c r="C518" s="30" t="n"/>
      <c r="D518" s="30" t="n"/>
      <c r="E518" s="30" t="n"/>
      <c r="F518" s="30" t="n"/>
      <c r="G518" s="30" t="n"/>
      <c r="H518" s="30" t="n"/>
      <c r="I518" s="31" t="n"/>
      <c r="J518" s="30" t="n"/>
      <c r="K518" s="30" t="n"/>
      <c r="L518" s="30" t="n"/>
      <c r="M518" s="30" t="n"/>
      <c r="N518" s="32" t="n"/>
      <c r="O518" s="30" t="n"/>
      <c r="P518" s="32" t="n"/>
      <c r="Q518" s="30" t="n"/>
      <c r="R518" s="32" t="n"/>
      <c r="S518" s="30" t="n"/>
      <c r="T518" s="30" t="n"/>
      <c r="U518" s="30" t="n"/>
      <c r="V518" s="30" t="n"/>
      <c r="W518" s="29">
        <f>IF(H518="","",IF(H518="Kenya","Yes","No"))</f>
        <v/>
      </c>
      <c r="X518" s="29">
        <f>IF(B518="","",IF(COUNTIF($B$5:$B$3004,B518)&gt;1,"DUPLICATE","OK"))</f>
        <v/>
      </c>
      <c r="Y518" s="29">
        <f>IF(OR(U518="",V518="",V518="Excluded"),"",IF(COUNTIFS($U$5:$U$3004,U518,$V$5:$V$3004,"&lt;&gt;"&amp;V518,$V$5:$V$3004,"&lt;&gt;",$V$5:$V$3004,"&lt;&gt;Excluded")&gt;0,"LEAK RISK","OK"))</f>
        <v/>
      </c>
      <c r="Z518" s="30" t="n"/>
    </row>
    <row r="519">
      <c r="A519" s="30" t="n"/>
      <c r="B519" s="30" t="n"/>
      <c r="C519" s="30" t="n"/>
      <c r="D519" s="30" t="n"/>
      <c r="E519" s="30" t="n"/>
      <c r="F519" s="30" t="n"/>
      <c r="G519" s="30" t="n"/>
      <c r="H519" s="30" t="n"/>
      <c r="I519" s="31" t="n"/>
      <c r="J519" s="30" t="n"/>
      <c r="K519" s="30" t="n"/>
      <c r="L519" s="30" t="n"/>
      <c r="M519" s="30" t="n"/>
      <c r="N519" s="32" t="n"/>
      <c r="O519" s="30" t="n"/>
      <c r="P519" s="32" t="n"/>
      <c r="Q519" s="30" t="n"/>
      <c r="R519" s="32" t="n"/>
      <c r="S519" s="30" t="n"/>
      <c r="T519" s="30" t="n"/>
      <c r="U519" s="30" t="n"/>
      <c r="V519" s="30" t="n"/>
      <c r="W519" s="29">
        <f>IF(H519="","",IF(H519="Kenya","Yes","No"))</f>
        <v/>
      </c>
      <c r="X519" s="29">
        <f>IF(B519="","",IF(COUNTIF($B$5:$B$3004,B519)&gt;1,"DUPLICATE","OK"))</f>
        <v/>
      </c>
      <c r="Y519" s="29">
        <f>IF(OR(U519="",V519="",V519="Excluded"),"",IF(COUNTIFS($U$5:$U$3004,U519,$V$5:$V$3004,"&lt;&gt;"&amp;V519,$V$5:$V$3004,"&lt;&gt;",$V$5:$V$3004,"&lt;&gt;Excluded")&gt;0,"LEAK RISK","OK"))</f>
        <v/>
      </c>
      <c r="Z519" s="30" t="n"/>
    </row>
    <row r="520">
      <c r="A520" s="30" t="n"/>
      <c r="B520" s="30" t="n"/>
      <c r="C520" s="30" t="n"/>
      <c r="D520" s="30" t="n"/>
      <c r="E520" s="30" t="n"/>
      <c r="F520" s="30" t="n"/>
      <c r="G520" s="30" t="n"/>
      <c r="H520" s="30" t="n"/>
      <c r="I520" s="31" t="n"/>
      <c r="J520" s="30" t="n"/>
      <c r="K520" s="30" t="n"/>
      <c r="L520" s="30" t="n"/>
      <c r="M520" s="30" t="n"/>
      <c r="N520" s="32" t="n"/>
      <c r="O520" s="30" t="n"/>
      <c r="P520" s="32" t="n"/>
      <c r="Q520" s="30" t="n"/>
      <c r="R520" s="32" t="n"/>
      <c r="S520" s="30" t="n"/>
      <c r="T520" s="30" t="n"/>
      <c r="U520" s="30" t="n"/>
      <c r="V520" s="30" t="n"/>
      <c r="W520" s="29">
        <f>IF(H520="","",IF(H520="Kenya","Yes","No"))</f>
        <v/>
      </c>
      <c r="X520" s="29">
        <f>IF(B520="","",IF(COUNTIF($B$5:$B$3004,B520)&gt;1,"DUPLICATE","OK"))</f>
        <v/>
      </c>
      <c r="Y520" s="29">
        <f>IF(OR(U520="",V520="",V520="Excluded"),"",IF(COUNTIFS($U$5:$U$3004,U520,$V$5:$V$3004,"&lt;&gt;"&amp;V520,$V$5:$V$3004,"&lt;&gt;",$V$5:$V$3004,"&lt;&gt;Excluded")&gt;0,"LEAK RISK","OK"))</f>
        <v/>
      </c>
      <c r="Z520" s="30" t="n"/>
    </row>
    <row r="521">
      <c r="A521" s="30" t="n"/>
      <c r="B521" s="30" t="n"/>
      <c r="C521" s="30" t="n"/>
      <c r="D521" s="30" t="n"/>
      <c r="E521" s="30" t="n"/>
      <c r="F521" s="30" t="n"/>
      <c r="G521" s="30" t="n"/>
      <c r="H521" s="30" t="n"/>
      <c r="I521" s="31" t="n"/>
      <c r="J521" s="30" t="n"/>
      <c r="K521" s="30" t="n"/>
      <c r="L521" s="30" t="n"/>
      <c r="M521" s="30" t="n"/>
      <c r="N521" s="32" t="n"/>
      <c r="O521" s="30" t="n"/>
      <c r="P521" s="32" t="n"/>
      <c r="Q521" s="30" t="n"/>
      <c r="R521" s="32" t="n"/>
      <c r="S521" s="30" t="n"/>
      <c r="T521" s="30" t="n"/>
      <c r="U521" s="30" t="n"/>
      <c r="V521" s="30" t="n"/>
      <c r="W521" s="29">
        <f>IF(H521="","",IF(H521="Kenya","Yes","No"))</f>
        <v/>
      </c>
      <c r="X521" s="29">
        <f>IF(B521="","",IF(COUNTIF($B$5:$B$3004,B521)&gt;1,"DUPLICATE","OK"))</f>
        <v/>
      </c>
      <c r="Y521" s="29">
        <f>IF(OR(U521="",V521="",V521="Excluded"),"",IF(COUNTIFS($U$5:$U$3004,U521,$V$5:$V$3004,"&lt;&gt;"&amp;V521,$V$5:$V$3004,"&lt;&gt;",$V$5:$V$3004,"&lt;&gt;Excluded")&gt;0,"LEAK RISK","OK"))</f>
        <v/>
      </c>
      <c r="Z521" s="30" t="n"/>
    </row>
    <row r="522">
      <c r="A522" s="30" t="n"/>
      <c r="B522" s="30" t="n"/>
      <c r="C522" s="30" t="n"/>
      <c r="D522" s="30" t="n"/>
      <c r="E522" s="30" t="n"/>
      <c r="F522" s="30" t="n"/>
      <c r="G522" s="30" t="n"/>
      <c r="H522" s="30" t="n"/>
      <c r="I522" s="31" t="n"/>
      <c r="J522" s="30" t="n"/>
      <c r="K522" s="30" t="n"/>
      <c r="L522" s="30" t="n"/>
      <c r="M522" s="30" t="n"/>
      <c r="N522" s="32" t="n"/>
      <c r="O522" s="30" t="n"/>
      <c r="P522" s="32" t="n"/>
      <c r="Q522" s="30" t="n"/>
      <c r="R522" s="32" t="n"/>
      <c r="S522" s="30" t="n"/>
      <c r="T522" s="30" t="n"/>
      <c r="U522" s="30" t="n"/>
      <c r="V522" s="30" t="n"/>
      <c r="W522" s="29">
        <f>IF(H522="","",IF(H522="Kenya","Yes","No"))</f>
        <v/>
      </c>
      <c r="X522" s="29">
        <f>IF(B522="","",IF(COUNTIF($B$5:$B$3004,B522)&gt;1,"DUPLICATE","OK"))</f>
        <v/>
      </c>
      <c r="Y522" s="29">
        <f>IF(OR(U522="",V522="",V522="Excluded"),"",IF(COUNTIFS($U$5:$U$3004,U522,$V$5:$V$3004,"&lt;&gt;"&amp;V522,$V$5:$V$3004,"&lt;&gt;",$V$5:$V$3004,"&lt;&gt;Excluded")&gt;0,"LEAK RISK","OK"))</f>
        <v/>
      </c>
      <c r="Z522" s="30" t="n"/>
    </row>
    <row r="523">
      <c r="A523" s="30" t="n"/>
      <c r="B523" s="30" t="n"/>
      <c r="C523" s="30" t="n"/>
      <c r="D523" s="30" t="n"/>
      <c r="E523" s="30" t="n"/>
      <c r="F523" s="30" t="n"/>
      <c r="G523" s="30" t="n"/>
      <c r="H523" s="30" t="n"/>
      <c r="I523" s="31" t="n"/>
      <c r="J523" s="30" t="n"/>
      <c r="K523" s="30" t="n"/>
      <c r="L523" s="30" t="n"/>
      <c r="M523" s="30" t="n"/>
      <c r="N523" s="32" t="n"/>
      <c r="O523" s="30" t="n"/>
      <c r="P523" s="32" t="n"/>
      <c r="Q523" s="30" t="n"/>
      <c r="R523" s="32" t="n"/>
      <c r="S523" s="30" t="n"/>
      <c r="T523" s="30" t="n"/>
      <c r="U523" s="30" t="n"/>
      <c r="V523" s="30" t="n"/>
      <c r="W523" s="29">
        <f>IF(H523="","",IF(H523="Kenya","Yes","No"))</f>
        <v/>
      </c>
      <c r="X523" s="29">
        <f>IF(B523="","",IF(COUNTIF($B$5:$B$3004,B523)&gt;1,"DUPLICATE","OK"))</f>
        <v/>
      </c>
      <c r="Y523" s="29">
        <f>IF(OR(U523="",V523="",V523="Excluded"),"",IF(COUNTIFS($U$5:$U$3004,U523,$V$5:$V$3004,"&lt;&gt;"&amp;V523,$V$5:$V$3004,"&lt;&gt;",$V$5:$V$3004,"&lt;&gt;Excluded")&gt;0,"LEAK RISK","OK"))</f>
        <v/>
      </c>
      <c r="Z523" s="30" t="n"/>
    </row>
    <row r="524">
      <c r="A524" s="30" t="n"/>
      <c r="B524" s="30" t="n"/>
      <c r="C524" s="30" t="n"/>
      <c r="D524" s="30" t="n"/>
      <c r="E524" s="30" t="n"/>
      <c r="F524" s="30" t="n"/>
      <c r="G524" s="30" t="n"/>
      <c r="H524" s="30" t="n"/>
      <c r="I524" s="31" t="n"/>
      <c r="J524" s="30" t="n"/>
      <c r="K524" s="30" t="n"/>
      <c r="L524" s="30" t="n"/>
      <c r="M524" s="30" t="n"/>
      <c r="N524" s="32" t="n"/>
      <c r="O524" s="30" t="n"/>
      <c r="P524" s="32" t="n"/>
      <c r="Q524" s="30" t="n"/>
      <c r="R524" s="32" t="n"/>
      <c r="S524" s="30" t="n"/>
      <c r="T524" s="30" t="n"/>
      <c r="U524" s="30" t="n"/>
      <c r="V524" s="30" t="n"/>
      <c r="W524" s="29">
        <f>IF(H524="","",IF(H524="Kenya","Yes","No"))</f>
        <v/>
      </c>
      <c r="X524" s="29">
        <f>IF(B524="","",IF(COUNTIF($B$5:$B$3004,B524)&gt;1,"DUPLICATE","OK"))</f>
        <v/>
      </c>
      <c r="Y524" s="29">
        <f>IF(OR(U524="",V524="",V524="Excluded"),"",IF(COUNTIFS($U$5:$U$3004,U524,$V$5:$V$3004,"&lt;&gt;"&amp;V524,$V$5:$V$3004,"&lt;&gt;",$V$5:$V$3004,"&lt;&gt;Excluded")&gt;0,"LEAK RISK","OK"))</f>
        <v/>
      </c>
      <c r="Z524" s="30" t="n"/>
    </row>
    <row r="525">
      <c r="A525" s="30" t="n"/>
      <c r="B525" s="30" t="n"/>
      <c r="C525" s="30" t="n"/>
      <c r="D525" s="30" t="n"/>
      <c r="E525" s="30" t="n"/>
      <c r="F525" s="30" t="n"/>
      <c r="G525" s="30" t="n"/>
      <c r="H525" s="30" t="n"/>
      <c r="I525" s="31" t="n"/>
      <c r="J525" s="30" t="n"/>
      <c r="K525" s="30" t="n"/>
      <c r="L525" s="30" t="n"/>
      <c r="M525" s="30" t="n"/>
      <c r="N525" s="32" t="n"/>
      <c r="O525" s="30" t="n"/>
      <c r="P525" s="32" t="n"/>
      <c r="Q525" s="30" t="n"/>
      <c r="R525" s="32" t="n"/>
      <c r="S525" s="30" t="n"/>
      <c r="T525" s="30" t="n"/>
      <c r="U525" s="30" t="n"/>
      <c r="V525" s="30" t="n"/>
      <c r="W525" s="29">
        <f>IF(H525="","",IF(H525="Kenya","Yes","No"))</f>
        <v/>
      </c>
      <c r="X525" s="29">
        <f>IF(B525="","",IF(COUNTIF($B$5:$B$3004,B525)&gt;1,"DUPLICATE","OK"))</f>
        <v/>
      </c>
      <c r="Y525" s="29">
        <f>IF(OR(U525="",V525="",V525="Excluded"),"",IF(COUNTIFS($U$5:$U$3004,U525,$V$5:$V$3004,"&lt;&gt;"&amp;V525,$V$5:$V$3004,"&lt;&gt;",$V$5:$V$3004,"&lt;&gt;Excluded")&gt;0,"LEAK RISK","OK"))</f>
        <v/>
      </c>
      <c r="Z525" s="30" t="n"/>
    </row>
    <row r="526">
      <c r="A526" s="30" t="n"/>
      <c r="B526" s="30" t="n"/>
      <c r="C526" s="30" t="n"/>
      <c r="D526" s="30" t="n"/>
      <c r="E526" s="30" t="n"/>
      <c r="F526" s="30" t="n"/>
      <c r="G526" s="30" t="n"/>
      <c r="H526" s="30" t="n"/>
      <c r="I526" s="31" t="n"/>
      <c r="J526" s="30" t="n"/>
      <c r="K526" s="30" t="n"/>
      <c r="L526" s="30" t="n"/>
      <c r="M526" s="30" t="n"/>
      <c r="N526" s="32" t="n"/>
      <c r="O526" s="30" t="n"/>
      <c r="P526" s="32" t="n"/>
      <c r="Q526" s="30" t="n"/>
      <c r="R526" s="32" t="n"/>
      <c r="S526" s="30" t="n"/>
      <c r="T526" s="30" t="n"/>
      <c r="U526" s="30" t="n"/>
      <c r="V526" s="30" t="n"/>
      <c r="W526" s="29">
        <f>IF(H526="","",IF(H526="Kenya","Yes","No"))</f>
        <v/>
      </c>
      <c r="X526" s="29">
        <f>IF(B526="","",IF(COUNTIF($B$5:$B$3004,B526)&gt;1,"DUPLICATE","OK"))</f>
        <v/>
      </c>
      <c r="Y526" s="29">
        <f>IF(OR(U526="",V526="",V526="Excluded"),"",IF(COUNTIFS($U$5:$U$3004,U526,$V$5:$V$3004,"&lt;&gt;"&amp;V526,$V$5:$V$3004,"&lt;&gt;",$V$5:$V$3004,"&lt;&gt;Excluded")&gt;0,"LEAK RISK","OK"))</f>
        <v/>
      </c>
      <c r="Z526" s="30" t="n"/>
    </row>
    <row r="527">
      <c r="A527" s="30" t="n"/>
      <c r="B527" s="30" t="n"/>
      <c r="C527" s="30" t="n"/>
      <c r="D527" s="30" t="n"/>
      <c r="E527" s="30" t="n"/>
      <c r="F527" s="30" t="n"/>
      <c r="G527" s="30" t="n"/>
      <c r="H527" s="30" t="n"/>
      <c r="I527" s="31" t="n"/>
      <c r="J527" s="30" t="n"/>
      <c r="K527" s="30" t="n"/>
      <c r="L527" s="30" t="n"/>
      <c r="M527" s="30" t="n"/>
      <c r="N527" s="32" t="n"/>
      <c r="O527" s="30" t="n"/>
      <c r="P527" s="32" t="n"/>
      <c r="Q527" s="30" t="n"/>
      <c r="R527" s="32" t="n"/>
      <c r="S527" s="30" t="n"/>
      <c r="T527" s="30" t="n"/>
      <c r="U527" s="30" t="n"/>
      <c r="V527" s="30" t="n"/>
      <c r="W527" s="29">
        <f>IF(H527="","",IF(H527="Kenya","Yes","No"))</f>
        <v/>
      </c>
      <c r="X527" s="29">
        <f>IF(B527="","",IF(COUNTIF($B$5:$B$3004,B527)&gt;1,"DUPLICATE","OK"))</f>
        <v/>
      </c>
      <c r="Y527" s="29">
        <f>IF(OR(U527="",V527="",V527="Excluded"),"",IF(COUNTIFS($U$5:$U$3004,U527,$V$5:$V$3004,"&lt;&gt;"&amp;V527,$V$5:$V$3004,"&lt;&gt;",$V$5:$V$3004,"&lt;&gt;Excluded")&gt;0,"LEAK RISK","OK"))</f>
        <v/>
      </c>
      <c r="Z527" s="30" t="n"/>
    </row>
    <row r="528">
      <c r="A528" s="30" t="n"/>
      <c r="B528" s="30" t="n"/>
      <c r="C528" s="30" t="n"/>
      <c r="D528" s="30" t="n"/>
      <c r="E528" s="30" t="n"/>
      <c r="F528" s="30" t="n"/>
      <c r="G528" s="30" t="n"/>
      <c r="H528" s="30" t="n"/>
      <c r="I528" s="31" t="n"/>
      <c r="J528" s="30" t="n"/>
      <c r="K528" s="30" t="n"/>
      <c r="L528" s="30" t="n"/>
      <c r="M528" s="30" t="n"/>
      <c r="N528" s="32" t="n"/>
      <c r="O528" s="30" t="n"/>
      <c r="P528" s="32" t="n"/>
      <c r="Q528" s="30" t="n"/>
      <c r="R528" s="32" t="n"/>
      <c r="S528" s="30" t="n"/>
      <c r="T528" s="30" t="n"/>
      <c r="U528" s="30" t="n"/>
      <c r="V528" s="30" t="n"/>
      <c r="W528" s="29">
        <f>IF(H528="","",IF(H528="Kenya","Yes","No"))</f>
        <v/>
      </c>
      <c r="X528" s="29">
        <f>IF(B528="","",IF(COUNTIF($B$5:$B$3004,B528)&gt;1,"DUPLICATE","OK"))</f>
        <v/>
      </c>
      <c r="Y528" s="29">
        <f>IF(OR(U528="",V528="",V528="Excluded"),"",IF(COUNTIFS($U$5:$U$3004,U528,$V$5:$V$3004,"&lt;&gt;"&amp;V528,$V$5:$V$3004,"&lt;&gt;",$V$5:$V$3004,"&lt;&gt;Excluded")&gt;0,"LEAK RISK","OK"))</f>
        <v/>
      </c>
      <c r="Z528" s="30" t="n"/>
    </row>
    <row r="529">
      <c r="A529" s="30" t="n"/>
      <c r="B529" s="30" t="n"/>
      <c r="C529" s="30" t="n"/>
      <c r="D529" s="30" t="n"/>
      <c r="E529" s="30" t="n"/>
      <c r="F529" s="30" t="n"/>
      <c r="G529" s="30" t="n"/>
      <c r="H529" s="30" t="n"/>
      <c r="I529" s="31" t="n"/>
      <c r="J529" s="30" t="n"/>
      <c r="K529" s="30" t="n"/>
      <c r="L529" s="30" t="n"/>
      <c r="M529" s="30" t="n"/>
      <c r="N529" s="32" t="n"/>
      <c r="O529" s="30" t="n"/>
      <c r="P529" s="32" t="n"/>
      <c r="Q529" s="30" t="n"/>
      <c r="R529" s="32" t="n"/>
      <c r="S529" s="30" t="n"/>
      <c r="T529" s="30" t="n"/>
      <c r="U529" s="30" t="n"/>
      <c r="V529" s="30" t="n"/>
      <c r="W529" s="29">
        <f>IF(H529="","",IF(H529="Kenya","Yes","No"))</f>
        <v/>
      </c>
      <c r="X529" s="29">
        <f>IF(B529="","",IF(COUNTIF($B$5:$B$3004,B529)&gt;1,"DUPLICATE","OK"))</f>
        <v/>
      </c>
      <c r="Y529" s="29">
        <f>IF(OR(U529="",V529="",V529="Excluded"),"",IF(COUNTIFS($U$5:$U$3004,U529,$V$5:$V$3004,"&lt;&gt;"&amp;V529,$V$5:$V$3004,"&lt;&gt;",$V$5:$V$3004,"&lt;&gt;Excluded")&gt;0,"LEAK RISK","OK"))</f>
        <v/>
      </c>
      <c r="Z529" s="30" t="n"/>
    </row>
    <row r="530">
      <c r="A530" s="30" t="n"/>
      <c r="B530" s="30" t="n"/>
      <c r="C530" s="30" t="n"/>
      <c r="D530" s="30" t="n"/>
      <c r="E530" s="30" t="n"/>
      <c r="F530" s="30" t="n"/>
      <c r="G530" s="30" t="n"/>
      <c r="H530" s="30" t="n"/>
      <c r="I530" s="31" t="n"/>
      <c r="J530" s="30" t="n"/>
      <c r="K530" s="30" t="n"/>
      <c r="L530" s="30" t="n"/>
      <c r="M530" s="30" t="n"/>
      <c r="N530" s="32" t="n"/>
      <c r="O530" s="30" t="n"/>
      <c r="P530" s="32" t="n"/>
      <c r="Q530" s="30" t="n"/>
      <c r="R530" s="32" t="n"/>
      <c r="S530" s="30" t="n"/>
      <c r="T530" s="30" t="n"/>
      <c r="U530" s="30" t="n"/>
      <c r="V530" s="30" t="n"/>
      <c r="W530" s="29">
        <f>IF(H530="","",IF(H530="Kenya","Yes","No"))</f>
        <v/>
      </c>
      <c r="X530" s="29">
        <f>IF(B530="","",IF(COUNTIF($B$5:$B$3004,B530)&gt;1,"DUPLICATE","OK"))</f>
        <v/>
      </c>
      <c r="Y530" s="29">
        <f>IF(OR(U530="",V530="",V530="Excluded"),"",IF(COUNTIFS($U$5:$U$3004,U530,$V$5:$V$3004,"&lt;&gt;"&amp;V530,$V$5:$V$3004,"&lt;&gt;",$V$5:$V$3004,"&lt;&gt;Excluded")&gt;0,"LEAK RISK","OK"))</f>
        <v/>
      </c>
      <c r="Z530" s="30" t="n"/>
    </row>
    <row r="531">
      <c r="A531" s="30" t="n"/>
      <c r="B531" s="30" t="n"/>
      <c r="C531" s="30" t="n"/>
      <c r="D531" s="30" t="n"/>
      <c r="E531" s="30" t="n"/>
      <c r="F531" s="30" t="n"/>
      <c r="G531" s="30" t="n"/>
      <c r="H531" s="30" t="n"/>
      <c r="I531" s="31" t="n"/>
      <c r="J531" s="30" t="n"/>
      <c r="K531" s="30" t="n"/>
      <c r="L531" s="30" t="n"/>
      <c r="M531" s="30" t="n"/>
      <c r="N531" s="32" t="n"/>
      <c r="O531" s="30" t="n"/>
      <c r="P531" s="32" t="n"/>
      <c r="Q531" s="30" t="n"/>
      <c r="R531" s="32" t="n"/>
      <c r="S531" s="30" t="n"/>
      <c r="T531" s="30" t="n"/>
      <c r="U531" s="30" t="n"/>
      <c r="V531" s="30" t="n"/>
      <c r="W531" s="29">
        <f>IF(H531="","",IF(H531="Kenya","Yes","No"))</f>
        <v/>
      </c>
      <c r="X531" s="29">
        <f>IF(B531="","",IF(COUNTIF($B$5:$B$3004,B531)&gt;1,"DUPLICATE","OK"))</f>
        <v/>
      </c>
      <c r="Y531" s="29">
        <f>IF(OR(U531="",V531="",V531="Excluded"),"",IF(COUNTIFS($U$5:$U$3004,U531,$V$5:$V$3004,"&lt;&gt;"&amp;V531,$V$5:$V$3004,"&lt;&gt;",$V$5:$V$3004,"&lt;&gt;Excluded")&gt;0,"LEAK RISK","OK"))</f>
        <v/>
      </c>
      <c r="Z531" s="30" t="n"/>
    </row>
    <row r="532">
      <c r="A532" s="30" t="n"/>
      <c r="B532" s="30" t="n"/>
      <c r="C532" s="30" t="n"/>
      <c r="D532" s="30" t="n"/>
      <c r="E532" s="30" t="n"/>
      <c r="F532" s="30" t="n"/>
      <c r="G532" s="30" t="n"/>
      <c r="H532" s="30" t="n"/>
      <c r="I532" s="31" t="n"/>
      <c r="J532" s="30" t="n"/>
      <c r="K532" s="30" t="n"/>
      <c r="L532" s="30" t="n"/>
      <c r="M532" s="30" t="n"/>
      <c r="N532" s="32" t="n"/>
      <c r="O532" s="30" t="n"/>
      <c r="P532" s="32" t="n"/>
      <c r="Q532" s="30" t="n"/>
      <c r="R532" s="32" t="n"/>
      <c r="S532" s="30" t="n"/>
      <c r="T532" s="30" t="n"/>
      <c r="U532" s="30" t="n"/>
      <c r="V532" s="30" t="n"/>
      <c r="W532" s="29">
        <f>IF(H532="","",IF(H532="Kenya","Yes","No"))</f>
        <v/>
      </c>
      <c r="X532" s="29">
        <f>IF(B532="","",IF(COUNTIF($B$5:$B$3004,B532)&gt;1,"DUPLICATE","OK"))</f>
        <v/>
      </c>
      <c r="Y532" s="29">
        <f>IF(OR(U532="",V532="",V532="Excluded"),"",IF(COUNTIFS($U$5:$U$3004,U532,$V$5:$V$3004,"&lt;&gt;"&amp;V532,$V$5:$V$3004,"&lt;&gt;",$V$5:$V$3004,"&lt;&gt;Excluded")&gt;0,"LEAK RISK","OK"))</f>
        <v/>
      </c>
      <c r="Z532" s="30" t="n"/>
    </row>
    <row r="533">
      <c r="A533" s="30" t="n"/>
      <c r="B533" s="30" t="n"/>
      <c r="C533" s="30" t="n"/>
      <c r="D533" s="30" t="n"/>
      <c r="E533" s="30" t="n"/>
      <c r="F533" s="30" t="n"/>
      <c r="G533" s="30" t="n"/>
      <c r="H533" s="30" t="n"/>
      <c r="I533" s="31" t="n"/>
      <c r="J533" s="30" t="n"/>
      <c r="K533" s="30" t="n"/>
      <c r="L533" s="30" t="n"/>
      <c r="M533" s="30" t="n"/>
      <c r="N533" s="32" t="n"/>
      <c r="O533" s="30" t="n"/>
      <c r="P533" s="32" t="n"/>
      <c r="Q533" s="30" t="n"/>
      <c r="R533" s="32" t="n"/>
      <c r="S533" s="30" t="n"/>
      <c r="T533" s="30" t="n"/>
      <c r="U533" s="30" t="n"/>
      <c r="V533" s="30" t="n"/>
      <c r="W533" s="29">
        <f>IF(H533="","",IF(H533="Kenya","Yes","No"))</f>
        <v/>
      </c>
      <c r="X533" s="29">
        <f>IF(B533="","",IF(COUNTIF($B$5:$B$3004,B533)&gt;1,"DUPLICATE","OK"))</f>
        <v/>
      </c>
      <c r="Y533" s="29">
        <f>IF(OR(U533="",V533="",V533="Excluded"),"",IF(COUNTIFS($U$5:$U$3004,U533,$V$5:$V$3004,"&lt;&gt;"&amp;V533,$V$5:$V$3004,"&lt;&gt;",$V$5:$V$3004,"&lt;&gt;Excluded")&gt;0,"LEAK RISK","OK"))</f>
        <v/>
      </c>
      <c r="Z533" s="30" t="n"/>
    </row>
    <row r="534">
      <c r="A534" s="30" t="n"/>
      <c r="B534" s="30" t="n"/>
      <c r="C534" s="30" t="n"/>
      <c r="D534" s="30" t="n"/>
      <c r="E534" s="30" t="n"/>
      <c r="F534" s="30" t="n"/>
      <c r="G534" s="30" t="n"/>
      <c r="H534" s="30" t="n"/>
      <c r="I534" s="31" t="n"/>
      <c r="J534" s="30" t="n"/>
      <c r="K534" s="30" t="n"/>
      <c r="L534" s="30" t="n"/>
      <c r="M534" s="30" t="n"/>
      <c r="N534" s="32" t="n"/>
      <c r="O534" s="30" t="n"/>
      <c r="P534" s="32" t="n"/>
      <c r="Q534" s="30" t="n"/>
      <c r="R534" s="32" t="n"/>
      <c r="S534" s="30" t="n"/>
      <c r="T534" s="30" t="n"/>
      <c r="U534" s="30" t="n"/>
      <c r="V534" s="30" t="n"/>
      <c r="W534" s="29">
        <f>IF(H534="","",IF(H534="Kenya","Yes","No"))</f>
        <v/>
      </c>
      <c r="X534" s="29">
        <f>IF(B534="","",IF(COUNTIF($B$5:$B$3004,B534)&gt;1,"DUPLICATE","OK"))</f>
        <v/>
      </c>
      <c r="Y534" s="29">
        <f>IF(OR(U534="",V534="",V534="Excluded"),"",IF(COUNTIFS($U$5:$U$3004,U534,$V$5:$V$3004,"&lt;&gt;"&amp;V534,$V$5:$V$3004,"&lt;&gt;",$V$5:$V$3004,"&lt;&gt;Excluded")&gt;0,"LEAK RISK","OK"))</f>
        <v/>
      </c>
      <c r="Z534" s="30" t="n"/>
    </row>
    <row r="535">
      <c r="A535" s="30" t="n"/>
      <c r="B535" s="30" t="n"/>
      <c r="C535" s="30" t="n"/>
      <c r="D535" s="30" t="n"/>
      <c r="E535" s="30" t="n"/>
      <c r="F535" s="30" t="n"/>
      <c r="G535" s="30" t="n"/>
      <c r="H535" s="30" t="n"/>
      <c r="I535" s="31" t="n"/>
      <c r="J535" s="30" t="n"/>
      <c r="K535" s="30" t="n"/>
      <c r="L535" s="30" t="n"/>
      <c r="M535" s="30" t="n"/>
      <c r="N535" s="32" t="n"/>
      <c r="O535" s="30" t="n"/>
      <c r="P535" s="32" t="n"/>
      <c r="Q535" s="30" t="n"/>
      <c r="R535" s="32" t="n"/>
      <c r="S535" s="30" t="n"/>
      <c r="T535" s="30" t="n"/>
      <c r="U535" s="30" t="n"/>
      <c r="V535" s="30" t="n"/>
      <c r="W535" s="29">
        <f>IF(H535="","",IF(H535="Kenya","Yes","No"))</f>
        <v/>
      </c>
      <c r="X535" s="29">
        <f>IF(B535="","",IF(COUNTIF($B$5:$B$3004,B535)&gt;1,"DUPLICATE","OK"))</f>
        <v/>
      </c>
      <c r="Y535" s="29">
        <f>IF(OR(U535="",V535="",V535="Excluded"),"",IF(COUNTIFS($U$5:$U$3004,U535,$V$5:$V$3004,"&lt;&gt;"&amp;V535,$V$5:$V$3004,"&lt;&gt;",$V$5:$V$3004,"&lt;&gt;Excluded")&gt;0,"LEAK RISK","OK"))</f>
        <v/>
      </c>
      <c r="Z535" s="30" t="n"/>
    </row>
    <row r="536">
      <c r="A536" s="30" t="n"/>
      <c r="B536" s="30" t="n"/>
      <c r="C536" s="30" t="n"/>
      <c r="D536" s="30" t="n"/>
      <c r="E536" s="30" t="n"/>
      <c r="F536" s="30" t="n"/>
      <c r="G536" s="30" t="n"/>
      <c r="H536" s="30" t="n"/>
      <c r="I536" s="31" t="n"/>
      <c r="J536" s="30" t="n"/>
      <c r="K536" s="30" t="n"/>
      <c r="L536" s="30" t="n"/>
      <c r="M536" s="30" t="n"/>
      <c r="N536" s="32" t="n"/>
      <c r="O536" s="30" t="n"/>
      <c r="P536" s="32" t="n"/>
      <c r="Q536" s="30" t="n"/>
      <c r="R536" s="32" t="n"/>
      <c r="S536" s="30" t="n"/>
      <c r="T536" s="30" t="n"/>
      <c r="U536" s="30" t="n"/>
      <c r="V536" s="30" t="n"/>
      <c r="W536" s="29">
        <f>IF(H536="","",IF(H536="Kenya","Yes","No"))</f>
        <v/>
      </c>
      <c r="X536" s="29">
        <f>IF(B536="","",IF(COUNTIF($B$5:$B$3004,B536)&gt;1,"DUPLICATE","OK"))</f>
        <v/>
      </c>
      <c r="Y536" s="29">
        <f>IF(OR(U536="",V536="",V536="Excluded"),"",IF(COUNTIFS($U$5:$U$3004,U536,$V$5:$V$3004,"&lt;&gt;"&amp;V536,$V$5:$V$3004,"&lt;&gt;",$V$5:$V$3004,"&lt;&gt;Excluded")&gt;0,"LEAK RISK","OK"))</f>
        <v/>
      </c>
      <c r="Z536" s="30" t="n"/>
    </row>
    <row r="537">
      <c r="A537" s="30" t="n"/>
      <c r="B537" s="30" t="n"/>
      <c r="C537" s="30" t="n"/>
      <c r="D537" s="30" t="n"/>
      <c r="E537" s="30" t="n"/>
      <c r="F537" s="30" t="n"/>
      <c r="G537" s="30" t="n"/>
      <c r="H537" s="30" t="n"/>
      <c r="I537" s="31" t="n"/>
      <c r="J537" s="30" t="n"/>
      <c r="K537" s="30" t="n"/>
      <c r="L537" s="30" t="n"/>
      <c r="M537" s="30" t="n"/>
      <c r="N537" s="32" t="n"/>
      <c r="O537" s="30" t="n"/>
      <c r="P537" s="32" t="n"/>
      <c r="Q537" s="30" t="n"/>
      <c r="R537" s="32" t="n"/>
      <c r="S537" s="30" t="n"/>
      <c r="T537" s="30" t="n"/>
      <c r="U537" s="30" t="n"/>
      <c r="V537" s="30" t="n"/>
      <c r="W537" s="29">
        <f>IF(H537="","",IF(H537="Kenya","Yes","No"))</f>
        <v/>
      </c>
      <c r="X537" s="29">
        <f>IF(B537="","",IF(COUNTIF($B$5:$B$3004,B537)&gt;1,"DUPLICATE","OK"))</f>
        <v/>
      </c>
      <c r="Y537" s="29">
        <f>IF(OR(U537="",V537="",V537="Excluded"),"",IF(COUNTIFS($U$5:$U$3004,U537,$V$5:$V$3004,"&lt;&gt;"&amp;V537,$V$5:$V$3004,"&lt;&gt;",$V$5:$V$3004,"&lt;&gt;Excluded")&gt;0,"LEAK RISK","OK"))</f>
        <v/>
      </c>
      <c r="Z537" s="30" t="n"/>
    </row>
    <row r="538">
      <c r="A538" s="30" t="n"/>
      <c r="B538" s="30" t="n"/>
      <c r="C538" s="30" t="n"/>
      <c r="D538" s="30" t="n"/>
      <c r="E538" s="30" t="n"/>
      <c r="F538" s="30" t="n"/>
      <c r="G538" s="30" t="n"/>
      <c r="H538" s="30" t="n"/>
      <c r="I538" s="31" t="n"/>
      <c r="J538" s="30" t="n"/>
      <c r="K538" s="30" t="n"/>
      <c r="L538" s="30" t="n"/>
      <c r="M538" s="30" t="n"/>
      <c r="N538" s="32" t="n"/>
      <c r="O538" s="30" t="n"/>
      <c r="P538" s="32" t="n"/>
      <c r="Q538" s="30" t="n"/>
      <c r="R538" s="32" t="n"/>
      <c r="S538" s="30" t="n"/>
      <c r="T538" s="30" t="n"/>
      <c r="U538" s="30" t="n"/>
      <c r="V538" s="30" t="n"/>
      <c r="W538" s="29">
        <f>IF(H538="","",IF(H538="Kenya","Yes","No"))</f>
        <v/>
      </c>
      <c r="X538" s="29">
        <f>IF(B538="","",IF(COUNTIF($B$5:$B$3004,B538)&gt;1,"DUPLICATE","OK"))</f>
        <v/>
      </c>
      <c r="Y538" s="29">
        <f>IF(OR(U538="",V538="",V538="Excluded"),"",IF(COUNTIFS($U$5:$U$3004,U538,$V$5:$V$3004,"&lt;&gt;"&amp;V538,$V$5:$V$3004,"&lt;&gt;",$V$5:$V$3004,"&lt;&gt;Excluded")&gt;0,"LEAK RISK","OK"))</f>
        <v/>
      </c>
      <c r="Z538" s="30" t="n"/>
    </row>
    <row r="539">
      <c r="A539" s="30" t="n"/>
      <c r="B539" s="30" t="n"/>
      <c r="C539" s="30" t="n"/>
      <c r="D539" s="30" t="n"/>
      <c r="E539" s="30" t="n"/>
      <c r="F539" s="30" t="n"/>
      <c r="G539" s="30" t="n"/>
      <c r="H539" s="30" t="n"/>
      <c r="I539" s="31" t="n"/>
      <c r="J539" s="30" t="n"/>
      <c r="K539" s="30" t="n"/>
      <c r="L539" s="30" t="n"/>
      <c r="M539" s="30" t="n"/>
      <c r="N539" s="32" t="n"/>
      <c r="O539" s="30" t="n"/>
      <c r="P539" s="32" t="n"/>
      <c r="Q539" s="30" t="n"/>
      <c r="R539" s="32" t="n"/>
      <c r="S539" s="30" t="n"/>
      <c r="T539" s="30" t="n"/>
      <c r="U539" s="30" t="n"/>
      <c r="V539" s="30" t="n"/>
      <c r="W539" s="29">
        <f>IF(H539="","",IF(H539="Kenya","Yes","No"))</f>
        <v/>
      </c>
      <c r="X539" s="29">
        <f>IF(B539="","",IF(COUNTIF($B$5:$B$3004,B539)&gt;1,"DUPLICATE","OK"))</f>
        <v/>
      </c>
      <c r="Y539" s="29">
        <f>IF(OR(U539="",V539="",V539="Excluded"),"",IF(COUNTIFS($U$5:$U$3004,U539,$V$5:$V$3004,"&lt;&gt;"&amp;V539,$V$5:$V$3004,"&lt;&gt;",$V$5:$V$3004,"&lt;&gt;Excluded")&gt;0,"LEAK RISK","OK"))</f>
        <v/>
      </c>
      <c r="Z539" s="30" t="n"/>
    </row>
    <row r="540">
      <c r="A540" s="30" t="n"/>
      <c r="B540" s="30" t="n"/>
      <c r="C540" s="30" t="n"/>
      <c r="D540" s="30" t="n"/>
      <c r="E540" s="30" t="n"/>
      <c r="F540" s="30" t="n"/>
      <c r="G540" s="30" t="n"/>
      <c r="H540" s="30" t="n"/>
      <c r="I540" s="31" t="n"/>
      <c r="J540" s="30" t="n"/>
      <c r="K540" s="30" t="n"/>
      <c r="L540" s="30" t="n"/>
      <c r="M540" s="30" t="n"/>
      <c r="N540" s="32" t="n"/>
      <c r="O540" s="30" t="n"/>
      <c r="P540" s="32" t="n"/>
      <c r="Q540" s="30" t="n"/>
      <c r="R540" s="32" t="n"/>
      <c r="S540" s="30" t="n"/>
      <c r="T540" s="30" t="n"/>
      <c r="U540" s="30" t="n"/>
      <c r="V540" s="30" t="n"/>
      <c r="W540" s="29">
        <f>IF(H540="","",IF(H540="Kenya","Yes","No"))</f>
        <v/>
      </c>
      <c r="X540" s="29">
        <f>IF(B540="","",IF(COUNTIF($B$5:$B$3004,B540)&gt;1,"DUPLICATE","OK"))</f>
        <v/>
      </c>
      <c r="Y540" s="29">
        <f>IF(OR(U540="",V540="",V540="Excluded"),"",IF(COUNTIFS($U$5:$U$3004,U540,$V$5:$V$3004,"&lt;&gt;"&amp;V540,$V$5:$V$3004,"&lt;&gt;",$V$5:$V$3004,"&lt;&gt;Excluded")&gt;0,"LEAK RISK","OK"))</f>
        <v/>
      </c>
      <c r="Z540" s="30" t="n"/>
    </row>
    <row r="541">
      <c r="A541" s="30" t="n"/>
      <c r="B541" s="30" t="n"/>
      <c r="C541" s="30" t="n"/>
      <c r="D541" s="30" t="n"/>
      <c r="E541" s="30" t="n"/>
      <c r="F541" s="30" t="n"/>
      <c r="G541" s="30" t="n"/>
      <c r="H541" s="30" t="n"/>
      <c r="I541" s="31" t="n"/>
      <c r="J541" s="30" t="n"/>
      <c r="K541" s="30" t="n"/>
      <c r="L541" s="30" t="n"/>
      <c r="M541" s="30" t="n"/>
      <c r="N541" s="32" t="n"/>
      <c r="O541" s="30" t="n"/>
      <c r="P541" s="32" t="n"/>
      <c r="Q541" s="30" t="n"/>
      <c r="R541" s="32" t="n"/>
      <c r="S541" s="30" t="n"/>
      <c r="T541" s="30" t="n"/>
      <c r="U541" s="30" t="n"/>
      <c r="V541" s="30" t="n"/>
      <c r="W541" s="29">
        <f>IF(H541="","",IF(H541="Kenya","Yes","No"))</f>
        <v/>
      </c>
      <c r="X541" s="29">
        <f>IF(B541="","",IF(COUNTIF($B$5:$B$3004,B541)&gt;1,"DUPLICATE","OK"))</f>
        <v/>
      </c>
      <c r="Y541" s="29">
        <f>IF(OR(U541="",V541="",V541="Excluded"),"",IF(COUNTIFS($U$5:$U$3004,U541,$V$5:$V$3004,"&lt;&gt;"&amp;V541,$V$5:$V$3004,"&lt;&gt;",$V$5:$V$3004,"&lt;&gt;Excluded")&gt;0,"LEAK RISK","OK"))</f>
        <v/>
      </c>
      <c r="Z541" s="30" t="n"/>
    </row>
    <row r="542">
      <c r="A542" s="30" t="n"/>
      <c r="B542" s="30" t="n"/>
      <c r="C542" s="30" t="n"/>
      <c r="D542" s="30" t="n"/>
      <c r="E542" s="30" t="n"/>
      <c r="F542" s="30" t="n"/>
      <c r="G542" s="30" t="n"/>
      <c r="H542" s="30" t="n"/>
      <c r="I542" s="31" t="n"/>
      <c r="J542" s="30" t="n"/>
      <c r="K542" s="30" t="n"/>
      <c r="L542" s="30" t="n"/>
      <c r="M542" s="30" t="n"/>
      <c r="N542" s="32" t="n"/>
      <c r="O542" s="30" t="n"/>
      <c r="P542" s="32" t="n"/>
      <c r="Q542" s="30" t="n"/>
      <c r="R542" s="32" t="n"/>
      <c r="S542" s="30" t="n"/>
      <c r="T542" s="30" t="n"/>
      <c r="U542" s="30" t="n"/>
      <c r="V542" s="30" t="n"/>
      <c r="W542" s="29">
        <f>IF(H542="","",IF(H542="Kenya","Yes","No"))</f>
        <v/>
      </c>
      <c r="X542" s="29">
        <f>IF(B542="","",IF(COUNTIF($B$5:$B$3004,B542)&gt;1,"DUPLICATE","OK"))</f>
        <v/>
      </c>
      <c r="Y542" s="29">
        <f>IF(OR(U542="",V542="",V542="Excluded"),"",IF(COUNTIFS($U$5:$U$3004,U542,$V$5:$V$3004,"&lt;&gt;"&amp;V542,$V$5:$V$3004,"&lt;&gt;",$V$5:$V$3004,"&lt;&gt;Excluded")&gt;0,"LEAK RISK","OK"))</f>
        <v/>
      </c>
      <c r="Z542" s="30" t="n"/>
    </row>
    <row r="543">
      <c r="A543" s="30" t="n"/>
      <c r="B543" s="30" t="n"/>
      <c r="C543" s="30" t="n"/>
      <c r="D543" s="30" t="n"/>
      <c r="E543" s="30" t="n"/>
      <c r="F543" s="30" t="n"/>
      <c r="G543" s="30" t="n"/>
      <c r="H543" s="30" t="n"/>
      <c r="I543" s="31" t="n"/>
      <c r="J543" s="30" t="n"/>
      <c r="K543" s="30" t="n"/>
      <c r="L543" s="30" t="n"/>
      <c r="M543" s="30" t="n"/>
      <c r="N543" s="32" t="n"/>
      <c r="O543" s="30" t="n"/>
      <c r="P543" s="32" t="n"/>
      <c r="Q543" s="30" t="n"/>
      <c r="R543" s="32" t="n"/>
      <c r="S543" s="30" t="n"/>
      <c r="T543" s="30" t="n"/>
      <c r="U543" s="30" t="n"/>
      <c r="V543" s="30" t="n"/>
      <c r="W543" s="29">
        <f>IF(H543="","",IF(H543="Kenya","Yes","No"))</f>
        <v/>
      </c>
      <c r="X543" s="29">
        <f>IF(B543="","",IF(COUNTIF($B$5:$B$3004,B543)&gt;1,"DUPLICATE","OK"))</f>
        <v/>
      </c>
      <c r="Y543" s="29">
        <f>IF(OR(U543="",V543="",V543="Excluded"),"",IF(COUNTIFS($U$5:$U$3004,U543,$V$5:$V$3004,"&lt;&gt;"&amp;V543,$V$5:$V$3004,"&lt;&gt;",$V$5:$V$3004,"&lt;&gt;Excluded")&gt;0,"LEAK RISK","OK"))</f>
        <v/>
      </c>
      <c r="Z543" s="30" t="n"/>
    </row>
    <row r="544">
      <c r="A544" s="30" t="n"/>
      <c r="B544" s="30" t="n"/>
      <c r="C544" s="30" t="n"/>
      <c r="D544" s="30" t="n"/>
      <c r="E544" s="30" t="n"/>
      <c r="F544" s="30" t="n"/>
      <c r="G544" s="30" t="n"/>
      <c r="H544" s="30" t="n"/>
      <c r="I544" s="31" t="n"/>
      <c r="J544" s="30" t="n"/>
      <c r="K544" s="30" t="n"/>
      <c r="L544" s="30" t="n"/>
      <c r="M544" s="30" t="n"/>
      <c r="N544" s="32" t="n"/>
      <c r="O544" s="30" t="n"/>
      <c r="P544" s="32" t="n"/>
      <c r="Q544" s="30" t="n"/>
      <c r="R544" s="32" t="n"/>
      <c r="S544" s="30" t="n"/>
      <c r="T544" s="30" t="n"/>
      <c r="U544" s="30" t="n"/>
      <c r="V544" s="30" t="n"/>
      <c r="W544" s="29">
        <f>IF(H544="","",IF(H544="Kenya","Yes","No"))</f>
        <v/>
      </c>
      <c r="X544" s="29">
        <f>IF(B544="","",IF(COUNTIF($B$5:$B$3004,B544)&gt;1,"DUPLICATE","OK"))</f>
        <v/>
      </c>
      <c r="Y544" s="29">
        <f>IF(OR(U544="",V544="",V544="Excluded"),"",IF(COUNTIFS($U$5:$U$3004,U544,$V$5:$V$3004,"&lt;&gt;"&amp;V544,$V$5:$V$3004,"&lt;&gt;",$V$5:$V$3004,"&lt;&gt;Excluded")&gt;0,"LEAK RISK","OK"))</f>
        <v/>
      </c>
      <c r="Z544" s="30" t="n"/>
    </row>
    <row r="545">
      <c r="A545" s="30" t="n"/>
      <c r="B545" s="30" t="n"/>
      <c r="C545" s="30" t="n"/>
      <c r="D545" s="30" t="n"/>
      <c r="E545" s="30" t="n"/>
      <c r="F545" s="30" t="n"/>
      <c r="G545" s="30" t="n"/>
      <c r="H545" s="30" t="n"/>
      <c r="I545" s="31" t="n"/>
      <c r="J545" s="30" t="n"/>
      <c r="K545" s="30" t="n"/>
      <c r="L545" s="30" t="n"/>
      <c r="M545" s="30" t="n"/>
      <c r="N545" s="32" t="n"/>
      <c r="O545" s="30" t="n"/>
      <c r="P545" s="32" t="n"/>
      <c r="Q545" s="30" t="n"/>
      <c r="R545" s="32" t="n"/>
      <c r="S545" s="30" t="n"/>
      <c r="T545" s="30" t="n"/>
      <c r="U545" s="30" t="n"/>
      <c r="V545" s="30" t="n"/>
      <c r="W545" s="29">
        <f>IF(H545="","",IF(H545="Kenya","Yes","No"))</f>
        <v/>
      </c>
      <c r="X545" s="29">
        <f>IF(B545="","",IF(COUNTIF($B$5:$B$3004,B545)&gt;1,"DUPLICATE","OK"))</f>
        <v/>
      </c>
      <c r="Y545" s="29">
        <f>IF(OR(U545="",V545="",V545="Excluded"),"",IF(COUNTIFS($U$5:$U$3004,U545,$V$5:$V$3004,"&lt;&gt;"&amp;V545,$V$5:$V$3004,"&lt;&gt;",$V$5:$V$3004,"&lt;&gt;Excluded")&gt;0,"LEAK RISK","OK"))</f>
        <v/>
      </c>
      <c r="Z545" s="30" t="n"/>
    </row>
    <row r="546">
      <c r="A546" s="30" t="n"/>
      <c r="B546" s="30" t="n"/>
      <c r="C546" s="30" t="n"/>
      <c r="D546" s="30" t="n"/>
      <c r="E546" s="30" t="n"/>
      <c r="F546" s="30" t="n"/>
      <c r="G546" s="30" t="n"/>
      <c r="H546" s="30" t="n"/>
      <c r="I546" s="31" t="n"/>
      <c r="J546" s="30" t="n"/>
      <c r="K546" s="30" t="n"/>
      <c r="L546" s="30" t="n"/>
      <c r="M546" s="30" t="n"/>
      <c r="N546" s="32" t="n"/>
      <c r="O546" s="30" t="n"/>
      <c r="P546" s="32" t="n"/>
      <c r="Q546" s="30" t="n"/>
      <c r="R546" s="32" t="n"/>
      <c r="S546" s="30" t="n"/>
      <c r="T546" s="30" t="n"/>
      <c r="U546" s="30" t="n"/>
      <c r="V546" s="30" t="n"/>
      <c r="W546" s="29">
        <f>IF(H546="","",IF(H546="Kenya","Yes","No"))</f>
        <v/>
      </c>
      <c r="X546" s="29">
        <f>IF(B546="","",IF(COUNTIF($B$5:$B$3004,B546)&gt;1,"DUPLICATE","OK"))</f>
        <v/>
      </c>
      <c r="Y546" s="29">
        <f>IF(OR(U546="",V546="",V546="Excluded"),"",IF(COUNTIFS($U$5:$U$3004,U546,$V$5:$V$3004,"&lt;&gt;"&amp;V546,$V$5:$V$3004,"&lt;&gt;",$V$5:$V$3004,"&lt;&gt;Excluded")&gt;0,"LEAK RISK","OK"))</f>
        <v/>
      </c>
      <c r="Z546" s="30" t="n"/>
    </row>
    <row r="547">
      <c r="A547" s="30" t="n"/>
      <c r="B547" s="30" t="n"/>
      <c r="C547" s="30" t="n"/>
      <c r="D547" s="30" t="n"/>
      <c r="E547" s="30" t="n"/>
      <c r="F547" s="30" t="n"/>
      <c r="G547" s="30" t="n"/>
      <c r="H547" s="30" t="n"/>
      <c r="I547" s="31" t="n"/>
      <c r="J547" s="30" t="n"/>
      <c r="K547" s="30" t="n"/>
      <c r="L547" s="30" t="n"/>
      <c r="M547" s="30" t="n"/>
      <c r="N547" s="32" t="n"/>
      <c r="O547" s="30" t="n"/>
      <c r="P547" s="32" t="n"/>
      <c r="Q547" s="30" t="n"/>
      <c r="R547" s="32" t="n"/>
      <c r="S547" s="30" t="n"/>
      <c r="T547" s="30" t="n"/>
      <c r="U547" s="30" t="n"/>
      <c r="V547" s="30" t="n"/>
      <c r="W547" s="29">
        <f>IF(H547="","",IF(H547="Kenya","Yes","No"))</f>
        <v/>
      </c>
      <c r="X547" s="29">
        <f>IF(B547="","",IF(COUNTIF($B$5:$B$3004,B547)&gt;1,"DUPLICATE","OK"))</f>
        <v/>
      </c>
      <c r="Y547" s="29">
        <f>IF(OR(U547="",V547="",V547="Excluded"),"",IF(COUNTIFS($U$5:$U$3004,U547,$V$5:$V$3004,"&lt;&gt;"&amp;V547,$V$5:$V$3004,"&lt;&gt;",$V$5:$V$3004,"&lt;&gt;Excluded")&gt;0,"LEAK RISK","OK"))</f>
        <v/>
      </c>
      <c r="Z547" s="30" t="n"/>
    </row>
    <row r="548">
      <c r="A548" s="30" t="n"/>
      <c r="B548" s="30" t="n"/>
      <c r="C548" s="30" t="n"/>
      <c r="D548" s="30" t="n"/>
      <c r="E548" s="30" t="n"/>
      <c r="F548" s="30" t="n"/>
      <c r="G548" s="30" t="n"/>
      <c r="H548" s="30" t="n"/>
      <c r="I548" s="31" t="n"/>
      <c r="J548" s="30" t="n"/>
      <c r="K548" s="30" t="n"/>
      <c r="L548" s="30" t="n"/>
      <c r="M548" s="30" t="n"/>
      <c r="N548" s="32" t="n"/>
      <c r="O548" s="30" t="n"/>
      <c r="P548" s="32" t="n"/>
      <c r="Q548" s="30" t="n"/>
      <c r="R548" s="32" t="n"/>
      <c r="S548" s="30" t="n"/>
      <c r="T548" s="30" t="n"/>
      <c r="U548" s="30" t="n"/>
      <c r="V548" s="30" t="n"/>
      <c r="W548" s="29">
        <f>IF(H548="","",IF(H548="Kenya","Yes","No"))</f>
        <v/>
      </c>
      <c r="X548" s="29">
        <f>IF(B548="","",IF(COUNTIF($B$5:$B$3004,B548)&gt;1,"DUPLICATE","OK"))</f>
        <v/>
      </c>
      <c r="Y548" s="29">
        <f>IF(OR(U548="",V548="",V548="Excluded"),"",IF(COUNTIFS($U$5:$U$3004,U548,$V$5:$V$3004,"&lt;&gt;"&amp;V548,$V$5:$V$3004,"&lt;&gt;",$V$5:$V$3004,"&lt;&gt;Excluded")&gt;0,"LEAK RISK","OK"))</f>
        <v/>
      </c>
      <c r="Z548" s="30" t="n"/>
    </row>
    <row r="549">
      <c r="A549" s="30" t="n"/>
      <c r="B549" s="30" t="n"/>
      <c r="C549" s="30" t="n"/>
      <c r="D549" s="30" t="n"/>
      <c r="E549" s="30" t="n"/>
      <c r="F549" s="30" t="n"/>
      <c r="G549" s="30" t="n"/>
      <c r="H549" s="30" t="n"/>
      <c r="I549" s="31" t="n"/>
      <c r="J549" s="30" t="n"/>
      <c r="K549" s="30" t="n"/>
      <c r="L549" s="30" t="n"/>
      <c r="M549" s="30" t="n"/>
      <c r="N549" s="32" t="n"/>
      <c r="O549" s="30" t="n"/>
      <c r="P549" s="32" t="n"/>
      <c r="Q549" s="30" t="n"/>
      <c r="R549" s="32" t="n"/>
      <c r="S549" s="30" t="n"/>
      <c r="T549" s="30" t="n"/>
      <c r="U549" s="30" t="n"/>
      <c r="V549" s="30" t="n"/>
      <c r="W549" s="29">
        <f>IF(H549="","",IF(H549="Kenya","Yes","No"))</f>
        <v/>
      </c>
      <c r="X549" s="29">
        <f>IF(B549="","",IF(COUNTIF($B$5:$B$3004,B549)&gt;1,"DUPLICATE","OK"))</f>
        <v/>
      </c>
      <c r="Y549" s="29">
        <f>IF(OR(U549="",V549="",V549="Excluded"),"",IF(COUNTIFS($U$5:$U$3004,U549,$V$5:$V$3004,"&lt;&gt;"&amp;V549,$V$5:$V$3004,"&lt;&gt;",$V$5:$V$3004,"&lt;&gt;Excluded")&gt;0,"LEAK RISK","OK"))</f>
        <v/>
      </c>
      <c r="Z549" s="30" t="n"/>
    </row>
    <row r="550">
      <c r="A550" s="30" t="n"/>
      <c r="B550" s="30" t="n"/>
      <c r="C550" s="30" t="n"/>
      <c r="D550" s="30" t="n"/>
      <c r="E550" s="30" t="n"/>
      <c r="F550" s="30" t="n"/>
      <c r="G550" s="30" t="n"/>
      <c r="H550" s="30" t="n"/>
      <c r="I550" s="31" t="n"/>
      <c r="J550" s="30" t="n"/>
      <c r="K550" s="30" t="n"/>
      <c r="L550" s="30" t="n"/>
      <c r="M550" s="30" t="n"/>
      <c r="N550" s="32" t="n"/>
      <c r="O550" s="30" t="n"/>
      <c r="P550" s="32" t="n"/>
      <c r="Q550" s="30" t="n"/>
      <c r="R550" s="32" t="n"/>
      <c r="S550" s="30" t="n"/>
      <c r="T550" s="30" t="n"/>
      <c r="U550" s="30" t="n"/>
      <c r="V550" s="30" t="n"/>
      <c r="W550" s="29">
        <f>IF(H550="","",IF(H550="Kenya","Yes","No"))</f>
        <v/>
      </c>
      <c r="X550" s="29">
        <f>IF(B550="","",IF(COUNTIF($B$5:$B$3004,B550)&gt;1,"DUPLICATE","OK"))</f>
        <v/>
      </c>
      <c r="Y550" s="29">
        <f>IF(OR(U550="",V550="",V550="Excluded"),"",IF(COUNTIFS($U$5:$U$3004,U550,$V$5:$V$3004,"&lt;&gt;"&amp;V550,$V$5:$V$3004,"&lt;&gt;",$V$5:$V$3004,"&lt;&gt;Excluded")&gt;0,"LEAK RISK","OK"))</f>
        <v/>
      </c>
      <c r="Z550" s="30" t="n"/>
    </row>
    <row r="551">
      <c r="A551" s="30" t="n"/>
      <c r="B551" s="30" t="n"/>
      <c r="C551" s="30" t="n"/>
      <c r="D551" s="30" t="n"/>
      <c r="E551" s="30" t="n"/>
      <c r="F551" s="30" t="n"/>
      <c r="G551" s="30" t="n"/>
      <c r="H551" s="30" t="n"/>
      <c r="I551" s="31" t="n"/>
      <c r="J551" s="30" t="n"/>
      <c r="K551" s="30" t="n"/>
      <c r="L551" s="30" t="n"/>
      <c r="M551" s="30" t="n"/>
      <c r="N551" s="32" t="n"/>
      <c r="O551" s="30" t="n"/>
      <c r="P551" s="32" t="n"/>
      <c r="Q551" s="30" t="n"/>
      <c r="R551" s="32" t="n"/>
      <c r="S551" s="30" t="n"/>
      <c r="T551" s="30" t="n"/>
      <c r="U551" s="30" t="n"/>
      <c r="V551" s="30" t="n"/>
      <c r="W551" s="29">
        <f>IF(H551="","",IF(H551="Kenya","Yes","No"))</f>
        <v/>
      </c>
      <c r="X551" s="29">
        <f>IF(B551="","",IF(COUNTIF($B$5:$B$3004,B551)&gt;1,"DUPLICATE","OK"))</f>
        <v/>
      </c>
      <c r="Y551" s="29">
        <f>IF(OR(U551="",V551="",V551="Excluded"),"",IF(COUNTIFS($U$5:$U$3004,U551,$V$5:$V$3004,"&lt;&gt;"&amp;V551,$V$5:$V$3004,"&lt;&gt;",$V$5:$V$3004,"&lt;&gt;Excluded")&gt;0,"LEAK RISK","OK"))</f>
        <v/>
      </c>
      <c r="Z551" s="30" t="n"/>
    </row>
    <row r="552">
      <c r="A552" s="30" t="n"/>
      <c r="B552" s="30" t="n"/>
      <c r="C552" s="30" t="n"/>
      <c r="D552" s="30" t="n"/>
      <c r="E552" s="30" t="n"/>
      <c r="F552" s="30" t="n"/>
      <c r="G552" s="30" t="n"/>
      <c r="H552" s="30" t="n"/>
      <c r="I552" s="31" t="n"/>
      <c r="J552" s="30" t="n"/>
      <c r="K552" s="30" t="n"/>
      <c r="L552" s="30" t="n"/>
      <c r="M552" s="30" t="n"/>
      <c r="N552" s="32" t="n"/>
      <c r="O552" s="30" t="n"/>
      <c r="P552" s="32" t="n"/>
      <c r="Q552" s="30" t="n"/>
      <c r="R552" s="32" t="n"/>
      <c r="S552" s="30" t="n"/>
      <c r="T552" s="30" t="n"/>
      <c r="U552" s="30" t="n"/>
      <c r="V552" s="30" t="n"/>
      <c r="W552" s="29">
        <f>IF(H552="","",IF(H552="Kenya","Yes","No"))</f>
        <v/>
      </c>
      <c r="X552" s="29">
        <f>IF(B552="","",IF(COUNTIF($B$5:$B$3004,B552)&gt;1,"DUPLICATE","OK"))</f>
        <v/>
      </c>
      <c r="Y552" s="29">
        <f>IF(OR(U552="",V552="",V552="Excluded"),"",IF(COUNTIFS($U$5:$U$3004,U552,$V$5:$V$3004,"&lt;&gt;"&amp;V552,$V$5:$V$3004,"&lt;&gt;",$V$5:$V$3004,"&lt;&gt;Excluded")&gt;0,"LEAK RISK","OK"))</f>
        <v/>
      </c>
      <c r="Z552" s="30" t="n"/>
    </row>
    <row r="553">
      <c r="A553" s="30" t="n"/>
      <c r="B553" s="30" t="n"/>
      <c r="C553" s="30" t="n"/>
      <c r="D553" s="30" t="n"/>
      <c r="E553" s="30" t="n"/>
      <c r="F553" s="30" t="n"/>
      <c r="G553" s="30" t="n"/>
      <c r="H553" s="30" t="n"/>
      <c r="I553" s="31" t="n"/>
      <c r="J553" s="30" t="n"/>
      <c r="K553" s="30" t="n"/>
      <c r="L553" s="30" t="n"/>
      <c r="M553" s="30" t="n"/>
      <c r="N553" s="32" t="n"/>
      <c r="O553" s="30" t="n"/>
      <c r="P553" s="32" t="n"/>
      <c r="Q553" s="30" t="n"/>
      <c r="R553" s="32" t="n"/>
      <c r="S553" s="30" t="n"/>
      <c r="T553" s="30" t="n"/>
      <c r="U553" s="30" t="n"/>
      <c r="V553" s="30" t="n"/>
      <c r="W553" s="29">
        <f>IF(H553="","",IF(H553="Kenya","Yes","No"))</f>
        <v/>
      </c>
      <c r="X553" s="29">
        <f>IF(B553="","",IF(COUNTIF($B$5:$B$3004,B553)&gt;1,"DUPLICATE","OK"))</f>
        <v/>
      </c>
      <c r="Y553" s="29">
        <f>IF(OR(U553="",V553="",V553="Excluded"),"",IF(COUNTIFS($U$5:$U$3004,U553,$V$5:$V$3004,"&lt;&gt;"&amp;V553,$V$5:$V$3004,"&lt;&gt;",$V$5:$V$3004,"&lt;&gt;Excluded")&gt;0,"LEAK RISK","OK"))</f>
        <v/>
      </c>
      <c r="Z553" s="30" t="n"/>
    </row>
    <row r="554">
      <c r="A554" s="30" t="n"/>
      <c r="B554" s="30" t="n"/>
      <c r="C554" s="30" t="n"/>
      <c r="D554" s="30" t="n"/>
      <c r="E554" s="30" t="n"/>
      <c r="F554" s="30" t="n"/>
      <c r="G554" s="30" t="n"/>
      <c r="H554" s="30" t="n"/>
      <c r="I554" s="31" t="n"/>
      <c r="J554" s="30" t="n"/>
      <c r="K554" s="30" t="n"/>
      <c r="L554" s="30" t="n"/>
      <c r="M554" s="30" t="n"/>
      <c r="N554" s="32" t="n"/>
      <c r="O554" s="30" t="n"/>
      <c r="P554" s="32" t="n"/>
      <c r="Q554" s="30" t="n"/>
      <c r="R554" s="32" t="n"/>
      <c r="S554" s="30" t="n"/>
      <c r="T554" s="30" t="n"/>
      <c r="U554" s="30" t="n"/>
      <c r="V554" s="30" t="n"/>
      <c r="W554" s="29">
        <f>IF(H554="","",IF(H554="Kenya","Yes","No"))</f>
        <v/>
      </c>
      <c r="X554" s="29">
        <f>IF(B554="","",IF(COUNTIF($B$5:$B$3004,B554)&gt;1,"DUPLICATE","OK"))</f>
        <v/>
      </c>
      <c r="Y554" s="29">
        <f>IF(OR(U554="",V554="",V554="Excluded"),"",IF(COUNTIFS($U$5:$U$3004,U554,$V$5:$V$3004,"&lt;&gt;"&amp;V554,$V$5:$V$3004,"&lt;&gt;",$V$5:$V$3004,"&lt;&gt;Excluded")&gt;0,"LEAK RISK","OK"))</f>
        <v/>
      </c>
      <c r="Z554" s="30" t="n"/>
    </row>
    <row r="555">
      <c r="A555" s="30" t="n"/>
      <c r="B555" s="30" t="n"/>
      <c r="C555" s="30" t="n"/>
      <c r="D555" s="30" t="n"/>
      <c r="E555" s="30" t="n"/>
      <c r="F555" s="30" t="n"/>
      <c r="G555" s="30" t="n"/>
      <c r="H555" s="30" t="n"/>
      <c r="I555" s="31" t="n"/>
      <c r="J555" s="30" t="n"/>
      <c r="K555" s="30" t="n"/>
      <c r="L555" s="30" t="n"/>
      <c r="M555" s="30" t="n"/>
      <c r="N555" s="32" t="n"/>
      <c r="O555" s="30" t="n"/>
      <c r="P555" s="32" t="n"/>
      <c r="Q555" s="30" t="n"/>
      <c r="R555" s="32" t="n"/>
      <c r="S555" s="30" t="n"/>
      <c r="T555" s="30" t="n"/>
      <c r="U555" s="30" t="n"/>
      <c r="V555" s="30" t="n"/>
      <c r="W555" s="29">
        <f>IF(H555="","",IF(H555="Kenya","Yes","No"))</f>
        <v/>
      </c>
      <c r="X555" s="29">
        <f>IF(B555="","",IF(COUNTIF($B$5:$B$3004,B555)&gt;1,"DUPLICATE","OK"))</f>
        <v/>
      </c>
      <c r="Y555" s="29">
        <f>IF(OR(U555="",V555="",V555="Excluded"),"",IF(COUNTIFS($U$5:$U$3004,U555,$V$5:$V$3004,"&lt;&gt;"&amp;V555,$V$5:$V$3004,"&lt;&gt;",$V$5:$V$3004,"&lt;&gt;Excluded")&gt;0,"LEAK RISK","OK"))</f>
        <v/>
      </c>
      <c r="Z555" s="30" t="n"/>
    </row>
    <row r="556">
      <c r="A556" s="30" t="n"/>
      <c r="B556" s="30" t="n"/>
      <c r="C556" s="30" t="n"/>
      <c r="D556" s="30" t="n"/>
      <c r="E556" s="30" t="n"/>
      <c r="F556" s="30" t="n"/>
      <c r="G556" s="30" t="n"/>
      <c r="H556" s="30" t="n"/>
      <c r="I556" s="31" t="n"/>
      <c r="J556" s="30" t="n"/>
      <c r="K556" s="30" t="n"/>
      <c r="L556" s="30" t="n"/>
      <c r="M556" s="30" t="n"/>
      <c r="N556" s="32" t="n"/>
      <c r="O556" s="30" t="n"/>
      <c r="P556" s="32" t="n"/>
      <c r="Q556" s="30" t="n"/>
      <c r="R556" s="32" t="n"/>
      <c r="S556" s="30" t="n"/>
      <c r="T556" s="30" t="n"/>
      <c r="U556" s="30" t="n"/>
      <c r="V556" s="30" t="n"/>
      <c r="W556" s="29">
        <f>IF(H556="","",IF(H556="Kenya","Yes","No"))</f>
        <v/>
      </c>
      <c r="X556" s="29">
        <f>IF(B556="","",IF(COUNTIF($B$5:$B$3004,B556)&gt;1,"DUPLICATE","OK"))</f>
        <v/>
      </c>
      <c r="Y556" s="29">
        <f>IF(OR(U556="",V556="",V556="Excluded"),"",IF(COUNTIFS($U$5:$U$3004,U556,$V$5:$V$3004,"&lt;&gt;"&amp;V556,$V$5:$V$3004,"&lt;&gt;",$V$5:$V$3004,"&lt;&gt;Excluded")&gt;0,"LEAK RISK","OK"))</f>
        <v/>
      </c>
      <c r="Z556" s="30" t="n"/>
    </row>
    <row r="557">
      <c r="A557" s="30" t="n"/>
      <c r="B557" s="30" t="n"/>
      <c r="C557" s="30" t="n"/>
      <c r="D557" s="30" t="n"/>
      <c r="E557" s="30" t="n"/>
      <c r="F557" s="30" t="n"/>
      <c r="G557" s="30" t="n"/>
      <c r="H557" s="30" t="n"/>
      <c r="I557" s="31" t="n"/>
      <c r="J557" s="30" t="n"/>
      <c r="K557" s="30" t="n"/>
      <c r="L557" s="30" t="n"/>
      <c r="M557" s="30" t="n"/>
      <c r="N557" s="32" t="n"/>
      <c r="O557" s="30" t="n"/>
      <c r="P557" s="32" t="n"/>
      <c r="Q557" s="30" t="n"/>
      <c r="R557" s="32" t="n"/>
      <c r="S557" s="30" t="n"/>
      <c r="T557" s="30" t="n"/>
      <c r="U557" s="30" t="n"/>
      <c r="V557" s="30" t="n"/>
      <c r="W557" s="29">
        <f>IF(H557="","",IF(H557="Kenya","Yes","No"))</f>
        <v/>
      </c>
      <c r="X557" s="29">
        <f>IF(B557="","",IF(COUNTIF($B$5:$B$3004,B557)&gt;1,"DUPLICATE","OK"))</f>
        <v/>
      </c>
      <c r="Y557" s="29">
        <f>IF(OR(U557="",V557="",V557="Excluded"),"",IF(COUNTIFS($U$5:$U$3004,U557,$V$5:$V$3004,"&lt;&gt;"&amp;V557,$V$5:$V$3004,"&lt;&gt;",$V$5:$V$3004,"&lt;&gt;Excluded")&gt;0,"LEAK RISK","OK"))</f>
        <v/>
      </c>
      <c r="Z557" s="30" t="n"/>
    </row>
    <row r="558">
      <c r="A558" s="30" t="n"/>
      <c r="B558" s="30" t="n"/>
      <c r="C558" s="30" t="n"/>
      <c r="D558" s="30" t="n"/>
      <c r="E558" s="30" t="n"/>
      <c r="F558" s="30" t="n"/>
      <c r="G558" s="30" t="n"/>
      <c r="H558" s="30" t="n"/>
      <c r="I558" s="31" t="n"/>
      <c r="J558" s="30" t="n"/>
      <c r="K558" s="30" t="n"/>
      <c r="L558" s="30" t="n"/>
      <c r="M558" s="30" t="n"/>
      <c r="N558" s="32" t="n"/>
      <c r="O558" s="30" t="n"/>
      <c r="P558" s="32" t="n"/>
      <c r="Q558" s="30" t="n"/>
      <c r="R558" s="32" t="n"/>
      <c r="S558" s="30" t="n"/>
      <c r="T558" s="30" t="n"/>
      <c r="U558" s="30" t="n"/>
      <c r="V558" s="30" t="n"/>
      <c r="W558" s="29">
        <f>IF(H558="","",IF(H558="Kenya","Yes","No"))</f>
        <v/>
      </c>
      <c r="X558" s="29">
        <f>IF(B558="","",IF(COUNTIF($B$5:$B$3004,B558)&gt;1,"DUPLICATE","OK"))</f>
        <v/>
      </c>
      <c r="Y558" s="29">
        <f>IF(OR(U558="",V558="",V558="Excluded"),"",IF(COUNTIFS($U$5:$U$3004,U558,$V$5:$V$3004,"&lt;&gt;"&amp;V558,$V$5:$V$3004,"&lt;&gt;",$V$5:$V$3004,"&lt;&gt;Excluded")&gt;0,"LEAK RISK","OK"))</f>
        <v/>
      </c>
      <c r="Z558" s="30" t="n"/>
    </row>
    <row r="559">
      <c r="A559" s="30" t="n"/>
      <c r="B559" s="30" t="n"/>
      <c r="C559" s="30" t="n"/>
      <c r="D559" s="30" t="n"/>
      <c r="E559" s="30" t="n"/>
      <c r="F559" s="30" t="n"/>
      <c r="G559" s="30" t="n"/>
      <c r="H559" s="30" t="n"/>
      <c r="I559" s="31" t="n"/>
      <c r="J559" s="30" t="n"/>
      <c r="K559" s="30" t="n"/>
      <c r="L559" s="30" t="n"/>
      <c r="M559" s="30" t="n"/>
      <c r="N559" s="32" t="n"/>
      <c r="O559" s="30" t="n"/>
      <c r="P559" s="32" t="n"/>
      <c r="Q559" s="30" t="n"/>
      <c r="R559" s="32" t="n"/>
      <c r="S559" s="30" t="n"/>
      <c r="T559" s="30" t="n"/>
      <c r="U559" s="30" t="n"/>
      <c r="V559" s="30" t="n"/>
      <c r="W559" s="29">
        <f>IF(H559="","",IF(H559="Kenya","Yes","No"))</f>
        <v/>
      </c>
      <c r="X559" s="29">
        <f>IF(B559="","",IF(COUNTIF($B$5:$B$3004,B559)&gt;1,"DUPLICATE","OK"))</f>
        <v/>
      </c>
      <c r="Y559" s="29">
        <f>IF(OR(U559="",V559="",V559="Excluded"),"",IF(COUNTIFS($U$5:$U$3004,U559,$V$5:$V$3004,"&lt;&gt;"&amp;V559,$V$5:$V$3004,"&lt;&gt;",$V$5:$V$3004,"&lt;&gt;Excluded")&gt;0,"LEAK RISK","OK"))</f>
        <v/>
      </c>
      <c r="Z559" s="30" t="n"/>
    </row>
    <row r="560">
      <c r="A560" s="30" t="n"/>
      <c r="B560" s="30" t="n"/>
      <c r="C560" s="30" t="n"/>
      <c r="D560" s="30" t="n"/>
      <c r="E560" s="30" t="n"/>
      <c r="F560" s="30" t="n"/>
      <c r="G560" s="30" t="n"/>
      <c r="H560" s="30" t="n"/>
      <c r="I560" s="31" t="n"/>
      <c r="J560" s="30" t="n"/>
      <c r="K560" s="30" t="n"/>
      <c r="L560" s="30" t="n"/>
      <c r="M560" s="30" t="n"/>
      <c r="N560" s="32" t="n"/>
      <c r="O560" s="30" t="n"/>
      <c r="P560" s="32" t="n"/>
      <c r="Q560" s="30" t="n"/>
      <c r="R560" s="32" t="n"/>
      <c r="S560" s="30" t="n"/>
      <c r="T560" s="30" t="n"/>
      <c r="U560" s="30" t="n"/>
      <c r="V560" s="30" t="n"/>
      <c r="W560" s="29">
        <f>IF(H560="","",IF(H560="Kenya","Yes","No"))</f>
        <v/>
      </c>
      <c r="X560" s="29">
        <f>IF(B560="","",IF(COUNTIF($B$5:$B$3004,B560)&gt;1,"DUPLICATE","OK"))</f>
        <v/>
      </c>
      <c r="Y560" s="29">
        <f>IF(OR(U560="",V560="",V560="Excluded"),"",IF(COUNTIFS($U$5:$U$3004,U560,$V$5:$V$3004,"&lt;&gt;"&amp;V560,$V$5:$V$3004,"&lt;&gt;",$V$5:$V$3004,"&lt;&gt;Excluded")&gt;0,"LEAK RISK","OK"))</f>
        <v/>
      </c>
      <c r="Z560" s="30" t="n"/>
    </row>
    <row r="561">
      <c r="A561" s="30" t="n"/>
      <c r="B561" s="30" t="n"/>
      <c r="C561" s="30" t="n"/>
      <c r="D561" s="30" t="n"/>
      <c r="E561" s="30" t="n"/>
      <c r="F561" s="30" t="n"/>
      <c r="G561" s="30" t="n"/>
      <c r="H561" s="30" t="n"/>
      <c r="I561" s="31" t="n"/>
      <c r="J561" s="30" t="n"/>
      <c r="K561" s="30" t="n"/>
      <c r="L561" s="30" t="n"/>
      <c r="M561" s="30" t="n"/>
      <c r="N561" s="32" t="n"/>
      <c r="O561" s="30" t="n"/>
      <c r="P561" s="32" t="n"/>
      <c r="Q561" s="30" t="n"/>
      <c r="R561" s="32" t="n"/>
      <c r="S561" s="30" t="n"/>
      <c r="T561" s="30" t="n"/>
      <c r="U561" s="30" t="n"/>
      <c r="V561" s="30" t="n"/>
      <c r="W561" s="29">
        <f>IF(H561="","",IF(H561="Kenya","Yes","No"))</f>
        <v/>
      </c>
      <c r="X561" s="29">
        <f>IF(B561="","",IF(COUNTIF($B$5:$B$3004,B561)&gt;1,"DUPLICATE","OK"))</f>
        <v/>
      </c>
      <c r="Y561" s="29">
        <f>IF(OR(U561="",V561="",V561="Excluded"),"",IF(COUNTIFS($U$5:$U$3004,U561,$V$5:$V$3004,"&lt;&gt;"&amp;V561,$V$5:$V$3004,"&lt;&gt;",$V$5:$V$3004,"&lt;&gt;Excluded")&gt;0,"LEAK RISK","OK"))</f>
        <v/>
      </c>
      <c r="Z561" s="30" t="n"/>
    </row>
    <row r="562">
      <c r="A562" s="30" t="n"/>
      <c r="B562" s="30" t="n"/>
      <c r="C562" s="30" t="n"/>
      <c r="D562" s="30" t="n"/>
      <c r="E562" s="30" t="n"/>
      <c r="F562" s="30" t="n"/>
      <c r="G562" s="30" t="n"/>
      <c r="H562" s="30" t="n"/>
      <c r="I562" s="31" t="n"/>
      <c r="J562" s="30" t="n"/>
      <c r="K562" s="30" t="n"/>
      <c r="L562" s="30" t="n"/>
      <c r="M562" s="30" t="n"/>
      <c r="N562" s="32" t="n"/>
      <c r="O562" s="30" t="n"/>
      <c r="P562" s="32" t="n"/>
      <c r="Q562" s="30" t="n"/>
      <c r="R562" s="32" t="n"/>
      <c r="S562" s="30" t="n"/>
      <c r="T562" s="30" t="n"/>
      <c r="U562" s="30" t="n"/>
      <c r="V562" s="30" t="n"/>
      <c r="W562" s="29">
        <f>IF(H562="","",IF(H562="Kenya","Yes","No"))</f>
        <v/>
      </c>
      <c r="X562" s="29">
        <f>IF(B562="","",IF(COUNTIF($B$5:$B$3004,B562)&gt;1,"DUPLICATE","OK"))</f>
        <v/>
      </c>
      <c r="Y562" s="29">
        <f>IF(OR(U562="",V562="",V562="Excluded"),"",IF(COUNTIFS($U$5:$U$3004,U562,$V$5:$V$3004,"&lt;&gt;"&amp;V562,$V$5:$V$3004,"&lt;&gt;",$V$5:$V$3004,"&lt;&gt;Excluded")&gt;0,"LEAK RISK","OK"))</f>
        <v/>
      </c>
      <c r="Z562" s="30" t="n"/>
    </row>
    <row r="563">
      <c r="A563" s="30" t="n"/>
      <c r="B563" s="30" t="n"/>
      <c r="C563" s="30" t="n"/>
      <c r="D563" s="30" t="n"/>
      <c r="E563" s="30" t="n"/>
      <c r="F563" s="30" t="n"/>
      <c r="G563" s="30" t="n"/>
      <c r="H563" s="30" t="n"/>
      <c r="I563" s="31" t="n"/>
      <c r="J563" s="30" t="n"/>
      <c r="K563" s="30" t="n"/>
      <c r="L563" s="30" t="n"/>
      <c r="M563" s="30" t="n"/>
      <c r="N563" s="32" t="n"/>
      <c r="O563" s="30" t="n"/>
      <c r="P563" s="32" t="n"/>
      <c r="Q563" s="30" t="n"/>
      <c r="R563" s="32" t="n"/>
      <c r="S563" s="30" t="n"/>
      <c r="T563" s="30" t="n"/>
      <c r="U563" s="30" t="n"/>
      <c r="V563" s="30" t="n"/>
      <c r="W563" s="29">
        <f>IF(H563="","",IF(H563="Kenya","Yes","No"))</f>
        <v/>
      </c>
      <c r="X563" s="29">
        <f>IF(B563="","",IF(COUNTIF($B$5:$B$3004,B563)&gt;1,"DUPLICATE","OK"))</f>
        <v/>
      </c>
      <c r="Y563" s="29">
        <f>IF(OR(U563="",V563="",V563="Excluded"),"",IF(COUNTIFS($U$5:$U$3004,U563,$V$5:$V$3004,"&lt;&gt;"&amp;V563,$V$5:$V$3004,"&lt;&gt;",$V$5:$V$3004,"&lt;&gt;Excluded")&gt;0,"LEAK RISK","OK"))</f>
        <v/>
      </c>
      <c r="Z563" s="30" t="n"/>
    </row>
    <row r="564">
      <c r="A564" s="30" t="n"/>
      <c r="B564" s="30" t="n"/>
      <c r="C564" s="30" t="n"/>
      <c r="D564" s="30" t="n"/>
      <c r="E564" s="30" t="n"/>
      <c r="F564" s="30" t="n"/>
      <c r="G564" s="30" t="n"/>
      <c r="H564" s="30" t="n"/>
      <c r="I564" s="31" t="n"/>
      <c r="J564" s="30" t="n"/>
      <c r="K564" s="30" t="n"/>
      <c r="L564" s="30" t="n"/>
      <c r="M564" s="30" t="n"/>
      <c r="N564" s="32" t="n"/>
      <c r="O564" s="30" t="n"/>
      <c r="P564" s="32" t="n"/>
      <c r="Q564" s="30" t="n"/>
      <c r="R564" s="32" t="n"/>
      <c r="S564" s="30" t="n"/>
      <c r="T564" s="30" t="n"/>
      <c r="U564" s="30" t="n"/>
      <c r="V564" s="30" t="n"/>
      <c r="W564" s="29">
        <f>IF(H564="","",IF(H564="Kenya","Yes","No"))</f>
        <v/>
      </c>
      <c r="X564" s="29">
        <f>IF(B564="","",IF(COUNTIF($B$5:$B$3004,B564)&gt;1,"DUPLICATE","OK"))</f>
        <v/>
      </c>
      <c r="Y564" s="29">
        <f>IF(OR(U564="",V564="",V564="Excluded"),"",IF(COUNTIFS($U$5:$U$3004,U564,$V$5:$V$3004,"&lt;&gt;"&amp;V564,$V$5:$V$3004,"&lt;&gt;",$V$5:$V$3004,"&lt;&gt;Excluded")&gt;0,"LEAK RISK","OK"))</f>
        <v/>
      </c>
      <c r="Z564" s="30" t="n"/>
    </row>
    <row r="565">
      <c r="A565" s="30" t="n"/>
      <c r="B565" s="30" t="n"/>
      <c r="C565" s="30" t="n"/>
      <c r="D565" s="30" t="n"/>
      <c r="E565" s="30" t="n"/>
      <c r="F565" s="30" t="n"/>
      <c r="G565" s="30" t="n"/>
      <c r="H565" s="30" t="n"/>
      <c r="I565" s="31" t="n"/>
      <c r="J565" s="30" t="n"/>
      <c r="K565" s="30" t="n"/>
      <c r="L565" s="30" t="n"/>
      <c r="M565" s="30" t="n"/>
      <c r="N565" s="32" t="n"/>
      <c r="O565" s="30" t="n"/>
      <c r="P565" s="32" t="n"/>
      <c r="Q565" s="30" t="n"/>
      <c r="R565" s="32" t="n"/>
      <c r="S565" s="30" t="n"/>
      <c r="T565" s="30" t="n"/>
      <c r="U565" s="30" t="n"/>
      <c r="V565" s="30" t="n"/>
      <c r="W565" s="29">
        <f>IF(H565="","",IF(H565="Kenya","Yes","No"))</f>
        <v/>
      </c>
      <c r="X565" s="29">
        <f>IF(B565="","",IF(COUNTIF($B$5:$B$3004,B565)&gt;1,"DUPLICATE","OK"))</f>
        <v/>
      </c>
      <c r="Y565" s="29">
        <f>IF(OR(U565="",V565="",V565="Excluded"),"",IF(COUNTIFS($U$5:$U$3004,U565,$V$5:$V$3004,"&lt;&gt;"&amp;V565,$V$5:$V$3004,"&lt;&gt;",$V$5:$V$3004,"&lt;&gt;Excluded")&gt;0,"LEAK RISK","OK"))</f>
        <v/>
      </c>
      <c r="Z565" s="30" t="n"/>
    </row>
    <row r="566">
      <c r="A566" s="30" t="n"/>
      <c r="B566" s="30" t="n"/>
      <c r="C566" s="30" t="n"/>
      <c r="D566" s="30" t="n"/>
      <c r="E566" s="30" t="n"/>
      <c r="F566" s="30" t="n"/>
      <c r="G566" s="30" t="n"/>
      <c r="H566" s="30" t="n"/>
      <c r="I566" s="31" t="n"/>
      <c r="J566" s="30" t="n"/>
      <c r="K566" s="30" t="n"/>
      <c r="L566" s="30" t="n"/>
      <c r="M566" s="30" t="n"/>
      <c r="N566" s="32" t="n"/>
      <c r="O566" s="30" t="n"/>
      <c r="P566" s="32" t="n"/>
      <c r="Q566" s="30" t="n"/>
      <c r="R566" s="32" t="n"/>
      <c r="S566" s="30" t="n"/>
      <c r="T566" s="30" t="n"/>
      <c r="U566" s="30" t="n"/>
      <c r="V566" s="30" t="n"/>
      <c r="W566" s="29">
        <f>IF(H566="","",IF(H566="Kenya","Yes","No"))</f>
        <v/>
      </c>
      <c r="X566" s="29">
        <f>IF(B566="","",IF(COUNTIF($B$5:$B$3004,B566)&gt;1,"DUPLICATE","OK"))</f>
        <v/>
      </c>
      <c r="Y566" s="29">
        <f>IF(OR(U566="",V566="",V566="Excluded"),"",IF(COUNTIFS($U$5:$U$3004,U566,$V$5:$V$3004,"&lt;&gt;"&amp;V566,$V$5:$V$3004,"&lt;&gt;",$V$5:$V$3004,"&lt;&gt;Excluded")&gt;0,"LEAK RISK","OK"))</f>
        <v/>
      </c>
      <c r="Z566" s="30" t="n"/>
    </row>
    <row r="567">
      <c r="A567" s="30" t="n"/>
      <c r="B567" s="30" t="n"/>
      <c r="C567" s="30" t="n"/>
      <c r="D567" s="30" t="n"/>
      <c r="E567" s="30" t="n"/>
      <c r="F567" s="30" t="n"/>
      <c r="G567" s="30" t="n"/>
      <c r="H567" s="30" t="n"/>
      <c r="I567" s="31" t="n"/>
      <c r="J567" s="30" t="n"/>
      <c r="K567" s="30" t="n"/>
      <c r="L567" s="30" t="n"/>
      <c r="M567" s="30" t="n"/>
      <c r="N567" s="32" t="n"/>
      <c r="O567" s="30" t="n"/>
      <c r="P567" s="32" t="n"/>
      <c r="Q567" s="30" t="n"/>
      <c r="R567" s="32" t="n"/>
      <c r="S567" s="30" t="n"/>
      <c r="T567" s="30" t="n"/>
      <c r="U567" s="30" t="n"/>
      <c r="V567" s="30" t="n"/>
      <c r="W567" s="29">
        <f>IF(H567="","",IF(H567="Kenya","Yes","No"))</f>
        <v/>
      </c>
      <c r="X567" s="29">
        <f>IF(B567="","",IF(COUNTIF($B$5:$B$3004,B567)&gt;1,"DUPLICATE","OK"))</f>
        <v/>
      </c>
      <c r="Y567" s="29">
        <f>IF(OR(U567="",V567="",V567="Excluded"),"",IF(COUNTIFS($U$5:$U$3004,U567,$V$5:$V$3004,"&lt;&gt;"&amp;V567,$V$5:$V$3004,"&lt;&gt;",$V$5:$V$3004,"&lt;&gt;Excluded")&gt;0,"LEAK RISK","OK"))</f>
        <v/>
      </c>
      <c r="Z567" s="30" t="n"/>
    </row>
    <row r="568">
      <c r="A568" s="30" t="n"/>
      <c r="B568" s="30" t="n"/>
      <c r="C568" s="30" t="n"/>
      <c r="D568" s="30" t="n"/>
      <c r="E568" s="30" t="n"/>
      <c r="F568" s="30" t="n"/>
      <c r="G568" s="30" t="n"/>
      <c r="H568" s="30" t="n"/>
      <c r="I568" s="31" t="n"/>
      <c r="J568" s="30" t="n"/>
      <c r="K568" s="30" t="n"/>
      <c r="L568" s="30" t="n"/>
      <c r="M568" s="30" t="n"/>
      <c r="N568" s="32" t="n"/>
      <c r="O568" s="30" t="n"/>
      <c r="P568" s="32" t="n"/>
      <c r="Q568" s="30" t="n"/>
      <c r="R568" s="32" t="n"/>
      <c r="S568" s="30" t="n"/>
      <c r="T568" s="30" t="n"/>
      <c r="U568" s="30" t="n"/>
      <c r="V568" s="30" t="n"/>
      <c r="W568" s="29">
        <f>IF(H568="","",IF(H568="Kenya","Yes","No"))</f>
        <v/>
      </c>
      <c r="X568" s="29">
        <f>IF(B568="","",IF(COUNTIF($B$5:$B$3004,B568)&gt;1,"DUPLICATE","OK"))</f>
        <v/>
      </c>
      <c r="Y568" s="29">
        <f>IF(OR(U568="",V568="",V568="Excluded"),"",IF(COUNTIFS($U$5:$U$3004,U568,$V$5:$V$3004,"&lt;&gt;"&amp;V568,$V$5:$V$3004,"&lt;&gt;",$V$5:$V$3004,"&lt;&gt;Excluded")&gt;0,"LEAK RISK","OK"))</f>
        <v/>
      </c>
      <c r="Z568" s="30" t="n"/>
    </row>
    <row r="569">
      <c r="A569" s="30" t="n"/>
      <c r="B569" s="30" t="n"/>
      <c r="C569" s="30" t="n"/>
      <c r="D569" s="30" t="n"/>
      <c r="E569" s="30" t="n"/>
      <c r="F569" s="30" t="n"/>
      <c r="G569" s="30" t="n"/>
      <c r="H569" s="30" t="n"/>
      <c r="I569" s="31" t="n"/>
      <c r="J569" s="30" t="n"/>
      <c r="K569" s="30" t="n"/>
      <c r="L569" s="30" t="n"/>
      <c r="M569" s="30" t="n"/>
      <c r="N569" s="32" t="n"/>
      <c r="O569" s="30" t="n"/>
      <c r="P569" s="32" t="n"/>
      <c r="Q569" s="30" t="n"/>
      <c r="R569" s="32" t="n"/>
      <c r="S569" s="30" t="n"/>
      <c r="T569" s="30" t="n"/>
      <c r="U569" s="30" t="n"/>
      <c r="V569" s="30" t="n"/>
      <c r="W569" s="29">
        <f>IF(H569="","",IF(H569="Kenya","Yes","No"))</f>
        <v/>
      </c>
      <c r="X569" s="29">
        <f>IF(B569="","",IF(COUNTIF($B$5:$B$3004,B569)&gt;1,"DUPLICATE","OK"))</f>
        <v/>
      </c>
      <c r="Y569" s="29">
        <f>IF(OR(U569="",V569="",V569="Excluded"),"",IF(COUNTIFS($U$5:$U$3004,U569,$V$5:$V$3004,"&lt;&gt;"&amp;V569,$V$5:$V$3004,"&lt;&gt;",$V$5:$V$3004,"&lt;&gt;Excluded")&gt;0,"LEAK RISK","OK"))</f>
        <v/>
      </c>
      <c r="Z569" s="30" t="n"/>
    </row>
    <row r="570">
      <c r="A570" s="30" t="n"/>
      <c r="B570" s="30" t="n"/>
      <c r="C570" s="30" t="n"/>
      <c r="D570" s="30" t="n"/>
      <c r="E570" s="30" t="n"/>
      <c r="F570" s="30" t="n"/>
      <c r="G570" s="30" t="n"/>
      <c r="H570" s="30" t="n"/>
      <c r="I570" s="31" t="n"/>
      <c r="J570" s="30" t="n"/>
      <c r="K570" s="30" t="n"/>
      <c r="L570" s="30" t="n"/>
      <c r="M570" s="30" t="n"/>
      <c r="N570" s="32" t="n"/>
      <c r="O570" s="30" t="n"/>
      <c r="P570" s="32" t="n"/>
      <c r="Q570" s="30" t="n"/>
      <c r="R570" s="32" t="n"/>
      <c r="S570" s="30" t="n"/>
      <c r="T570" s="30" t="n"/>
      <c r="U570" s="30" t="n"/>
      <c r="V570" s="30" t="n"/>
      <c r="W570" s="29">
        <f>IF(H570="","",IF(H570="Kenya","Yes","No"))</f>
        <v/>
      </c>
      <c r="X570" s="29">
        <f>IF(B570="","",IF(COUNTIF($B$5:$B$3004,B570)&gt;1,"DUPLICATE","OK"))</f>
        <v/>
      </c>
      <c r="Y570" s="29">
        <f>IF(OR(U570="",V570="",V570="Excluded"),"",IF(COUNTIFS($U$5:$U$3004,U570,$V$5:$V$3004,"&lt;&gt;"&amp;V570,$V$5:$V$3004,"&lt;&gt;",$V$5:$V$3004,"&lt;&gt;Excluded")&gt;0,"LEAK RISK","OK"))</f>
        <v/>
      </c>
      <c r="Z570" s="30" t="n"/>
    </row>
    <row r="571">
      <c r="A571" s="30" t="n"/>
      <c r="B571" s="30" t="n"/>
      <c r="C571" s="30" t="n"/>
      <c r="D571" s="30" t="n"/>
      <c r="E571" s="30" t="n"/>
      <c r="F571" s="30" t="n"/>
      <c r="G571" s="30" t="n"/>
      <c r="H571" s="30" t="n"/>
      <c r="I571" s="31" t="n"/>
      <c r="J571" s="30" t="n"/>
      <c r="K571" s="30" t="n"/>
      <c r="L571" s="30" t="n"/>
      <c r="M571" s="30" t="n"/>
      <c r="N571" s="32" t="n"/>
      <c r="O571" s="30" t="n"/>
      <c r="P571" s="32" t="n"/>
      <c r="Q571" s="30" t="n"/>
      <c r="R571" s="32" t="n"/>
      <c r="S571" s="30" t="n"/>
      <c r="T571" s="30" t="n"/>
      <c r="U571" s="30" t="n"/>
      <c r="V571" s="30" t="n"/>
      <c r="W571" s="29">
        <f>IF(H571="","",IF(H571="Kenya","Yes","No"))</f>
        <v/>
      </c>
      <c r="X571" s="29">
        <f>IF(B571="","",IF(COUNTIF($B$5:$B$3004,B571)&gt;1,"DUPLICATE","OK"))</f>
        <v/>
      </c>
      <c r="Y571" s="29">
        <f>IF(OR(U571="",V571="",V571="Excluded"),"",IF(COUNTIFS($U$5:$U$3004,U571,$V$5:$V$3004,"&lt;&gt;"&amp;V571,$V$5:$V$3004,"&lt;&gt;",$V$5:$V$3004,"&lt;&gt;Excluded")&gt;0,"LEAK RISK","OK"))</f>
        <v/>
      </c>
      <c r="Z571" s="30" t="n"/>
    </row>
    <row r="572">
      <c r="A572" s="30" t="n"/>
      <c r="B572" s="30" t="n"/>
      <c r="C572" s="30" t="n"/>
      <c r="D572" s="30" t="n"/>
      <c r="E572" s="30" t="n"/>
      <c r="F572" s="30" t="n"/>
      <c r="G572" s="30" t="n"/>
      <c r="H572" s="30" t="n"/>
      <c r="I572" s="31" t="n"/>
      <c r="J572" s="30" t="n"/>
      <c r="K572" s="30" t="n"/>
      <c r="L572" s="30" t="n"/>
      <c r="M572" s="30" t="n"/>
      <c r="N572" s="32" t="n"/>
      <c r="O572" s="30" t="n"/>
      <c r="P572" s="32" t="n"/>
      <c r="Q572" s="30" t="n"/>
      <c r="R572" s="32" t="n"/>
      <c r="S572" s="30" t="n"/>
      <c r="T572" s="30" t="n"/>
      <c r="U572" s="30" t="n"/>
      <c r="V572" s="30" t="n"/>
      <c r="W572" s="29">
        <f>IF(H572="","",IF(H572="Kenya","Yes","No"))</f>
        <v/>
      </c>
      <c r="X572" s="29">
        <f>IF(B572="","",IF(COUNTIF($B$5:$B$3004,B572)&gt;1,"DUPLICATE","OK"))</f>
        <v/>
      </c>
      <c r="Y572" s="29">
        <f>IF(OR(U572="",V572="",V572="Excluded"),"",IF(COUNTIFS($U$5:$U$3004,U572,$V$5:$V$3004,"&lt;&gt;"&amp;V572,$V$5:$V$3004,"&lt;&gt;",$V$5:$V$3004,"&lt;&gt;Excluded")&gt;0,"LEAK RISK","OK"))</f>
        <v/>
      </c>
      <c r="Z572" s="30" t="n"/>
    </row>
    <row r="573">
      <c r="A573" s="30" t="n"/>
      <c r="B573" s="30" t="n"/>
      <c r="C573" s="30" t="n"/>
      <c r="D573" s="30" t="n"/>
      <c r="E573" s="30" t="n"/>
      <c r="F573" s="30" t="n"/>
      <c r="G573" s="30" t="n"/>
      <c r="H573" s="30" t="n"/>
      <c r="I573" s="31" t="n"/>
      <c r="J573" s="30" t="n"/>
      <c r="K573" s="30" t="n"/>
      <c r="L573" s="30" t="n"/>
      <c r="M573" s="30" t="n"/>
      <c r="N573" s="32" t="n"/>
      <c r="O573" s="30" t="n"/>
      <c r="P573" s="32" t="n"/>
      <c r="Q573" s="30" t="n"/>
      <c r="R573" s="32" t="n"/>
      <c r="S573" s="30" t="n"/>
      <c r="T573" s="30" t="n"/>
      <c r="U573" s="30" t="n"/>
      <c r="V573" s="30" t="n"/>
      <c r="W573" s="29">
        <f>IF(H573="","",IF(H573="Kenya","Yes","No"))</f>
        <v/>
      </c>
      <c r="X573" s="29">
        <f>IF(B573="","",IF(COUNTIF($B$5:$B$3004,B573)&gt;1,"DUPLICATE","OK"))</f>
        <v/>
      </c>
      <c r="Y573" s="29">
        <f>IF(OR(U573="",V573="",V573="Excluded"),"",IF(COUNTIFS($U$5:$U$3004,U573,$V$5:$V$3004,"&lt;&gt;"&amp;V573,$V$5:$V$3004,"&lt;&gt;",$V$5:$V$3004,"&lt;&gt;Excluded")&gt;0,"LEAK RISK","OK"))</f>
        <v/>
      </c>
      <c r="Z573" s="30" t="n"/>
    </row>
    <row r="574">
      <c r="A574" s="30" t="n"/>
      <c r="B574" s="30" t="n"/>
      <c r="C574" s="30" t="n"/>
      <c r="D574" s="30" t="n"/>
      <c r="E574" s="30" t="n"/>
      <c r="F574" s="30" t="n"/>
      <c r="G574" s="30" t="n"/>
      <c r="H574" s="30" t="n"/>
      <c r="I574" s="31" t="n"/>
      <c r="J574" s="30" t="n"/>
      <c r="K574" s="30" t="n"/>
      <c r="L574" s="30" t="n"/>
      <c r="M574" s="30" t="n"/>
      <c r="N574" s="32" t="n"/>
      <c r="O574" s="30" t="n"/>
      <c r="P574" s="32" t="n"/>
      <c r="Q574" s="30" t="n"/>
      <c r="R574" s="32" t="n"/>
      <c r="S574" s="30" t="n"/>
      <c r="T574" s="30" t="n"/>
      <c r="U574" s="30" t="n"/>
      <c r="V574" s="30" t="n"/>
      <c r="W574" s="29">
        <f>IF(H574="","",IF(H574="Kenya","Yes","No"))</f>
        <v/>
      </c>
      <c r="X574" s="29">
        <f>IF(B574="","",IF(COUNTIF($B$5:$B$3004,B574)&gt;1,"DUPLICATE","OK"))</f>
        <v/>
      </c>
      <c r="Y574" s="29">
        <f>IF(OR(U574="",V574="",V574="Excluded"),"",IF(COUNTIFS($U$5:$U$3004,U574,$V$5:$V$3004,"&lt;&gt;"&amp;V574,$V$5:$V$3004,"&lt;&gt;",$V$5:$V$3004,"&lt;&gt;Excluded")&gt;0,"LEAK RISK","OK"))</f>
        <v/>
      </c>
      <c r="Z574" s="30" t="n"/>
    </row>
    <row r="575">
      <c r="A575" s="30" t="n"/>
      <c r="B575" s="30" t="n"/>
      <c r="C575" s="30" t="n"/>
      <c r="D575" s="30" t="n"/>
      <c r="E575" s="30" t="n"/>
      <c r="F575" s="30" t="n"/>
      <c r="G575" s="30" t="n"/>
      <c r="H575" s="30" t="n"/>
      <c r="I575" s="31" t="n"/>
      <c r="J575" s="30" t="n"/>
      <c r="K575" s="30" t="n"/>
      <c r="L575" s="30" t="n"/>
      <c r="M575" s="30" t="n"/>
      <c r="N575" s="32" t="n"/>
      <c r="O575" s="30" t="n"/>
      <c r="P575" s="32" t="n"/>
      <c r="Q575" s="30" t="n"/>
      <c r="R575" s="32" t="n"/>
      <c r="S575" s="30" t="n"/>
      <c r="T575" s="30" t="n"/>
      <c r="U575" s="30" t="n"/>
      <c r="V575" s="30" t="n"/>
      <c r="W575" s="29">
        <f>IF(H575="","",IF(H575="Kenya","Yes","No"))</f>
        <v/>
      </c>
      <c r="X575" s="29">
        <f>IF(B575="","",IF(COUNTIF($B$5:$B$3004,B575)&gt;1,"DUPLICATE","OK"))</f>
        <v/>
      </c>
      <c r="Y575" s="29">
        <f>IF(OR(U575="",V575="",V575="Excluded"),"",IF(COUNTIFS($U$5:$U$3004,U575,$V$5:$V$3004,"&lt;&gt;"&amp;V575,$V$5:$V$3004,"&lt;&gt;",$V$5:$V$3004,"&lt;&gt;Excluded")&gt;0,"LEAK RISK","OK"))</f>
        <v/>
      </c>
      <c r="Z575" s="30" t="n"/>
    </row>
    <row r="576">
      <c r="A576" s="30" t="n"/>
      <c r="B576" s="30" t="n"/>
      <c r="C576" s="30" t="n"/>
      <c r="D576" s="30" t="n"/>
      <c r="E576" s="30" t="n"/>
      <c r="F576" s="30" t="n"/>
      <c r="G576" s="30" t="n"/>
      <c r="H576" s="30" t="n"/>
      <c r="I576" s="31" t="n"/>
      <c r="J576" s="30" t="n"/>
      <c r="K576" s="30" t="n"/>
      <c r="L576" s="30" t="n"/>
      <c r="M576" s="30" t="n"/>
      <c r="N576" s="32" t="n"/>
      <c r="O576" s="30" t="n"/>
      <c r="P576" s="32" t="n"/>
      <c r="Q576" s="30" t="n"/>
      <c r="R576" s="32" t="n"/>
      <c r="S576" s="30" t="n"/>
      <c r="T576" s="30" t="n"/>
      <c r="U576" s="30" t="n"/>
      <c r="V576" s="30" t="n"/>
      <c r="W576" s="29">
        <f>IF(H576="","",IF(H576="Kenya","Yes","No"))</f>
        <v/>
      </c>
      <c r="X576" s="29">
        <f>IF(B576="","",IF(COUNTIF($B$5:$B$3004,B576)&gt;1,"DUPLICATE","OK"))</f>
        <v/>
      </c>
      <c r="Y576" s="29">
        <f>IF(OR(U576="",V576="",V576="Excluded"),"",IF(COUNTIFS($U$5:$U$3004,U576,$V$5:$V$3004,"&lt;&gt;"&amp;V576,$V$5:$V$3004,"&lt;&gt;",$V$5:$V$3004,"&lt;&gt;Excluded")&gt;0,"LEAK RISK","OK"))</f>
        <v/>
      </c>
      <c r="Z576" s="30" t="n"/>
    </row>
    <row r="577">
      <c r="A577" s="30" t="n"/>
      <c r="B577" s="30" t="n"/>
      <c r="C577" s="30" t="n"/>
      <c r="D577" s="30" t="n"/>
      <c r="E577" s="30" t="n"/>
      <c r="F577" s="30" t="n"/>
      <c r="G577" s="30" t="n"/>
      <c r="H577" s="30" t="n"/>
      <c r="I577" s="31" t="n"/>
      <c r="J577" s="30" t="n"/>
      <c r="K577" s="30" t="n"/>
      <c r="L577" s="30" t="n"/>
      <c r="M577" s="30" t="n"/>
      <c r="N577" s="32" t="n"/>
      <c r="O577" s="30" t="n"/>
      <c r="P577" s="32" t="n"/>
      <c r="Q577" s="30" t="n"/>
      <c r="R577" s="32" t="n"/>
      <c r="S577" s="30" t="n"/>
      <c r="T577" s="30" t="n"/>
      <c r="U577" s="30" t="n"/>
      <c r="V577" s="30" t="n"/>
      <c r="W577" s="29">
        <f>IF(H577="","",IF(H577="Kenya","Yes","No"))</f>
        <v/>
      </c>
      <c r="X577" s="29">
        <f>IF(B577="","",IF(COUNTIF($B$5:$B$3004,B577)&gt;1,"DUPLICATE","OK"))</f>
        <v/>
      </c>
      <c r="Y577" s="29">
        <f>IF(OR(U577="",V577="",V577="Excluded"),"",IF(COUNTIFS($U$5:$U$3004,U577,$V$5:$V$3004,"&lt;&gt;"&amp;V577,$V$5:$V$3004,"&lt;&gt;",$V$5:$V$3004,"&lt;&gt;Excluded")&gt;0,"LEAK RISK","OK"))</f>
        <v/>
      </c>
      <c r="Z577" s="30" t="n"/>
    </row>
    <row r="578">
      <c r="A578" s="30" t="n"/>
      <c r="B578" s="30" t="n"/>
      <c r="C578" s="30" t="n"/>
      <c r="D578" s="30" t="n"/>
      <c r="E578" s="30" t="n"/>
      <c r="F578" s="30" t="n"/>
      <c r="G578" s="30" t="n"/>
      <c r="H578" s="30" t="n"/>
      <c r="I578" s="31" t="n"/>
      <c r="J578" s="30" t="n"/>
      <c r="K578" s="30" t="n"/>
      <c r="L578" s="30" t="n"/>
      <c r="M578" s="30" t="n"/>
      <c r="N578" s="32" t="n"/>
      <c r="O578" s="30" t="n"/>
      <c r="P578" s="32" t="n"/>
      <c r="Q578" s="30" t="n"/>
      <c r="R578" s="32" t="n"/>
      <c r="S578" s="30" t="n"/>
      <c r="T578" s="30" t="n"/>
      <c r="U578" s="30" t="n"/>
      <c r="V578" s="30" t="n"/>
      <c r="W578" s="29">
        <f>IF(H578="","",IF(H578="Kenya","Yes","No"))</f>
        <v/>
      </c>
      <c r="X578" s="29">
        <f>IF(B578="","",IF(COUNTIF($B$5:$B$3004,B578)&gt;1,"DUPLICATE","OK"))</f>
        <v/>
      </c>
      <c r="Y578" s="29">
        <f>IF(OR(U578="",V578="",V578="Excluded"),"",IF(COUNTIFS($U$5:$U$3004,U578,$V$5:$V$3004,"&lt;&gt;"&amp;V578,$V$5:$V$3004,"&lt;&gt;",$V$5:$V$3004,"&lt;&gt;Excluded")&gt;0,"LEAK RISK","OK"))</f>
        <v/>
      </c>
      <c r="Z578" s="30" t="n"/>
    </row>
    <row r="579">
      <c r="A579" s="30" t="n"/>
      <c r="B579" s="30" t="n"/>
      <c r="C579" s="30" t="n"/>
      <c r="D579" s="30" t="n"/>
      <c r="E579" s="30" t="n"/>
      <c r="F579" s="30" t="n"/>
      <c r="G579" s="30" t="n"/>
      <c r="H579" s="30" t="n"/>
      <c r="I579" s="31" t="n"/>
      <c r="J579" s="30" t="n"/>
      <c r="K579" s="30" t="n"/>
      <c r="L579" s="30" t="n"/>
      <c r="M579" s="30" t="n"/>
      <c r="N579" s="32" t="n"/>
      <c r="O579" s="30" t="n"/>
      <c r="P579" s="32" t="n"/>
      <c r="Q579" s="30" t="n"/>
      <c r="R579" s="32" t="n"/>
      <c r="S579" s="30" t="n"/>
      <c r="T579" s="30" t="n"/>
      <c r="U579" s="30" t="n"/>
      <c r="V579" s="30" t="n"/>
      <c r="W579" s="29">
        <f>IF(H579="","",IF(H579="Kenya","Yes","No"))</f>
        <v/>
      </c>
      <c r="X579" s="29">
        <f>IF(B579="","",IF(COUNTIF($B$5:$B$3004,B579)&gt;1,"DUPLICATE","OK"))</f>
        <v/>
      </c>
      <c r="Y579" s="29">
        <f>IF(OR(U579="",V579="",V579="Excluded"),"",IF(COUNTIFS($U$5:$U$3004,U579,$V$5:$V$3004,"&lt;&gt;"&amp;V579,$V$5:$V$3004,"&lt;&gt;",$V$5:$V$3004,"&lt;&gt;Excluded")&gt;0,"LEAK RISK","OK"))</f>
        <v/>
      </c>
      <c r="Z579" s="30" t="n"/>
    </row>
    <row r="580">
      <c r="A580" s="30" t="n"/>
      <c r="B580" s="30" t="n"/>
      <c r="C580" s="30" t="n"/>
      <c r="D580" s="30" t="n"/>
      <c r="E580" s="30" t="n"/>
      <c r="F580" s="30" t="n"/>
      <c r="G580" s="30" t="n"/>
      <c r="H580" s="30" t="n"/>
      <c r="I580" s="31" t="n"/>
      <c r="J580" s="30" t="n"/>
      <c r="K580" s="30" t="n"/>
      <c r="L580" s="30" t="n"/>
      <c r="M580" s="30" t="n"/>
      <c r="N580" s="32" t="n"/>
      <c r="O580" s="30" t="n"/>
      <c r="P580" s="32" t="n"/>
      <c r="Q580" s="30" t="n"/>
      <c r="R580" s="32" t="n"/>
      <c r="S580" s="30" t="n"/>
      <c r="T580" s="30" t="n"/>
      <c r="U580" s="30" t="n"/>
      <c r="V580" s="30" t="n"/>
      <c r="W580" s="29">
        <f>IF(H580="","",IF(H580="Kenya","Yes","No"))</f>
        <v/>
      </c>
      <c r="X580" s="29">
        <f>IF(B580="","",IF(COUNTIF($B$5:$B$3004,B580)&gt;1,"DUPLICATE","OK"))</f>
        <v/>
      </c>
      <c r="Y580" s="29">
        <f>IF(OR(U580="",V580="",V580="Excluded"),"",IF(COUNTIFS($U$5:$U$3004,U580,$V$5:$V$3004,"&lt;&gt;"&amp;V580,$V$5:$V$3004,"&lt;&gt;",$V$5:$V$3004,"&lt;&gt;Excluded")&gt;0,"LEAK RISK","OK"))</f>
        <v/>
      </c>
      <c r="Z580" s="30" t="n"/>
    </row>
    <row r="581">
      <c r="A581" s="30" t="n"/>
      <c r="B581" s="30" t="n"/>
      <c r="C581" s="30" t="n"/>
      <c r="D581" s="30" t="n"/>
      <c r="E581" s="30" t="n"/>
      <c r="F581" s="30" t="n"/>
      <c r="G581" s="30" t="n"/>
      <c r="H581" s="30" t="n"/>
      <c r="I581" s="31" t="n"/>
      <c r="J581" s="30" t="n"/>
      <c r="K581" s="30" t="n"/>
      <c r="L581" s="30" t="n"/>
      <c r="M581" s="30" t="n"/>
      <c r="N581" s="32" t="n"/>
      <c r="O581" s="30" t="n"/>
      <c r="P581" s="32" t="n"/>
      <c r="Q581" s="30" t="n"/>
      <c r="R581" s="32" t="n"/>
      <c r="S581" s="30" t="n"/>
      <c r="T581" s="30" t="n"/>
      <c r="U581" s="30" t="n"/>
      <c r="V581" s="30" t="n"/>
      <c r="W581" s="29">
        <f>IF(H581="","",IF(H581="Kenya","Yes","No"))</f>
        <v/>
      </c>
      <c r="X581" s="29">
        <f>IF(B581="","",IF(COUNTIF($B$5:$B$3004,B581)&gt;1,"DUPLICATE","OK"))</f>
        <v/>
      </c>
      <c r="Y581" s="29">
        <f>IF(OR(U581="",V581="",V581="Excluded"),"",IF(COUNTIFS($U$5:$U$3004,U581,$V$5:$V$3004,"&lt;&gt;"&amp;V581,$V$5:$V$3004,"&lt;&gt;",$V$5:$V$3004,"&lt;&gt;Excluded")&gt;0,"LEAK RISK","OK"))</f>
        <v/>
      </c>
      <c r="Z581" s="30" t="n"/>
    </row>
    <row r="582">
      <c r="A582" s="30" t="n"/>
      <c r="B582" s="30" t="n"/>
      <c r="C582" s="30" t="n"/>
      <c r="D582" s="30" t="n"/>
      <c r="E582" s="30" t="n"/>
      <c r="F582" s="30" t="n"/>
      <c r="G582" s="30" t="n"/>
      <c r="H582" s="30" t="n"/>
      <c r="I582" s="31" t="n"/>
      <c r="J582" s="30" t="n"/>
      <c r="K582" s="30" t="n"/>
      <c r="L582" s="30" t="n"/>
      <c r="M582" s="30" t="n"/>
      <c r="N582" s="32" t="n"/>
      <c r="O582" s="30" t="n"/>
      <c r="P582" s="32" t="n"/>
      <c r="Q582" s="30" t="n"/>
      <c r="R582" s="32" t="n"/>
      <c r="S582" s="30" t="n"/>
      <c r="T582" s="30" t="n"/>
      <c r="U582" s="30" t="n"/>
      <c r="V582" s="30" t="n"/>
      <c r="W582" s="29">
        <f>IF(H582="","",IF(H582="Kenya","Yes","No"))</f>
        <v/>
      </c>
      <c r="X582" s="29">
        <f>IF(B582="","",IF(COUNTIF($B$5:$B$3004,B582)&gt;1,"DUPLICATE","OK"))</f>
        <v/>
      </c>
      <c r="Y582" s="29">
        <f>IF(OR(U582="",V582="",V582="Excluded"),"",IF(COUNTIFS($U$5:$U$3004,U582,$V$5:$V$3004,"&lt;&gt;"&amp;V582,$V$5:$V$3004,"&lt;&gt;",$V$5:$V$3004,"&lt;&gt;Excluded")&gt;0,"LEAK RISK","OK"))</f>
        <v/>
      </c>
      <c r="Z582" s="30" t="n"/>
    </row>
    <row r="583">
      <c r="A583" s="30" t="n"/>
      <c r="B583" s="30" t="n"/>
      <c r="C583" s="30" t="n"/>
      <c r="D583" s="30" t="n"/>
      <c r="E583" s="30" t="n"/>
      <c r="F583" s="30" t="n"/>
      <c r="G583" s="30" t="n"/>
      <c r="H583" s="30" t="n"/>
      <c r="I583" s="31" t="n"/>
      <c r="J583" s="30" t="n"/>
      <c r="K583" s="30" t="n"/>
      <c r="L583" s="30" t="n"/>
      <c r="M583" s="30" t="n"/>
      <c r="N583" s="32" t="n"/>
      <c r="O583" s="30" t="n"/>
      <c r="P583" s="32" t="n"/>
      <c r="Q583" s="30" t="n"/>
      <c r="R583" s="32" t="n"/>
      <c r="S583" s="30" t="n"/>
      <c r="T583" s="30" t="n"/>
      <c r="U583" s="30" t="n"/>
      <c r="V583" s="30" t="n"/>
      <c r="W583" s="29">
        <f>IF(H583="","",IF(H583="Kenya","Yes","No"))</f>
        <v/>
      </c>
      <c r="X583" s="29">
        <f>IF(B583="","",IF(COUNTIF($B$5:$B$3004,B583)&gt;1,"DUPLICATE","OK"))</f>
        <v/>
      </c>
      <c r="Y583" s="29">
        <f>IF(OR(U583="",V583="",V583="Excluded"),"",IF(COUNTIFS($U$5:$U$3004,U583,$V$5:$V$3004,"&lt;&gt;"&amp;V583,$V$5:$V$3004,"&lt;&gt;",$V$5:$V$3004,"&lt;&gt;Excluded")&gt;0,"LEAK RISK","OK"))</f>
        <v/>
      </c>
      <c r="Z583" s="30" t="n"/>
    </row>
    <row r="584">
      <c r="A584" s="30" t="n"/>
      <c r="B584" s="30" t="n"/>
      <c r="C584" s="30" t="n"/>
      <c r="D584" s="30" t="n"/>
      <c r="E584" s="30" t="n"/>
      <c r="F584" s="30" t="n"/>
      <c r="G584" s="30" t="n"/>
      <c r="H584" s="30" t="n"/>
      <c r="I584" s="31" t="n"/>
      <c r="J584" s="30" t="n"/>
      <c r="K584" s="30" t="n"/>
      <c r="L584" s="30" t="n"/>
      <c r="M584" s="30" t="n"/>
      <c r="N584" s="32" t="n"/>
      <c r="O584" s="30" t="n"/>
      <c r="P584" s="32" t="n"/>
      <c r="Q584" s="30" t="n"/>
      <c r="R584" s="32" t="n"/>
      <c r="S584" s="30" t="n"/>
      <c r="T584" s="30" t="n"/>
      <c r="U584" s="30" t="n"/>
      <c r="V584" s="30" t="n"/>
      <c r="W584" s="29">
        <f>IF(H584="","",IF(H584="Kenya","Yes","No"))</f>
        <v/>
      </c>
      <c r="X584" s="29">
        <f>IF(B584="","",IF(COUNTIF($B$5:$B$3004,B584)&gt;1,"DUPLICATE","OK"))</f>
        <v/>
      </c>
      <c r="Y584" s="29">
        <f>IF(OR(U584="",V584="",V584="Excluded"),"",IF(COUNTIFS($U$5:$U$3004,U584,$V$5:$V$3004,"&lt;&gt;"&amp;V584,$V$5:$V$3004,"&lt;&gt;",$V$5:$V$3004,"&lt;&gt;Excluded")&gt;0,"LEAK RISK","OK"))</f>
        <v/>
      </c>
      <c r="Z584" s="30" t="n"/>
    </row>
    <row r="585">
      <c r="A585" s="30" t="n"/>
      <c r="B585" s="30" t="n"/>
      <c r="C585" s="30" t="n"/>
      <c r="D585" s="30" t="n"/>
      <c r="E585" s="30" t="n"/>
      <c r="F585" s="30" t="n"/>
      <c r="G585" s="30" t="n"/>
      <c r="H585" s="30" t="n"/>
      <c r="I585" s="31" t="n"/>
      <c r="J585" s="30" t="n"/>
      <c r="K585" s="30" t="n"/>
      <c r="L585" s="30" t="n"/>
      <c r="M585" s="30" t="n"/>
      <c r="N585" s="32" t="n"/>
      <c r="O585" s="30" t="n"/>
      <c r="P585" s="32" t="n"/>
      <c r="Q585" s="30" t="n"/>
      <c r="R585" s="32" t="n"/>
      <c r="S585" s="30" t="n"/>
      <c r="T585" s="30" t="n"/>
      <c r="U585" s="30" t="n"/>
      <c r="V585" s="30" t="n"/>
      <c r="W585" s="29">
        <f>IF(H585="","",IF(H585="Kenya","Yes","No"))</f>
        <v/>
      </c>
      <c r="X585" s="29">
        <f>IF(B585="","",IF(COUNTIF($B$5:$B$3004,B585)&gt;1,"DUPLICATE","OK"))</f>
        <v/>
      </c>
      <c r="Y585" s="29">
        <f>IF(OR(U585="",V585="",V585="Excluded"),"",IF(COUNTIFS($U$5:$U$3004,U585,$V$5:$V$3004,"&lt;&gt;"&amp;V585,$V$5:$V$3004,"&lt;&gt;",$V$5:$V$3004,"&lt;&gt;Excluded")&gt;0,"LEAK RISK","OK"))</f>
        <v/>
      </c>
      <c r="Z585" s="30" t="n"/>
    </row>
    <row r="586">
      <c r="A586" s="30" t="n"/>
      <c r="B586" s="30" t="n"/>
      <c r="C586" s="30" t="n"/>
      <c r="D586" s="30" t="n"/>
      <c r="E586" s="30" t="n"/>
      <c r="F586" s="30" t="n"/>
      <c r="G586" s="30" t="n"/>
      <c r="H586" s="30" t="n"/>
      <c r="I586" s="31" t="n"/>
      <c r="J586" s="30" t="n"/>
      <c r="K586" s="30" t="n"/>
      <c r="L586" s="30" t="n"/>
      <c r="M586" s="30" t="n"/>
      <c r="N586" s="32" t="n"/>
      <c r="O586" s="30" t="n"/>
      <c r="P586" s="32" t="n"/>
      <c r="Q586" s="30" t="n"/>
      <c r="R586" s="32" t="n"/>
      <c r="S586" s="30" t="n"/>
      <c r="T586" s="30" t="n"/>
      <c r="U586" s="30" t="n"/>
      <c r="V586" s="30" t="n"/>
      <c r="W586" s="29">
        <f>IF(H586="","",IF(H586="Kenya","Yes","No"))</f>
        <v/>
      </c>
      <c r="X586" s="29">
        <f>IF(B586="","",IF(COUNTIF($B$5:$B$3004,B586)&gt;1,"DUPLICATE","OK"))</f>
        <v/>
      </c>
      <c r="Y586" s="29">
        <f>IF(OR(U586="",V586="",V586="Excluded"),"",IF(COUNTIFS($U$5:$U$3004,U586,$V$5:$V$3004,"&lt;&gt;"&amp;V586,$V$5:$V$3004,"&lt;&gt;",$V$5:$V$3004,"&lt;&gt;Excluded")&gt;0,"LEAK RISK","OK"))</f>
        <v/>
      </c>
      <c r="Z586" s="30" t="n"/>
    </row>
    <row r="587">
      <c r="A587" s="30" t="n"/>
      <c r="B587" s="30" t="n"/>
      <c r="C587" s="30" t="n"/>
      <c r="D587" s="30" t="n"/>
      <c r="E587" s="30" t="n"/>
      <c r="F587" s="30" t="n"/>
      <c r="G587" s="30" t="n"/>
      <c r="H587" s="30" t="n"/>
      <c r="I587" s="31" t="n"/>
      <c r="J587" s="30" t="n"/>
      <c r="K587" s="30" t="n"/>
      <c r="L587" s="30" t="n"/>
      <c r="M587" s="30" t="n"/>
      <c r="N587" s="32" t="n"/>
      <c r="O587" s="30" t="n"/>
      <c r="P587" s="32" t="n"/>
      <c r="Q587" s="30" t="n"/>
      <c r="R587" s="32" t="n"/>
      <c r="S587" s="30" t="n"/>
      <c r="T587" s="30" t="n"/>
      <c r="U587" s="30" t="n"/>
      <c r="V587" s="30" t="n"/>
      <c r="W587" s="29">
        <f>IF(H587="","",IF(H587="Kenya","Yes","No"))</f>
        <v/>
      </c>
      <c r="X587" s="29">
        <f>IF(B587="","",IF(COUNTIF($B$5:$B$3004,B587)&gt;1,"DUPLICATE","OK"))</f>
        <v/>
      </c>
      <c r="Y587" s="29">
        <f>IF(OR(U587="",V587="",V587="Excluded"),"",IF(COUNTIFS($U$5:$U$3004,U587,$V$5:$V$3004,"&lt;&gt;"&amp;V587,$V$5:$V$3004,"&lt;&gt;",$V$5:$V$3004,"&lt;&gt;Excluded")&gt;0,"LEAK RISK","OK"))</f>
        <v/>
      </c>
      <c r="Z587" s="30" t="n"/>
    </row>
    <row r="588">
      <c r="A588" s="30" t="n"/>
      <c r="B588" s="30" t="n"/>
      <c r="C588" s="30" t="n"/>
      <c r="D588" s="30" t="n"/>
      <c r="E588" s="30" t="n"/>
      <c r="F588" s="30" t="n"/>
      <c r="G588" s="30" t="n"/>
      <c r="H588" s="30" t="n"/>
      <c r="I588" s="31" t="n"/>
      <c r="J588" s="30" t="n"/>
      <c r="K588" s="30" t="n"/>
      <c r="L588" s="30" t="n"/>
      <c r="M588" s="30" t="n"/>
      <c r="N588" s="32" t="n"/>
      <c r="O588" s="30" t="n"/>
      <c r="P588" s="32" t="n"/>
      <c r="Q588" s="30" t="n"/>
      <c r="R588" s="32" t="n"/>
      <c r="S588" s="30" t="n"/>
      <c r="T588" s="30" t="n"/>
      <c r="U588" s="30" t="n"/>
      <c r="V588" s="30" t="n"/>
      <c r="W588" s="29">
        <f>IF(H588="","",IF(H588="Kenya","Yes","No"))</f>
        <v/>
      </c>
      <c r="X588" s="29">
        <f>IF(B588="","",IF(COUNTIF($B$5:$B$3004,B588)&gt;1,"DUPLICATE","OK"))</f>
        <v/>
      </c>
      <c r="Y588" s="29">
        <f>IF(OR(U588="",V588="",V588="Excluded"),"",IF(COUNTIFS($U$5:$U$3004,U588,$V$5:$V$3004,"&lt;&gt;"&amp;V588,$V$5:$V$3004,"&lt;&gt;",$V$5:$V$3004,"&lt;&gt;Excluded")&gt;0,"LEAK RISK","OK"))</f>
        <v/>
      </c>
      <c r="Z588" s="30" t="n"/>
    </row>
    <row r="589">
      <c r="A589" s="30" t="n"/>
      <c r="B589" s="30" t="n"/>
      <c r="C589" s="30" t="n"/>
      <c r="D589" s="30" t="n"/>
      <c r="E589" s="30" t="n"/>
      <c r="F589" s="30" t="n"/>
      <c r="G589" s="30" t="n"/>
      <c r="H589" s="30" t="n"/>
      <c r="I589" s="31" t="n"/>
      <c r="J589" s="30" t="n"/>
      <c r="K589" s="30" t="n"/>
      <c r="L589" s="30" t="n"/>
      <c r="M589" s="30" t="n"/>
      <c r="N589" s="32" t="n"/>
      <c r="O589" s="30" t="n"/>
      <c r="P589" s="32" t="n"/>
      <c r="Q589" s="30" t="n"/>
      <c r="R589" s="32" t="n"/>
      <c r="S589" s="30" t="n"/>
      <c r="T589" s="30" t="n"/>
      <c r="U589" s="30" t="n"/>
      <c r="V589" s="30" t="n"/>
      <c r="W589" s="29">
        <f>IF(H589="","",IF(H589="Kenya","Yes","No"))</f>
        <v/>
      </c>
      <c r="X589" s="29">
        <f>IF(B589="","",IF(COUNTIF($B$5:$B$3004,B589)&gt;1,"DUPLICATE","OK"))</f>
        <v/>
      </c>
      <c r="Y589" s="29">
        <f>IF(OR(U589="",V589="",V589="Excluded"),"",IF(COUNTIFS($U$5:$U$3004,U589,$V$5:$V$3004,"&lt;&gt;"&amp;V589,$V$5:$V$3004,"&lt;&gt;",$V$5:$V$3004,"&lt;&gt;Excluded")&gt;0,"LEAK RISK","OK"))</f>
        <v/>
      </c>
      <c r="Z589" s="30" t="n"/>
    </row>
    <row r="590">
      <c r="A590" s="30" t="n"/>
      <c r="B590" s="30" t="n"/>
      <c r="C590" s="30" t="n"/>
      <c r="D590" s="30" t="n"/>
      <c r="E590" s="30" t="n"/>
      <c r="F590" s="30" t="n"/>
      <c r="G590" s="30" t="n"/>
      <c r="H590" s="30" t="n"/>
      <c r="I590" s="31" t="n"/>
      <c r="J590" s="30" t="n"/>
      <c r="K590" s="30" t="n"/>
      <c r="L590" s="30" t="n"/>
      <c r="M590" s="30" t="n"/>
      <c r="N590" s="32" t="n"/>
      <c r="O590" s="30" t="n"/>
      <c r="P590" s="32" t="n"/>
      <c r="Q590" s="30" t="n"/>
      <c r="R590" s="32" t="n"/>
      <c r="S590" s="30" t="n"/>
      <c r="T590" s="30" t="n"/>
      <c r="U590" s="30" t="n"/>
      <c r="V590" s="30" t="n"/>
      <c r="W590" s="29">
        <f>IF(H590="","",IF(H590="Kenya","Yes","No"))</f>
        <v/>
      </c>
      <c r="X590" s="29">
        <f>IF(B590="","",IF(COUNTIF($B$5:$B$3004,B590)&gt;1,"DUPLICATE","OK"))</f>
        <v/>
      </c>
      <c r="Y590" s="29">
        <f>IF(OR(U590="",V590="",V590="Excluded"),"",IF(COUNTIFS($U$5:$U$3004,U590,$V$5:$V$3004,"&lt;&gt;"&amp;V590,$V$5:$V$3004,"&lt;&gt;",$V$5:$V$3004,"&lt;&gt;Excluded")&gt;0,"LEAK RISK","OK"))</f>
        <v/>
      </c>
      <c r="Z590" s="30" t="n"/>
    </row>
    <row r="591">
      <c r="A591" s="30" t="n"/>
      <c r="B591" s="30" t="n"/>
      <c r="C591" s="30" t="n"/>
      <c r="D591" s="30" t="n"/>
      <c r="E591" s="30" t="n"/>
      <c r="F591" s="30" t="n"/>
      <c r="G591" s="30" t="n"/>
      <c r="H591" s="30" t="n"/>
      <c r="I591" s="31" t="n"/>
      <c r="J591" s="30" t="n"/>
      <c r="K591" s="30" t="n"/>
      <c r="L591" s="30" t="n"/>
      <c r="M591" s="30" t="n"/>
      <c r="N591" s="32" t="n"/>
      <c r="O591" s="30" t="n"/>
      <c r="P591" s="32" t="n"/>
      <c r="Q591" s="30" t="n"/>
      <c r="R591" s="32" t="n"/>
      <c r="S591" s="30" t="n"/>
      <c r="T591" s="30" t="n"/>
      <c r="U591" s="30" t="n"/>
      <c r="V591" s="30" t="n"/>
      <c r="W591" s="29">
        <f>IF(H591="","",IF(H591="Kenya","Yes","No"))</f>
        <v/>
      </c>
      <c r="X591" s="29">
        <f>IF(B591="","",IF(COUNTIF($B$5:$B$3004,B591)&gt;1,"DUPLICATE","OK"))</f>
        <v/>
      </c>
      <c r="Y591" s="29">
        <f>IF(OR(U591="",V591="",V591="Excluded"),"",IF(COUNTIFS($U$5:$U$3004,U591,$V$5:$V$3004,"&lt;&gt;"&amp;V591,$V$5:$V$3004,"&lt;&gt;",$V$5:$V$3004,"&lt;&gt;Excluded")&gt;0,"LEAK RISK","OK"))</f>
        <v/>
      </c>
      <c r="Z591" s="30" t="n"/>
    </row>
    <row r="592">
      <c r="A592" s="30" t="n"/>
      <c r="B592" s="30" t="n"/>
      <c r="C592" s="30" t="n"/>
      <c r="D592" s="30" t="n"/>
      <c r="E592" s="30" t="n"/>
      <c r="F592" s="30" t="n"/>
      <c r="G592" s="30" t="n"/>
      <c r="H592" s="30" t="n"/>
      <c r="I592" s="31" t="n"/>
      <c r="J592" s="30" t="n"/>
      <c r="K592" s="30" t="n"/>
      <c r="L592" s="30" t="n"/>
      <c r="M592" s="30" t="n"/>
      <c r="N592" s="32" t="n"/>
      <c r="O592" s="30" t="n"/>
      <c r="P592" s="32" t="n"/>
      <c r="Q592" s="30" t="n"/>
      <c r="R592" s="32" t="n"/>
      <c r="S592" s="30" t="n"/>
      <c r="T592" s="30" t="n"/>
      <c r="U592" s="30" t="n"/>
      <c r="V592" s="30" t="n"/>
      <c r="W592" s="29">
        <f>IF(H592="","",IF(H592="Kenya","Yes","No"))</f>
        <v/>
      </c>
      <c r="X592" s="29">
        <f>IF(B592="","",IF(COUNTIF($B$5:$B$3004,B592)&gt;1,"DUPLICATE","OK"))</f>
        <v/>
      </c>
      <c r="Y592" s="29">
        <f>IF(OR(U592="",V592="",V592="Excluded"),"",IF(COUNTIFS($U$5:$U$3004,U592,$V$5:$V$3004,"&lt;&gt;"&amp;V592,$V$5:$V$3004,"&lt;&gt;",$V$5:$V$3004,"&lt;&gt;Excluded")&gt;0,"LEAK RISK","OK"))</f>
        <v/>
      </c>
      <c r="Z592" s="30" t="n"/>
    </row>
    <row r="593">
      <c r="A593" s="30" t="n"/>
      <c r="B593" s="30" t="n"/>
      <c r="C593" s="30" t="n"/>
      <c r="D593" s="30" t="n"/>
      <c r="E593" s="30" t="n"/>
      <c r="F593" s="30" t="n"/>
      <c r="G593" s="30" t="n"/>
      <c r="H593" s="30" t="n"/>
      <c r="I593" s="31" t="n"/>
      <c r="J593" s="30" t="n"/>
      <c r="K593" s="30" t="n"/>
      <c r="L593" s="30" t="n"/>
      <c r="M593" s="30" t="n"/>
      <c r="N593" s="32" t="n"/>
      <c r="O593" s="30" t="n"/>
      <c r="P593" s="32" t="n"/>
      <c r="Q593" s="30" t="n"/>
      <c r="R593" s="32" t="n"/>
      <c r="S593" s="30" t="n"/>
      <c r="T593" s="30" t="n"/>
      <c r="U593" s="30" t="n"/>
      <c r="V593" s="30" t="n"/>
      <c r="W593" s="29">
        <f>IF(H593="","",IF(H593="Kenya","Yes","No"))</f>
        <v/>
      </c>
      <c r="X593" s="29">
        <f>IF(B593="","",IF(COUNTIF($B$5:$B$3004,B593)&gt;1,"DUPLICATE","OK"))</f>
        <v/>
      </c>
      <c r="Y593" s="29">
        <f>IF(OR(U593="",V593="",V593="Excluded"),"",IF(COUNTIFS($U$5:$U$3004,U593,$V$5:$V$3004,"&lt;&gt;"&amp;V593,$V$5:$V$3004,"&lt;&gt;",$V$5:$V$3004,"&lt;&gt;Excluded")&gt;0,"LEAK RISK","OK"))</f>
        <v/>
      </c>
      <c r="Z593" s="30" t="n"/>
    </row>
    <row r="594">
      <c r="A594" s="30" t="n"/>
      <c r="B594" s="30" t="n"/>
      <c r="C594" s="30" t="n"/>
      <c r="D594" s="30" t="n"/>
      <c r="E594" s="30" t="n"/>
      <c r="F594" s="30" t="n"/>
      <c r="G594" s="30" t="n"/>
      <c r="H594" s="30" t="n"/>
      <c r="I594" s="31" t="n"/>
      <c r="J594" s="30" t="n"/>
      <c r="K594" s="30" t="n"/>
      <c r="L594" s="30" t="n"/>
      <c r="M594" s="30" t="n"/>
      <c r="N594" s="32" t="n"/>
      <c r="O594" s="30" t="n"/>
      <c r="P594" s="32" t="n"/>
      <c r="Q594" s="30" t="n"/>
      <c r="R594" s="32" t="n"/>
      <c r="S594" s="30" t="n"/>
      <c r="T594" s="30" t="n"/>
      <c r="U594" s="30" t="n"/>
      <c r="V594" s="30" t="n"/>
      <c r="W594" s="29">
        <f>IF(H594="","",IF(H594="Kenya","Yes","No"))</f>
        <v/>
      </c>
      <c r="X594" s="29">
        <f>IF(B594="","",IF(COUNTIF($B$5:$B$3004,B594)&gt;1,"DUPLICATE","OK"))</f>
        <v/>
      </c>
      <c r="Y594" s="29">
        <f>IF(OR(U594="",V594="",V594="Excluded"),"",IF(COUNTIFS($U$5:$U$3004,U594,$V$5:$V$3004,"&lt;&gt;"&amp;V594,$V$5:$V$3004,"&lt;&gt;",$V$5:$V$3004,"&lt;&gt;Excluded")&gt;0,"LEAK RISK","OK"))</f>
        <v/>
      </c>
      <c r="Z594" s="30" t="n"/>
    </row>
    <row r="595">
      <c r="A595" s="30" t="n"/>
      <c r="B595" s="30" t="n"/>
      <c r="C595" s="30" t="n"/>
      <c r="D595" s="30" t="n"/>
      <c r="E595" s="30" t="n"/>
      <c r="F595" s="30" t="n"/>
      <c r="G595" s="30" t="n"/>
      <c r="H595" s="30" t="n"/>
      <c r="I595" s="31" t="n"/>
      <c r="J595" s="30" t="n"/>
      <c r="K595" s="30" t="n"/>
      <c r="L595" s="30" t="n"/>
      <c r="M595" s="30" t="n"/>
      <c r="N595" s="32" t="n"/>
      <c r="O595" s="30" t="n"/>
      <c r="P595" s="32" t="n"/>
      <c r="Q595" s="30" t="n"/>
      <c r="R595" s="32" t="n"/>
      <c r="S595" s="30" t="n"/>
      <c r="T595" s="30" t="n"/>
      <c r="U595" s="30" t="n"/>
      <c r="V595" s="30" t="n"/>
      <c r="W595" s="29">
        <f>IF(H595="","",IF(H595="Kenya","Yes","No"))</f>
        <v/>
      </c>
      <c r="X595" s="29">
        <f>IF(B595="","",IF(COUNTIF($B$5:$B$3004,B595)&gt;1,"DUPLICATE","OK"))</f>
        <v/>
      </c>
      <c r="Y595" s="29">
        <f>IF(OR(U595="",V595="",V595="Excluded"),"",IF(COUNTIFS($U$5:$U$3004,U595,$V$5:$V$3004,"&lt;&gt;"&amp;V595,$V$5:$V$3004,"&lt;&gt;",$V$5:$V$3004,"&lt;&gt;Excluded")&gt;0,"LEAK RISK","OK"))</f>
        <v/>
      </c>
      <c r="Z595" s="30" t="n"/>
    </row>
    <row r="596">
      <c r="A596" s="30" t="n"/>
      <c r="B596" s="30" t="n"/>
      <c r="C596" s="30" t="n"/>
      <c r="D596" s="30" t="n"/>
      <c r="E596" s="30" t="n"/>
      <c r="F596" s="30" t="n"/>
      <c r="G596" s="30" t="n"/>
      <c r="H596" s="30" t="n"/>
      <c r="I596" s="31" t="n"/>
      <c r="J596" s="30" t="n"/>
      <c r="K596" s="30" t="n"/>
      <c r="L596" s="30" t="n"/>
      <c r="M596" s="30" t="n"/>
      <c r="N596" s="32" t="n"/>
      <c r="O596" s="30" t="n"/>
      <c r="P596" s="32" t="n"/>
      <c r="Q596" s="30" t="n"/>
      <c r="R596" s="32" t="n"/>
      <c r="S596" s="30" t="n"/>
      <c r="T596" s="30" t="n"/>
      <c r="U596" s="30" t="n"/>
      <c r="V596" s="30" t="n"/>
      <c r="W596" s="29">
        <f>IF(H596="","",IF(H596="Kenya","Yes","No"))</f>
        <v/>
      </c>
      <c r="X596" s="29">
        <f>IF(B596="","",IF(COUNTIF($B$5:$B$3004,B596)&gt;1,"DUPLICATE","OK"))</f>
        <v/>
      </c>
      <c r="Y596" s="29">
        <f>IF(OR(U596="",V596="",V596="Excluded"),"",IF(COUNTIFS($U$5:$U$3004,U596,$V$5:$V$3004,"&lt;&gt;"&amp;V596,$V$5:$V$3004,"&lt;&gt;",$V$5:$V$3004,"&lt;&gt;Excluded")&gt;0,"LEAK RISK","OK"))</f>
        <v/>
      </c>
      <c r="Z596" s="30" t="n"/>
    </row>
    <row r="597">
      <c r="A597" s="30" t="n"/>
      <c r="B597" s="30" t="n"/>
      <c r="C597" s="30" t="n"/>
      <c r="D597" s="30" t="n"/>
      <c r="E597" s="30" t="n"/>
      <c r="F597" s="30" t="n"/>
      <c r="G597" s="30" t="n"/>
      <c r="H597" s="30" t="n"/>
      <c r="I597" s="31" t="n"/>
      <c r="J597" s="30" t="n"/>
      <c r="K597" s="30" t="n"/>
      <c r="L597" s="30" t="n"/>
      <c r="M597" s="30" t="n"/>
      <c r="N597" s="32" t="n"/>
      <c r="O597" s="30" t="n"/>
      <c r="P597" s="32" t="n"/>
      <c r="Q597" s="30" t="n"/>
      <c r="R597" s="32" t="n"/>
      <c r="S597" s="30" t="n"/>
      <c r="T597" s="30" t="n"/>
      <c r="U597" s="30" t="n"/>
      <c r="V597" s="30" t="n"/>
      <c r="W597" s="29">
        <f>IF(H597="","",IF(H597="Kenya","Yes","No"))</f>
        <v/>
      </c>
      <c r="X597" s="29">
        <f>IF(B597="","",IF(COUNTIF($B$5:$B$3004,B597)&gt;1,"DUPLICATE","OK"))</f>
        <v/>
      </c>
      <c r="Y597" s="29">
        <f>IF(OR(U597="",V597="",V597="Excluded"),"",IF(COUNTIFS($U$5:$U$3004,U597,$V$5:$V$3004,"&lt;&gt;"&amp;V597,$V$5:$V$3004,"&lt;&gt;",$V$5:$V$3004,"&lt;&gt;Excluded")&gt;0,"LEAK RISK","OK"))</f>
        <v/>
      </c>
      <c r="Z597" s="30" t="n"/>
    </row>
    <row r="598">
      <c r="A598" s="30" t="n"/>
      <c r="B598" s="30" t="n"/>
      <c r="C598" s="30" t="n"/>
      <c r="D598" s="30" t="n"/>
      <c r="E598" s="30" t="n"/>
      <c r="F598" s="30" t="n"/>
      <c r="G598" s="30" t="n"/>
      <c r="H598" s="30" t="n"/>
      <c r="I598" s="31" t="n"/>
      <c r="J598" s="30" t="n"/>
      <c r="K598" s="30" t="n"/>
      <c r="L598" s="30" t="n"/>
      <c r="M598" s="30" t="n"/>
      <c r="N598" s="32" t="n"/>
      <c r="O598" s="30" t="n"/>
      <c r="P598" s="32" t="n"/>
      <c r="Q598" s="30" t="n"/>
      <c r="R598" s="32" t="n"/>
      <c r="S598" s="30" t="n"/>
      <c r="T598" s="30" t="n"/>
      <c r="U598" s="30" t="n"/>
      <c r="V598" s="30" t="n"/>
      <c r="W598" s="29">
        <f>IF(H598="","",IF(H598="Kenya","Yes","No"))</f>
        <v/>
      </c>
      <c r="X598" s="29">
        <f>IF(B598="","",IF(COUNTIF($B$5:$B$3004,B598)&gt;1,"DUPLICATE","OK"))</f>
        <v/>
      </c>
      <c r="Y598" s="29">
        <f>IF(OR(U598="",V598="",V598="Excluded"),"",IF(COUNTIFS($U$5:$U$3004,U598,$V$5:$V$3004,"&lt;&gt;"&amp;V598,$V$5:$V$3004,"&lt;&gt;",$V$5:$V$3004,"&lt;&gt;Excluded")&gt;0,"LEAK RISK","OK"))</f>
        <v/>
      </c>
      <c r="Z598" s="30" t="n"/>
    </row>
    <row r="599">
      <c r="A599" s="30" t="n"/>
      <c r="B599" s="30" t="n"/>
      <c r="C599" s="30" t="n"/>
      <c r="D599" s="30" t="n"/>
      <c r="E599" s="30" t="n"/>
      <c r="F599" s="30" t="n"/>
      <c r="G599" s="30" t="n"/>
      <c r="H599" s="30" t="n"/>
      <c r="I599" s="31" t="n"/>
      <c r="J599" s="30" t="n"/>
      <c r="K599" s="30" t="n"/>
      <c r="L599" s="30" t="n"/>
      <c r="M599" s="30" t="n"/>
      <c r="N599" s="32" t="n"/>
      <c r="O599" s="30" t="n"/>
      <c r="P599" s="32" t="n"/>
      <c r="Q599" s="30" t="n"/>
      <c r="R599" s="32" t="n"/>
      <c r="S599" s="30" t="n"/>
      <c r="T599" s="30" t="n"/>
      <c r="U599" s="30" t="n"/>
      <c r="V599" s="30" t="n"/>
      <c r="W599" s="29">
        <f>IF(H599="","",IF(H599="Kenya","Yes","No"))</f>
        <v/>
      </c>
      <c r="X599" s="29">
        <f>IF(B599="","",IF(COUNTIF($B$5:$B$3004,B599)&gt;1,"DUPLICATE","OK"))</f>
        <v/>
      </c>
      <c r="Y599" s="29">
        <f>IF(OR(U599="",V599="",V599="Excluded"),"",IF(COUNTIFS($U$5:$U$3004,U599,$V$5:$V$3004,"&lt;&gt;"&amp;V599,$V$5:$V$3004,"&lt;&gt;",$V$5:$V$3004,"&lt;&gt;Excluded")&gt;0,"LEAK RISK","OK"))</f>
        <v/>
      </c>
      <c r="Z599" s="30" t="n"/>
    </row>
    <row r="600">
      <c r="A600" s="30" t="n"/>
      <c r="B600" s="30" t="n"/>
      <c r="C600" s="30" t="n"/>
      <c r="D600" s="30" t="n"/>
      <c r="E600" s="30" t="n"/>
      <c r="F600" s="30" t="n"/>
      <c r="G600" s="30" t="n"/>
      <c r="H600" s="30" t="n"/>
      <c r="I600" s="31" t="n"/>
      <c r="J600" s="30" t="n"/>
      <c r="K600" s="30" t="n"/>
      <c r="L600" s="30" t="n"/>
      <c r="M600" s="30" t="n"/>
      <c r="N600" s="32" t="n"/>
      <c r="O600" s="30" t="n"/>
      <c r="P600" s="32" t="n"/>
      <c r="Q600" s="30" t="n"/>
      <c r="R600" s="32" t="n"/>
      <c r="S600" s="30" t="n"/>
      <c r="T600" s="30" t="n"/>
      <c r="U600" s="30" t="n"/>
      <c r="V600" s="30" t="n"/>
      <c r="W600" s="29">
        <f>IF(H600="","",IF(H600="Kenya","Yes","No"))</f>
        <v/>
      </c>
      <c r="X600" s="29">
        <f>IF(B600="","",IF(COUNTIF($B$5:$B$3004,B600)&gt;1,"DUPLICATE","OK"))</f>
        <v/>
      </c>
      <c r="Y600" s="29">
        <f>IF(OR(U600="",V600="",V600="Excluded"),"",IF(COUNTIFS($U$5:$U$3004,U600,$V$5:$V$3004,"&lt;&gt;"&amp;V600,$V$5:$V$3004,"&lt;&gt;",$V$5:$V$3004,"&lt;&gt;Excluded")&gt;0,"LEAK RISK","OK"))</f>
        <v/>
      </c>
      <c r="Z600" s="30" t="n"/>
    </row>
    <row r="601">
      <c r="A601" s="30" t="n"/>
      <c r="B601" s="30" t="n"/>
      <c r="C601" s="30" t="n"/>
      <c r="D601" s="30" t="n"/>
      <c r="E601" s="30" t="n"/>
      <c r="F601" s="30" t="n"/>
      <c r="G601" s="30" t="n"/>
      <c r="H601" s="30" t="n"/>
      <c r="I601" s="31" t="n"/>
      <c r="J601" s="30" t="n"/>
      <c r="K601" s="30" t="n"/>
      <c r="L601" s="30" t="n"/>
      <c r="M601" s="30" t="n"/>
      <c r="N601" s="32" t="n"/>
      <c r="O601" s="30" t="n"/>
      <c r="P601" s="32" t="n"/>
      <c r="Q601" s="30" t="n"/>
      <c r="R601" s="32" t="n"/>
      <c r="S601" s="30" t="n"/>
      <c r="T601" s="30" t="n"/>
      <c r="U601" s="30" t="n"/>
      <c r="V601" s="30" t="n"/>
      <c r="W601" s="29">
        <f>IF(H601="","",IF(H601="Kenya","Yes","No"))</f>
        <v/>
      </c>
      <c r="X601" s="29">
        <f>IF(B601="","",IF(COUNTIF($B$5:$B$3004,B601)&gt;1,"DUPLICATE","OK"))</f>
        <v/>
      </c>
      <c r="Y601" s="29">
        <f>IF(OR(U601="",V601="",V601="Excluded"),"",IF(COUNTIFS($U$5:$U$3004,U601,$V$5:$V$3004,"&lt;&gt;"&amp;V601,$V$5:$V$3004,"&lt;&gt;",$V$5:$V$3004,"&lt;&gt;Excluded")&gt;0,"LEAK RISK","OK"))</f>
        <v/>
      </c>
      <c r="Z601" s="30" t="n"/>
    </row>
    <row r="602">
      <c r="A602" s="30" t="n"/>
      <c r="B602" s="30" t="n"/>
      <c r="C602" s="30" t="n"/>
      <c r="D602" s="30" t="n"/>
      <c r="E602" s="30" t="n"/>
      <c r="F602" s="30" t="n"/>
      <c r="G602" s="30" t="n"/>
      <c r="H602" s="30" t="n"/>
      <c r="I602" s="31" t="n"/>
      <c r="J602" s="30" t="n"/>
      <c r="K602" s="30" t="n"/>
      <c r="L602" s="30" t="n"/>
      <c r="M602" s="30" t="n"/>
      <c r="N602" s="32" t="n"/>
      <c r="O602" s="30" t="n"/>
      <c r="P602" s="32" t="n"/>
      <c r="Q602" s="30" t="n"/>
      <c r="R602" s="32" t="n"/>
      <c r="S602" s="30" t="n"/>
      <c r="T602" s="30" t="n"/>
      <c r="U602" s="30" t="n"/>
      <c r="V602" s="30" t="n"/>
      <c r="W602" s="29">
        <f>IF(H602="","",IF(H602="Kenya","Yes","No"))</f>
        <v/>
      </c>
      <c r="X602" s="29">
        <f>IF(B602="","",IF(COUNTIF($B$5:$B$3004,B602)&gt;1,"DUPLICATE","OK"))</f>
        <v/>
      </c>
      <c r="Y602" s="29">
        <f>IF(OR(U602="",V602="",V602="Excluded"),"",IF(COUNTIFS($U$5:$U$3004,U602,$V$5:$V$3004,"&lt;&gt;"&amp;V602,$V$5:$V$3004,"&lt;&gt;",$V$5:$V$3004,"&lt;&gt;Excluded")&gt;0,"LEAK RISK","OK"))</f>
        <v/>
      </c>
      <c r="Z602" s="30" t="n"/>
    </row>
    <row r="603">
      <c r="A603" s="30" t="n"/>
      <c r="B603" s="30" t="n"/>
      <c r="C603" s="30" t="n"/>
      <c r="D603" s="30" t="n"/>
      <c r="E603" s="30" t="n"/>
      <c r="F603" s="30" t="n"/>
      <c r="G603" s="30" t="n"/>
      <c r="H603" s="30" t="n"/>
      <c r="I603" s="31" t="n"/>
      <c r="J603" s="30" t="n"/>
      <c r="K603" s="30" t="n"/>
      <c r="L603" s="30" t="n"/>
      <c r="M603" s="30" t="n"/>
      <c r="N603" s="32" t="n"/>
      <c r="O603" s="30" t="n"/>
      <c r="P603" s="32" t="n"/>
      <c r="Q603" s="30" t="n"/>
      <c r="R603" s="32" t="n"/>
      <c r="S603" s="30" t="n"/>
      <c r="T603" s="30" t="n"/>
      <c r="U603" s="30" t="n"/>
      <c r="V603" s="30" t="n"/>
      <c r="W603" s="29">
        <f>IF(H603="","",IF(H603="Kenya","Yes","No"))</f>
        <v/>
      </c>
      <c r="X603" s="29">
        <f>IF(B603="","",IF(COUNTIF($B$5:$B$3004,B603)&gt;1,"DUPLICATE","OK"))</f>
        <v/>
      </c>
      <c r="Y603" s="29">
        <f>IF(OR(U603="",V603="",V603="Excluded"),"",IF(COUNTIFS($U$5:$U$3004,U603,$V$5:$V$3004,"&lt;&gt;"&amp;V603,$V$5:$V$3004,"&lt;&gt;",$V$5:$V$3004,"&lt;&gt;Excluded")&gt;0,"LEAK RISK","OK"))</f>
        <v/>
      </c>
      <c r="Z603" s="30" t="n"/>
    </row>
    <row r="604">
      <c r="A604" s="30" t="n"/>
      <c r="B604" s="30" t="n"/>
      <c r="C604" s="30" t="n"/>
      <c r="D604" s="30" t="n"/>
      <c r="E604" s="30" t="n"/>
      <c r="F604" s="30" t="n"/>
      <c r="G604" s="30" t="n"/>
      <c r="H604" s="30" t="n"/>
      <c r="I604" s="31" t="n"/>
      <c r="J604" s="30" t="n"/>
      <c r="K604" s="30" t="n"/>
      <c r="L604" s="30" t="n"/>
      <c r="M604" s="30" t="n"/>
      <c r="N604" s="32" t="n"/>
      <c r="O604" s="30" t="n"/>
      <c r="P604" s="32" t="n"/>
      <c r="Q604" s="30" t="n"/>
      <c r="R604" s="32" t="n"/>
      <c r="S604" s="30" t="n"/>
      <c r="T604" s="30" t="n"/>
      <c r="U604" s="30" t="n"/>
      <c r="V604" s="30" t="n"/>
      <c r="W604" s="29">
        <f>IF(H604="","",IF(H604="Kenya","Yes","No"))</f>
        <v/>
      </c>
      <c r="X604" s="29">
        <f>IF(B604="","",IF(COUNTIF($B$5:$B$3004,B604)&gt;1,"DUPLICATE","OK"))</f>
        <v/>
      </c>
      <c r="Y604" s="29">
        <f>IF(OR(U604="",V604="",V604="Excluded"),"",IF(COUNTIFS($U$5:$U$3004,U604,$V$5:$V$3004,"&lt;&gt;"&amp;V604,$V$5:$V$3004,"&lt;&gt;",$V$5:$V$3004,"&lt;&gt;Excluded")&gt;0,"LEAK RISK","OK"))</f>
        <v/>
      </c>
      <c r="Z604" s="30" t="n"/>
    </row>
    <row r="605">
      <c r="A605" s="30" t="n"/>
      <c r="B605" s="30" t="n"/>
      <c r="C605" s="30" t="n"/>
      <c r="D605" s="30" t="n"/>
      <c r="E605" s="30" t="n"/>
      <c r="F605" s="30" t="n"/>
      <c r="G605" s="30" t="n"/>
      <c r="H605" s="30" t="n"/>
      <c r="I605" s="31" t="n"/>
      <c r="J605" s="30" t="n"/>
      <c r="K605" s="30" t="n"/>
      <c r="L605" s="30" t="n"/>
      <c r="M605" s="30" t="n"/>
      <c r="N605" s="32" t="n"/>
      <c r="O605" s="30" t="n"/>
      <c r="P605" s="32" t="n"/>
      <c r="Q605" s="30" t="n"/>
      <c r="R605" s="32" t="n"/>
      <c r="S605" s="30" t="n"/>
      <c r="T605" s="30" t="n"/>
      <c r="U605" s="30" t="n"/>
      <c r="V605" s="30" t="n"/>
      <c r="W605" s="29">
        <f>IF(H605="","",IF(H605="Kenya","Yes","No"))</f>
        <v/>
      </c>
      <c r="X605" s="29">
        <f>IF(B605="","",IF(COUNTIF($B$5:$B$3004,B605)&gt;1,"DUPLICATE","OK"))</f>
        <v/>
      </c>
      <c r="Y605" s="29">
        <f>IF(OR(U605="",V605="",V605="Excluded"),"",IF(COUNTIFS($U$5:$U$3004,U605,$V$5:$V$3004,"&lt;&gt;"&amp;V605,$V$5:$V$3004,"&lt;&gt;",$V$5:$V$3004,"&lt;&gt;Excluded")&gt;0,"LEAK RISK","OK"))</f>
        <v/>
      </c>
      <c r="Z605" s="30" t="n"/>
    </row>
    <row r="606">
      <c r="A606" s="30" t="n"/>
      <c r="B606" s="30" t="n"/>
      <c r="C606" s="30" t="n"/>
      <c r="D606" s="30" t="n"/>
      <c r="E606" s="30" t="n"/>
      <c r="F606" s="30" t="n"/>
      <c r="G606" s="30" t="n"/>
      <c r="H606" s="30" t="n"/>
      <c r="I606" s="31" t="n"/>
      <c r="J606" s="30" t="n"/>
      <c r="K606" s="30" t="n"/>
      <c r="L606" s="30" t="n"/>
      <c r="M606" s="30" t="n"/>
      <c r="N606" s="32" t="n"/>
      <c r="O606" s="30" t="n"/>
      <c r="P606" s="32" t="n"/>
      <c r="Q606" s="30" t="n"/>
      <c r="R606" s="32" t="n"/>
      <c r="S606" s="30" t="n"/>
      <c r="T606" s="30" t="n"/>
      <c r="U606" s="30" t="n"/>
      <c r="V606" s="30" t="n"/>
      <c r="W606" s="29">
        <f>IF(H606="","",IF(H606="Kenya","Yes","No"))</f>
        <v/>
      </c>
      <c r="X606" s="29">
        <f>IF(B606="","",IF(COUNTIF($B$5:$B$3004,B606)&gt;1,"DUPLICATE","OK"))</f>
        <v/>
      </c>
      <c r="Y606" s="29">
        <f>IF(OR(U606="",V606="",V606="Excluded"),"",IF(COUNTIFS($U$5:$U$3004,U606,$V$5:$V$3004,"&lt;&gt;"&amp;V606,$V$5:$V$3004,"&lt;&gt;",$V$5:$V$3004,"&lt;&gt;Excluded")&gt;0,"LEAK RISK","OK"))</f>
        <v/>
      </c>
      <c r="Z606" s="30" t="n"/>
    </row>
    <row r="607">
      <c r="A607" s="30" t="n"/>
      <c r="B607" s="30" t="n"/>
      <c r="C607" s="30" t="n"/>
      <c r="D607" s="30" t="n"/>
      <c r="E607" s="30" t="n"/>
      <c r="F607" s="30" t="n"/>
      <c r="G607" s="30" t="n"/>
      <c r="H607" s="30" t="n"/>
      <c r="I607" s="31" t="n"/>
      <c r="J607" s="30" t="n"/>
      <c r="K607" s="30" t="n"/>
      <c r="L607" s="30" t="n"/>
      <c r="M607" s="30" t="n"/>
      <c r="N607" s="32" t="n"/>
      <c r="O607" s="30" t="n"/>
      <c r="P607" s="32" t="n"/>
      <c r="Q607" s="30" t="n"/>
      <c r="R607" s="32" t="n"/>
      <c r="S607" s="30" t="n"/>
      <c r="T607" s="30" t="n"/>
      <c r="U607" s="30" t="n"/>
      <c r="V607" s="30" t="n"/>
      <c r="W607" s="29">
        <f>IF(H607="","",IF(H607="Kenya","Yes","No"))</f>
        <v/>
      </c>
      <c r="X607" s="29">
        <f>IF(B607="","",IF(COUNTIF($B$5:$B$3004,B607)&gt;1,"DUPLICATE","OK"))</f>
        <v/>
      </c>
      <c r="Y607" s="29">
        <f>IF(OR(U607="",V607="",V607="Excluded"),"",IF(COUNTIFS($U$5:$U$3004,U607,$V$5:$V$3004,"&lt;&gt;"&amp;V607,$V$5:$V$3004,"&lt;&gt;",$V$5:$V$3004,"&lt;&gt;Excluded")&gt;0,"LEAK RISK","OK"))</f>
        <v/>
      </c>
      <c r="Z607" s="30" t="n"/>
    </row>
    <row r="608">
      <c r="A608" s="30" t="n"/>
      <c r="B608" s="30" t="n"/>
      <c r="C608" s="30" t="n"/>
      <c r="D608" s="30" t="n"/>
      <c r="E608" s="30" t="n"/>
      <c r="F608" s="30" t="n"/>
      <c r="G608" s="30" t="n"/>
      <c r="H608" s="30" t="n"/>
      <c r="I608" s="31" t="n"/>
      <c r="J608" s="30" t="n"/>
      <c r="K608" s="30" t="n"/>
      <c r="L608" s="30" t="n"/>
      <c r="M608" s="30" t="n"/>
      <c r="N608" s="32" t="n"/>
      <c r="O608" s="30" t="n"/>
      <c r="P608" s="32" t="n"/>
      <c r="Q608" s="30" t="n"/>
      <c r="R608" s="32" t="n"/>
      <c r="S608" s="30" t="n"/>
      <c r="T608" s="30" t="n"/>
      <c r="U608" s="30" t="n"/>
      <c r="V608" s="30" t="n"/>
      <c r="W608" s="29">
        <f>IF(H608="","",IF(H608="Kenya","Yes","No"))</f>
        <v/>
      </c>
      <c r="X608" s="29">
        <f>IF(B608="","",IF(COUNTIF($B$5:$B$3004,B608)&gt;1,"DUPLICATE","OK"))</f>
        <v/>
      </c>
      <c r="Y608" s="29">
        <f>IF(OR(U608="",V608="",V608="Excluded"),"",IF(COUNTIFS($U$5:$U$3004,U608,$V$5:$V$3004,"&lt;&gt;"&amp;V608,$V$5:$V$3004,"&lt;&gt;",$V$5:$V$3004,"&lt;&gt;Excluded")&gt;0,"LEAK RISK","OK"))</f>
        <v/>
      </c>
      <c r="Z608" s="30" t="n"/>
    </row>
    <row r="609">
      <c r="A609" s="30" t="n"/>
      <c r="B609" s="30" t="n"/>
      <c r="C609" s="30" t="n"/>
      <c r="D609" s="30" t="n"/>
      <c r="E609" s="30" t="n"/>
      <c r="F609" s="30" t="n"/>
      <c r="G609" s="30" t="n"/>
      <c r="H609" s="30" t="n"/>
      <c r="I609" s="31" t="n"/>
      <c r="J609" s="30" t="n"/>
      <c r="K609" s="30" t="n"/>
      <c r="L609" s="30" t="n"/>
      <c r="M609" s="30" t="n"/>
      <c r="N609" s="32" t="n"/>
      <c r="O609" s="30" t="n"/>
      <c r="P609" s="32" t="n"/>
      <c r="Q609" s="30" t="n"/>
      <c r="R609" s="32" t="n"/>
      <c r="S609" s="30" t="n"/>
      <c r="T609" s="30" t="n"/>
      <c r="U609" s="30" t="n"/>
      <c r="V609" s="30" t="n"/>
      <c r="W609" s="29">
        <f>IF(H609="","",IF(H609="Kenya","Yes","No"))</f>
        <v/>
      </c>
      <c r="X609" s="29">
        <f>IF(B609="","",IF(COUNTIF($B$5:$B$3004,B609)&gt;1,"DUPLICATE","OK"))</f>
        <v/>
      </c>
      <c r="Y609" s="29">
        <f>IF(OR(U609="",V609="",V609="Excluded"),"",IF(COUNTIFS($U$5:$U$3004,U609,$V$5:$V$3004,"&lt;&gt;"&amp;V609,$V$5:$V$3004,"&lt;&gt;",$V$5:$V$3004,"&lt;&gt;Excluded")&gt;0,"LEAK RISK","OK"))</f>
        <v/>
      </c>
      <c r="Z609" s="30" t="n"/>
    </row>
    <row r="610">
      <c r="A610" s="30" t="n"/>
      <c r="B610" s="30" t="n"/>
      <c r="C610" s="30" t="n"/>
      <c r="D610" s="30" t="n"/>
      <c r="E610" s="30" t="n"/>
      <c r="F610" s="30" t="n"/>
      <c r="G610" s="30" t="n"/>
      <c r="H610" s="30" t="n"/>
      <c r="I610" s="31" t="n"/>
      <c r="J610" s="30" t="n"/>
      <c r="K610" s="30" t="n"/>
      <c r="L610" s="30" t="n"/>
      <c r="M610" s="30" t="n"/>
      <c r="N610" s="32" t="n"/>
      <c r="O610" s="30" t="n"/>
      <c r="P610" s="32" t="n"/>
      <c r="Q610" s="30" t="n"/>
      <c r="R610" s="32" t="n"/>
      <c r="S610" s="30" t="n"/>
      <c r="T610" s="30" t="n"/>
      <c r="U610" s="30" t="n"/>
      <c r="V610" s="30" t="n"/>
      <c r="W610" s="29">
        <f>IF(H610="","",IF(H610="Kenya","Yes","No"))</f>
        <v/>
      </c>
      <c r="X610" s="29">
        <f>IF(B610="","",IF(COUNTIF($B$5:$B$3004,B610)&gt;1,"DUPLICATE","OK"))</f>
        <v/>
      </c>
      <c r="Y610" s="29">
        <f>IF(OR(U610="",V610="",V610="Excluded"),"",IF(COUNTIFS($U$5:$U$3004,U610,$V$5:$V$3004,"&lt;&gt;"&amp;V610,$V$5:$V$3004,"&lt;&gt;",$V$5:$V$3004,"&lt;&gt;Excluded")&gt;0,"LEAK RISK","OK"))</f>
        <v/>
      </c>
      <c r="Z610" s="30" t="n"/>
    </row>
    <row r="611">
      <c r="A611" s="30" t="n"/>
      <c r="B611" s="30" t="n"/>
      <c r="C611" s="30" t="n"/>
      <c r="D611" s="30" t="n"/>
      <c r="E611" s="30" t="n"/>
      <c r="F611" s="30" t="n"/>
      <c r="G611" s="30" t="n"/>
      <c r="H611" s="30" t="n"/>
      <c r="I611" s="31" t="n"/>
      <c r="J611" s="30" t="n"/>
      <c r="K611" s="30" t="n"/>
      <c r="L611" s="30" t="n"/>
      <c r="M611" s="30" t="n"/>
      <c r="N611" s="32" t="n"/>
      <c r="O611" s="30" t="n"/>
      <c r="P611" s="32" t="n"/>
      <c r="Q611" s="30" t="n"/>
      <c r="R611" s="32" t="n"/>
      <c r="S611" s="30" t="n"/>
      <c r="T611" s="30" t="n"/>
      <c r="U611" s="30" t="n"/>
      <c r="V611" s="30" t="n"/>
      <c r="W611" s="29">
        <f>IF(H611="","",IF(H611="Kenya","Yes","No"))</f>
        <v/>
      </c>
      <c r="X611" s="29">
        <f>IF(B611="","",IF(COUNTIF($B$5:$B$3004,B611)&gt;1,"DUPLICATE","OK"))</f>
        <v/>
      </c>
      <c r="Y611" s="29">
        <f>IF(OR(U611="",V611="",V611="Excluded"),"",IF(COUNTIFS($U$5:$U$3004,U611,$V$5:$V$3004,"&lt;&gt;"&amp;V611,$V$5:$V$3004,"&lt;&gt;",$V$5:$V$3004,"&lt;&gt;Excluded")&gt;0,"LEAK RISK","OK"))</f>
        <v/>
      </c>
      <c r="Z611" s="30" t="n"/>
    </row>
    <row r="612">
      <c r="A612" s="30" t="n"/>
      <c r="B612" s="30" t="n"/>
      <c r="C612" s="30" t="n"/>
      <c r="D612" s="30" t="n"/>
      <c r="E612" s="30" t="n"/>
      <c r="F612" s="30" t="n"/>
      <c r="G612" s="30" t="n"/>
      <c r="H612" s="30" t="n"/>
      <c r="I612" s="31" t="n"/>
      <c r="J612" s="30" t="n"/>
      <c r="K612" s="30" t="n"/>
      <c r="L612" s="30" t="n"/>
      <c r="M612" s="30" t="n"/>
      <c r="N612" s="32" t="n"/>
      <c r="O612" s="30" t="n"/>
      <c r="P612" s="32" t="n"/>
      <c r="Q612" s="30" t="n"/>
      <c r="R612" s="32" t="n"/>
      <c r="S612" s="30" t="n"/>
      <c r="T612" s="30" t="n"/>
      <c r="U612" s="30" t="n"/>
      <c r="V612" s="30" t="n"/>
      <c r="W612" s="29">
        <f>IF(H612="","",IF(H612="Kenya","Yes","No"))</f>
        <v/>
      </c>
      <c r="X612" s="29">
        <f>IF(B612="","",IF(COUNTIF($B$5:$B$3004,B612)&gt;1,"DUPLICATE","OK"))</f>
        <v/>
      </c>
      <c r="Y612" s="29">
        <f>IF(OR(U612="",V612="",V612="Excluded"),"",IF(COUNTIFS($U$5:$U$3004,U612,$V$5:$V$3004,"&lt;&gt;"&amp;V612,$V$5:$V$3004,"&lt;&gt;",$V$5:$V$3004,"&lt;&gt;Excluded")&gt;0,"LEAK RISK","OK"))</f>
        <v/>
      </c>
      <c r="Z612" s="30" t="n"/>
    </row>
    <row r="613">
      <c r="A613" s="30" t="n"/>
      <c r="B613" s="30" t="n"/>
      <c r="C613" s="30" t="n"/>
      <c r="D613" s="30" t="n"/>
      <c r="E613" s="30" t="n"/>
      <c r="F613" s="30" t="n"/>
      <c r="G613" s="30" t="n"/>
      <c r="H613" s="30" t="n"/>
      <c r="I613" s="31" t="n"/>
      <c r="J613" s="30" t="n"/>
      <c r="K613" s="30" t="n"/>
      <c r="L613" s="30" t="n"/>
      <c r="M613" s="30" t="n"/>
      <c r="N613" s="32" t="n"/>
      <c r="O613" s="30" t="n"/>
      <c r="P613" s="32" t="n"/>
      <c r="Q613" s="30" t="n"/>
      <c r="R613" s="32" t="n"/>
      <c r="S613" s="30" t="n"/>
      <c r="T613" s="30" t="n"/>
      <c r="U613" s="30" t="n"/>
      <c r="V613" s="30" t="n"/>
      <c r="W613" s="29">
        <f>IF(H613="","",IF(H613="Kenya","Yes","No"))</f>
        <v/>
      </c>
      <c r="X613" s="29">
        <f>IF(B613="","",IF(COUNTIF($B$5:$B$3004,B613)&gt;1,"DUPLICATE","OK"))</f>
        <v/>
      </c>
      <c r="Y613" s="29">
        <f>IF(OR(U613="",V613="",V613="Excluded"),"",IF(COUNTIFS($U$5:$U$3004,U613,$V$5:$V$3004,"&lt;&gt;"&amp;V613,$V$5:$V$3004,"&lt;&gt;",$V$5:$V$3004,"&lt;&gt;Excluded")&gt;0,"LEAK RISK","OK"))</f>
        <v/>
      </c>
      <c r="Z613" s="30" t="n"/>
    </row>
    <row r="614">
      <c r="A614" s="30" t="n"/>
      <c r="B614" s="30" t="n"/>
      <c r="C614" s="30" t="n"/>
      <c r="D614" s="30" t="n"/>
      <c r="E614" s="30" t="n"/>
      <c r="F614" s="30" t="n"/>
      <c r="G614" s="30" t="n"/>
      <c r="H614" s="30" t="n"/>
      <c r="I614" s="31" t="n"/>
      <c r="J614" s="30" t="n"/>
      <c r="K614" s="30" t="n"/>
      <c r="L614" s="30" t="n"/>
      <c r="M614" s="30" t="n"/>
      <c r="N614" s="32" t="n"/>
      <c r="O614" s="30" t="n"/>
      <c r="P614" s="32" t="n"/>
      <c r="Q614" s="30" t="n"/>
      <c r="R614" s="32" t="n"/>
      <c r="S614" s="30" t="n"/>
      <c r="T614" s="30" t="n"/>
      <c r="U614" s="30" t="n"/>
      <c r="V614" s="30" t="n"/>
      <c r="W614" s="29">
        <f>IF(H614="","",IF(H614="Kenya","Yes","No"))</f>
        <v/>
      </c>
      <c r="X614" s="29">
        <f>IF(B614="","",IF(COUNTIF($B$5:$B$3004,B614)&gt;1,"DUPLICATE","OK"))</f>
        <v/>
      </c>
      <c r="Y614" s="29">
        <f>IF(OR(U614="",V614="",V614="Excluded"),"",IF(COUNTIFS($U$5:$U$3004,U614,$V$5:$V$3004,"&lt;&gt;"&amp;V614,$V$5:$V$3004,"&lt;&gt;",$V$5:$V$3004,"&lt;&gt;Excluded")&gt;0,"LEAK RISK","OK"))</f>
        <v/>
      </c>
      <c r="Z614" s="30" t="n"/>
    </row>
    <row r="615">
      <c r="A615" s="30" t="n"/>
      <c r="B615" s="30" t="n"/>
      <c r="C615" s="30" t="n"/>
      <c r="D615" s="30" t="n"/>
      <c r="E615" s="30" t="n"/>
      <c r="F615" s="30" t="n"/>
      <c r="G615" s="30" t="n"/>
      <c r="H615" s="30" t="n"/>
      <c r="I615" s="31" t="n"/>
      <c r="J615" s="30" t="n"/>
      <c r="K615" s="30" t="n"/>
      <c r="L615" s="30" t="n"/>
      <c r="M615" s="30" t="n"/>
      <c r="N615" s="32" t="n"/>
      <c r="O615" s="30" t="n"/>
      <c r="P615" s="32" t="n"/>
      <c r="Q615" s="30" t="n"/>
      <c r="R615" s="32" t="n"/>
      <c r="S615" s="30" t="n"/>
      <c r="T615" s="30" t="n"/>
      <c r="U615" s="30" t="n"/>
      <c r="V615" s="30" t="n"/>
      <c r="W615" s="29">
        <f>IF(H615="","",IF(H615="Kenya","Yes","No"))</f>
        <v/>
      </c>
      <c r="X615" s="29">
        <f>IF(B615="","",IF(COUNTIF($B$5:$B$3004,B615)&gt;1,"DUPLICATE","OK"))</f>
        <v/>
      </c>
      <c r="Y615" s="29">
        <f>IF(OR(U615="",V615="",V615="Excluded"),"",IF(COUNTIFS($U$5:$U$3004,U615,$V$5:$V$3004,"&lt;&gt;"&amp;V615,$V$5:$V$3004,"&lt;&gt;",$V$5:$V$3004,"&lt;&gt;Excluded")&gt;0,"LEAK RISK","OK"))</f>
        <v/>
      </c>
      <c r="Z615" s="30" t="n"/>
    </row>
    <row r="616">
      <c r="A616" s="30" t="n"/>
      <c r="B616" s="30" t="n"/>
      <c r="C616" s="30" t="n"/>
      <c r="D616" s="30" t="n"/>
      <c r="E616" s="30" t="n"/>
      <c r="F616" s="30" t="n"/>
      <c r="G616" s="30" t="n"/>
      <c r="H616" s="30" t="n"/>
      <c r="I616" s="31" t="n"/>
      <c r="J616" s="30" t="n"/>
      <c r="K616" s="30" t="n"/>
      <c r="L616" s="30" t="n"/>
      <c r="M616" s="30" t="n"/>
      <c r="N616" s="32" t="n"/>
      <c r="O616" s="30" t="n"/>
      <c r="P616" s="32" t="n"/>
      <c r="Q616" s="30" t="n"/>
      <c r="R616" s="32" t="n"/>
      <c r="S616" s="30" t="n"/>
      <c r="T616" s="30" t="n"/>
      <c r="U616" s="30" t="n"/>
      <c r="V616" s="30" t="n"/>
      <c r="W616" s="29">
        <f>IF(H616="","",IF(H616="Kenya","Yes","No"))</f>
        <v/>
      </c>
      <c r="X616" s="29">
        <f>IF(B616="","",IF(COUNTIF($B$5:$B$3004,B616)&gt;1,"DUPLICATE","OK"))</f>
        <v/>
      </c>
      <c r="Y616" s="29">
        <f>IF(OR(U616="",V616="",V616="Excluded"),"",IF(COUNTIFS($U$5:$U$3004,U616,$V$5:$V$3004,"&lt;&gt;"&amp;V616,$V$5:$V$3004,"&lt;&gt;",$V$5:$V$3004,"&lt;&gt;Excluded")&gt;0,"LEAK RISK","OK"))</f>
        <v/>
      </c>
      <c r="Z616" s="30" t="n"/>
    </row>
    <row r="617">
      <c r="A617" s="30" t="n"/>
      <c r="B617" s="30" t="n"/>
      <c r="C617" s="30" t="n"/>
      <c r="D617" s="30" t="n"/>
      <c r="E617" s="30" t="n"/>
      <c r="F617" s="30" t="n"/>
      <c r="G617" s="30" t="n"/>
      <c r="H617" s="30" t="n"/>
      <c r="I617" s="31" t="n"/>
      <c r="J617" s="30" t="n"/>
      <c r="K617" s="30" t="n"/>
      <c r="L617" s="30" t="n"/>
      <c r="M617" s="30" t="n"/>
      <c r="N617" s="32" t="n"/>
      <c r="O617" s="30" t="n"/>
      <c r="P617" s="32" t="n"/>
      <c r="Q617" s="30" t="n"/>
      <c r="R617" s="32" t="n"/>
      <c r="S617" s="30" t="n"/>
      <c r="T617" s="30" t="n"/>
      <c r="U617" s="30" t="n"/>
      <c r="V617" s="30" t="n"/>
      <c r="W617" s="29">
        <f>IF(H617="","",IF(H617="Kenya","Yes","No"))</f>
        <v/>
      </c>
      <c r="X617" s="29">
        <f>IF(B617="","",IF(COUNTIF($B$5:$B$3004,B617)&gt;1,"DUPLICATE","OK"))</f>
        <v/>
      </c>
      <c r="Y617" s="29">
        <f>IF(OR(U617="",V617="",V617="Excluded"),"",IF(COUNTIFS($U$5:$U$3004,U617,$V$5:$V$3004,"&lt;&gt;"&amp;V617,$V$5:$V$3004,"&lt;&gt;",$V$5:$V$3004,"&lt;&gt;Excluded")&gt;0,"LEAK RISK","OK"))</f>
        <v/>
      </c>
      <c r="Z617" s="30" t="n"/>
    </row>
    <row r="618">
      <c r="A618" s="30" t="n"/>
      <c r="B618" s="30" t="n"/>
      <c r="C618" s="30" t="n"/>
      <c r="D618" s="30" t="n"/>
      <c r="E618" s="30" t="n"/>
      <c r="F618" s="30" t="n"/>
      <c r="G618" s="30" t="n"/>
      <c r="H618" s="30" t="n"/>
      <c r="I618" s="31" t="n"/>
      <c r="J618" s="30" t="n"/>
      <c r="K618" s="30" t="n"/>
      <c r="L618" s="30" t="n"/>
      <c r="M618" s="30" t="n"/>
      <c r="N618" s="32" t="n"/>
      <c r="O618" s="30" t="n"/>
      <c r="P618" s="32" t="n"/>
      <c r="Q618" s="30" t="n"/>
      <c r="R618" s="32" t="n"/>
      <c r="S618" s="30" t="n"/>
      <c r="T618" s="30" t="n"/>
      <c r="U618" s="30" t="n"/>
      <c r="V618" s="30" t="n"/>
      <c r="W618" s="29">
        <f>IF(H618="","",IF(H618="Kenya","Yes","No"))</f>
        <v/>
      </c>
      <c r="X618" s="29">
        <f>IF(B618="","",IF(COUNTIF($B$5:$B$3004,B618)&gt;1,"DUPLICATE","OK"))</f>
        <v/>
      </c>
      <c r="Y618" s="29">
        <f>IF(OR(U618="",V618="",V618="Excluded"),"",IF(COUNTIFS($U$5:$U$3004,U618,$V$5:$V$3004,"&lt;&gt;"&amp;V618,$V$5:$V$3004,"&lt;&gt;",$V$5:$V$3004,"&lt;&gt;Excluded")&gt;0,"LEAK RISK","OK"))</f>
        <v/>
      </c>
      <c r="Z618" s="30" t="n"/>
    </row>
    <row r="619">
      <c r="A619" s="30" t="n"/>
      <c r="B619" s="30" t="n"/>
      <c r="C619" s="30" t="n"/>
      <c r="D619" s="30" t="n"/>
      <c r="E619" s="30" t="n"/>
      <c r="F619" s="30" t="n"/>
      <c r="G619" s="30" t="n"/>
      <c r="H619" s="30" t="n"/>
      <c r="I619" s="31" t="n"/>
      <c r="J619" s="30" t="n"/>
      <c r="K619" s="30" t="n"/>
      <c r="L619" s="30" t="n"/>
      <c r="M619" s="30" t="n"/>
      <c r="N619" s="32" t="n"/>
      <c r="O619" s="30" t="n"/>
      <c r="P619" s="32" t="n"/>
      <c r="Q619" s="30" t="n"/>
      <c r="R619" s="32" t="n"/>
      <c r="S619" s="30" t="n"/>
      <c r="T619" s="30" t="n"/>
      <c r="U619" s="30" t="n"/>
      <c r="V619" s="30" t="n"/>
      <c r="W619" s="29">
        <f>IF(H619="","",IF(H619="Kenya","Yes","No"))</f>
        <v/>
      </c>
      <c r="X619" s="29">
        <f>IF(B619="","",IF(COUNTIF($B$5:$B$3004,B619)&gt;1,"DUPLICATE","OK"))</f>
        <v/>
      </c>
      <c r="Y619" s="29">
        <f>IF(OR(U619="",V619="",V619="Excluded"),"",IF(COUNTIFS($U$5:$U$3004,U619,$V$5:$V$3004,"&lt;&gt;"&amp;V619,$V$5:$V$3004,"&lt;&gt;",$V$5:$V$3004,"&lt;&gt;Excluded")&gt;0,"LEAK RISK","OK"))</f>
        <v/>
      </c>
      <c r="Z619" s="30" t="n"/>
    </row>
    <row r="620">
      <c r="A620" s="30" t="n"/>
      <c r="B620" s="30" t="n"/>
      <c r="C620" s="30" t="n"/>
      <c r="D620" s="30" t="n"/>
      <c r="E620" s="30" t="n"/>
      <c r="F620" s="30" t="n"/>
      <c r="G620" s="30" t="n"/>
      <c r="H620" s="30" t="n"/>
      <c r="I620" s="31" t="n"/>
      <c r="J620" s="30" t="n"/>
      <c r="K620" s="30" t="n"/>
      <c r="L620" s="30" t="n"/>
      <c r="M620" s="30" t="n"/>
      <c r="N620" s="32" t="n"/>
      <c r="O620" s="30" t="n"/>
      <c r="P620" s="32" t="n"/>
      <c r="Q620" s="30" t="n"/>
      <c r="R620" s="32" t="n"/>
      <c r="S620" s="30" t="n"/>
      <c r="T620" s="30" t="n"/>
      <c r="U620" s="30" t="n"/>
      <c r="V620" s="30" t="n"/>
      <c r="W620" s="29">
        <f>IF(H620="","",IF(H620="Kenya","Yes","No"))</f>
        <v/>
      </c>
      <c r="X620" s="29">
        <f>IF(B620="","",IF(COUNTIF($B$5:$B$3004,B620)&gt;1,"DUPLICATE","OK"))</f>
        <v/>
      </c>
      <c r="Y620" s="29">
        <f>IF(OR(U620="",V620="",V620="Excluded"),"",IF(COUNTIFS($U$5:$U$3004,U620,$V$5:$V$3004,"&lt;&gt;"&amp;V620,$V$5:$V$3004,"&lt;&gt;",$V$5:$V$3004,"&lt;&gt;Excluded")&gt;0,"LEAK RISK","OK"))</f>
        <v/>
      </c>
      <c r="Z620" s="30" t="n"/>
    </row>
    <row r="621">
      <c r="A621" s="30" t="n"/>
      <c r="B621" s="30" t="n"/>
      <c r="C621" s="30" t="n"/>
      <c r="D621" s="30" t="n"/>
      <c r="E621" s="30" t="n"/>
      <c r="F621" s="30" t="n"/>
      <c r="G621" s="30" t="n"/>
      <c r="H621" s="30" t="n"/>
      <c r="I621" s="31" t="n"/>
      <c r="J621" s="30" t="n"/>
      <c r="K621" s="30" t="n"/>
      <c r="L621" s="30" t="n"/>
      <c r="M621" s="30" t="n"/>
      <c r="N621" s="32" t="n"/>
      <c r="O621" s="30" t="n"/>
      <c r="P621" s="32" t="n"/>
      <c r="Q621" s="30" t="n"/>
      <c r="R621" s="32" t="n"/>
      <c r="S621" s="30" t="n"/>
      <c r="T621" s="30" t="n"/>
      <c r="U621" s="30" t="n"/>
      <c r="V621" s="30" t="n"/>
      <c r="W621" s="29">
        <f>IF(H621="","",IF(H621="Kenya","Yes","No"))</f>
        <v/>
      </c>
      <c r="X621" s="29">
        <f>IF(B621="","",IF(COUNTIF($B$5:$B$3004,B621)&gt;1,"DUPLICATE","OK"))</f>
        <v/>
      </c>
      <c r="Y621" s="29">
        <f>IF(OR(U621="",V621="",V621="Excluded"),"",IF(COUNTIFS($U$5:$U$3004,U621,$V$5:$V$3004,"&lt;&gt;"&amp;V621,$V$5:$V$3004,"&lt;&gt;",$V$5:$V$3004,"&lt;&gt;Excluded")&gt;0,"LEAK RISK","OK"))</f>
        <v/>
      </c>
      <c r="Z621" s="30" t="n"/>
    </row>
    <row r="622">
      <c r="A622" s="30" t="n"/>
      <c r="B622" s="30" t="n"/>
      <c r="C622" s="30" t="n"/>
      <c r="D622" s="30" t="n"/>
      <c r="E622" s="30" t="n"/>
      <c r="F622" s="30" t="n"/>
      <c r="G622" s="30" t="n"/>
      <c r="H622" s="30" t="n"/>
      <c r="I622" s="31" t="n"/>
      <c r="J622" s="30" t="n"/>
      <c r="K622" s="30" t="n"/>
      <c r="L622" s="30" t="n"/>
      <c r="M622" s="30" t="n"/>
      <c r="N622" s="32" t="n"/>
      <c r="O622" s="30" t="n"/>
      <c r="P622" s="32" t="n"/>
      <c r="Q622" s="30" t="n"/>
      <c r="R622" s="32" t="n"/>
      <c r="S622" s="30" t="n"/>
      <c r="T622" s="30" t="n"/>
      <c r="U622" s="30" t="n"/>
      <c r="V622" s="30" t="n"/>
      <c r="W622" s="29">
        <f>IF(H622="","",IF(H622="Kenya","Yes","No"))</f>
        <v/>
      </c>
      <c r="X622" s="29">
        <f>IF(B622="","",IF(COUNTIF($B$5:$B$3004,B622)&gt;1,"DUPLICATE","OK"))</f>
        <v/>
      </c>
      <c r="Y622" s="29">
        <f>IF(OR(U622="",V622="",V622="Excluded"),"",IF(COUNTIFS($U$5:$U$3004,U622,$V$5:$V$3004,"&lt;&gt;"&amp;V622,$V$5:$V$3004,"&lt;&gt;",$V$5:$V$3004,"&lt;&gt;Excluded")&gt;0,"LEAK RISK","OK"))</f>
        <v/>
      </c>
      <c r="Z622" s="30" t="n"/>
    </row>
    <row r="623">
      <c r="A623" s="30" t="n"/>
      <c r="B623" s="30" t="n"/>
      <c r="C623" s="30" t="n"/>
      <c r="D623" s="30" t="n"/>
      <c r="E623" s="30" t="n"/>
      <c r="F623" s="30" t="n"/>
      <c r="G623" s="30" t="n"/>
      <c r="H623" s="30" t="n"/>
      <c r="I623" s="31" t="n"/>
      <c r="J623" s="30" t="n"/>
      <c r="K623" s="30" t="n"/>
      <c r="L623" s="30" t="n"/>
      <c r="M623" s="30" t="n"/>
      <c r="N623" s="32" t="n"/>
      <c r="O623" s="30" t="n"/>
      <c r="P623" s="32" t="n"/>
      <c r="Q623" s="30" t="n"/>
      <c r="R623" s="32" t="n"/>
      <c r="S623" s="30" t="n"/>
      <c r="T623" s="30" t="n"/>
      <c r="U623" s="30" t="n"/>
      <c r="V623" s="30" t="n"/>
      <c r="W623" s="29">
        <f>IF(H623="","",IF(H623="Kenya","Yes","No"))</f>
        <v/>
      </c>
      <c r="X623" s="29">
        <f>IF(B623="","",IF(COUNTIF($B$5:$B$3004,B623)&gt;1,"DUPLICATE","OK"))</f>
        <v/>
      </c>
      <c r="Y623" s="29">
        <f>IF(OR(U623="",V623="",V623="Excluded"),"",IF(COUNTIFS($U$5:$U$3004,U623,$V$5:$V$3004,"&lt;&gt;"&amp;V623,$V$5:$V$3004,"&lt;&gt;",$V$5:$V$3004,"&lt;&gt;Excluded")&gt;0,"LEAK RISK","OK"))</f>
        <v/>
      </c>
      <c r="Z623" s="30" t="n"/>
    </row>
    <row r="624">
      <c r="A624" s="30" t="n"/>
      <c r="B624" s="30" t="n"/>
      <c r="C624" s="30" t="n"/>
      <c r="D624" s="30" t="n"/>
      <c r="E624" s="30" t="n"/>
      <c r="F624" s="30" t="n"/>
      <c r="G624" s="30" t="n"/>
      <c r="H624" s="30" t="n"/>
      <c r="I624" s="31" t="n"/>
      <c r="J624" s="30" t="n"/>
      <c r="K624" s="30" t="n"/>
      <c r="L624" s="30" t="n"/>
      <c r="M624" s="30" t="n"/>
      <c r="N624" s="32" t="n"/>
      <c r="O624" s="30" t="n"/>
      <c r="P624" s="32" t="n"/>
      <c r="Q624" s="30" t="n"/>
      <c r="R624" s="32" t="n"/>
      <c r="S624" s="30" t="n"/>
      <c r="T624" s="30" t="n"/>
      <c r="U624" s="30" t="n"/>
      <c r="V624" s="30" t="n"/>
      <c r="W624" s="29">
        <f>IF(H624="","",IF(H624="Kenya","Yes","No"))</f>
        <v/>
      </c>
      <c r="X624" s="29">
        <f>IF(B624="","",IF(COUNTIF($B$5:$B$3004,B624)&gt;1,"DUPLICATE","OK"))</f>
        <v/>
      </c>
      <c r="Y624" s="29">
        <f>IF(OR(U624="",V624="",V624="Excluded"),"",IF(COUNTIFS($U$5:$U$3004,U624,$V$5:$V$3004,"&lt;&gt;"&amp;V624,$V$5:$V$3004,"&lt;&gt;",$V$5:$V$3004,"&lt;&gt;Excluded")&gt;0,"LEAK RISK","OK"))</f>
        <v/>
      </c>
      <c r="Z624" s="30" t="n"/>
    </row>
    <row r="625">
      <c r="A625" s="30" t="n"/>
      <c r="B625" s="30" t="n"/>
      <c r="C625" s="30" t="n"/>
      <c r="D625" s="30" t="n"/>
      <c r="E625" s="30" t="n"/>
      <c r="F625" s="30" t="n"/>
      <c r="G625" s="30" t="n"/>
      <c r="H625" s="30" t="n"/>
      <c r="I625" s="31" t="n"/>
      <c r="J625" s="30" t="n"/>
      <c r="K625" s="30" t="n"/>
      <c r="L625" s="30" t="n"/>
      <c r="M625" s="30" t="n"/>
      <c r="N625" s="32" t="n"/>
      <c r="O625" s="30" t="n"/>
      <c r="P625" s="32" t="n"/>
      <c r="Q625" s="30" t="n"/>
      <c r="R625" s="32" t="n"/>
      <c r="S625" s="30" t="n"/>
      <c r="T625" s="30" t="n"/>
      <c r="U625" s="30" t="n"/>
      <c r="V625" s="30" t="n"/>
      <c r="W625" s="29">
        <f>IF(H625="","",IF(H625="Kenya","Yes","No"))</f>
        <v/>
      </c>
      <c r="X625" s="29">
        <f>IF(B625="","",IF(COUNTIF($B$5:$B$3004,B625)&gt;1,"DUPLICATE","OK"))</f>
        <v/>
      </c>
      <c r="Y625" s="29">
        <f>IF(OR(U625="",V625="",V625="Excluded"),"",IF(COUNTIFS($U$5:$U$3004,U625,$V$5:$V$3004,"&lt;&gt;"&amp;V625,$V$5:$V$3004,"&lt;&gt;",$V$5:$V$3004,"&lt;&gt;Excluded")&gt;0,"LEAK RISK","OK"))</f>
        <v/>
      </c>
      <c r="Z625" s="30" t="n"/>
    </row>
    <row r="626">
      <c r="A626" s="30" t="n"/>
      <c r="B626" s="30" t="n"/>
      <c r="C626" s="30" t="n"/>
      <c r="D626" s="30" t="n"/>
      <c r="E626" s="30" t="n"/>
      <c r="F626" s="30" t="n"/>
      <c r="G626" s="30" t="n"/>
      <c r="H626" s="30" t="n"/>
      <c r="I626" s="31" t="n"/>
      <c r="J626" s="30" t="n"/>
      <c r="K626" s="30" t="n"/>
      <c r="L626" s="30" t="n"/>
      <c r="M626" s="30" t="n"/>
      <c r="N626" s="32" t="n"/>
      <c r="O626" s="30" t="n"/>
      <c r="P626" s="32" t="n"/>
      <c r="Q626" s="30" t="n"/>
      <c r="R626" s="32" t="n"/>
      <c r="S626" s="30" t="n"/>
      <c r="T626" s="30" t="n"/>
      <c r="U626" s="30" t="n"/>
      <c r="V626" s="30" t="n"/>
      <c r="W626" s="29">
        <f>IF(H626="","",IF(H626="Kenya","Yes","No"))</f>
        <v/>
      </c>
      <c r="X626" s="29">
        <f>IF(B626="","",IF(COUNTIF($B$5:$B$3004,B626)&gt;1,"DUPLICATE","OK"))</f>
        <v/>
      </c>
      <c r="Y626" s="29">
        <f>IF(OR(U626="",V626="",V626="Excluded"),"",IF(COUNTIFS($U$5:$U$3004,U626,$V$5:$V$3004,"&lt;&gt;"&amp;V626,$V$5:$V$3004,"&lt;&gt;",$V$5:$V$3004,"&lt;&gt;Excluded")&gt;0,"LEAK RISK","OK"))</f>
        <v/>
      </c>
      <c r="Z626" s="30" t="n"/>
    </row>
    <row r="627">
      <c r="A627" s="30" t="n"/>
      <c r="B627" s="30" t="n"/>
      <c r="C627" s="30" t="n"/>
      <c r="D627" s="30" t="n"/>
      <c r="E627" s="30" t="n"/>
      <c r="F627" s="30" t="n"/>
      <c r="G627" s="30" t="n"/>
      <c r="H627" s="30" t="n"/>
      <c r="I627" s="31" t="n"/>
      <c r="J627" s="30" t="n"/>
      <c r="K627" s="30" t="n"/>
      <c r="L627" s="30" t="n"/>
      <c r="M627" s="30" t="n"/>
      <c r="N627" s="32" t="n"/>
      <c r="O627" s="30" t="n"/>
      <c r="P627" s="32" t="n"/>
      <c r="Q627" s="30" t="n"/>
      <c r="R627" s="32" t="n"/>
      <c r="S627" s="30" t="n"/>
      <c r="T627" s="30" t="n"/>
      <c r="U627" s="30" t="n"/>
      <c r="V627" s="30" t="n"/>
      <c r="W627" s="29">
        <f>IF(H627="","",IF(H627="Kenya","Yes","No"))</f>
        <v/>
      </c>
      <c r="X627" s="29">
        <f>IF(B627="","",IF(COUNTIF($B$5:$B$3004,B627)&gt;1,"DUPLICATE","OK"))</f>
        <v/>
      </c>
      <c r="Y627" s="29">
        <f>IF(OR(U627="",V627="",V627="Excluded"),"",IF(COUNTIFS($U$5:$U$3004,U627,$V$5:$V$3004,"&lt;&gt;"&amp;V627,$V$5:$V$3004,"&lt;&gt;",$V$5:$V$3004,"&lt;&gt;Excluded")&gt;0,"LEAK RISK","OK"))</f>
        <v/>
      </c>
      <c r="Z627" s="30" t="n"/>
    </row>
    <row r="628">
      <c r="A628" s="30" t="n"/>
      <c r="B628" s="30" t="n"/>
      <c r="C628" s="30" t="n"/>
      <c r="D628" s="30" t="n"/>
      <c r="E628" s="30" t="n"/>
      <c r="F628" s="30" t="n"/>
      <c r="G628" s="30" t="n"/>
      <c r="H628" s="30" t="n"/>
      <c r="I628" s="31" t="n"/>
      <c r="J628" s="30" t="n"/>
      <c r="K628" s="30" t="n"/>
      <c r="L628" s="30" t="n"/>
      <c r="M628" s="30" t="n"/>
      <c r="N628" s="32" t="n"/>
      <c r="O628" s="30" t="n"/>
      <c r="P628" s="32" t="n"/>
      <c r="Q628" s="30" t="n"/>
      <c r="R628" s="32" t="n"/>
      <c r="S628" s="30" t="n"/>
      <c r="T628" s="30" t="n"/>
      <c r="U628" s="30" t="n"/>
      <c r="V628" s="30" t="n"/>
      <c r="W628" s="29">
        <f>IF(H628="","",IF(H628="Kenya","Yes","No"))</f>
        <v/>
      </c>
      <c r="X628" s="29">
        <f>IF(B628="","",IF(COUNTIF($B$5:$B$3004,B628)&gt;1,"DUPLICATE","OK"))</f>
        <v/>
      </c>
      <c r="Y628" s="29">
        <f>IF(OR(U628="",V628="",V628="Excluded"),"",IF(COUNTIFS($U$5:$U$3004,U628,$V$5:$V$3004,"&lt;&gt;"&amp;V628,$V$5:$V$3004,"&lt;&gt;",$V$5:$V$3004,"&lt;&gt;Excluded")&gt;0,"LEAK RISK","OK"))</f>
        <v/>
      </c>
      <c r="Z628" s="30" t="n"/>
    </row>
    <row r="629">
      <c r="A629" s="30" t="n"/>
      <c r="B629" s="30" t="n"/>
      <c r="C629" s="30" t="n"/>
      <c r="D629" s="30" t="n"/>
      <c r="E629" s="30" t="n"/>
      <c r="F629" s="30" t="n"/>
      <c r="G629" s="30" t="n"/>
      <c r="H629" s="30" t="n"/>
      <c r="I629" s="31" t="n"/>
      <c r="J629" s="30" t="n"/>
      <c r="K629" s="30" t="n"/>
      <c r="L629" s="30" t="n"/>
      <c r="M629" s="30" t="n"/>
      <c r="N629" s="32" t="n"/>
      <c r="O629" s="30" t="n"/>
      <c r="P629" s="32" t="n"/>
      <c r="Q629" s="30" t="n"/>
      <c r="R629" s="32" t="n"/>
      <c r="S629" s="30" t="n"/>
      <c r="T629" s="30" t="n"/>
      <c r="U629" s="30" t="n"/>
      <c r="V629" s="30" t="n"/>
      <c r="W629" s="29">
        <f>IF(H629="","",IF(H629="Kenya","Yes","No"))</f>
        <v/>
      </c>
      <c r="X629" s="29">
        <f>IF(B629="","",IF(COUNTIF($B$5:$B$3004,B629)&gt;1,"DUPLICATE","OK"))</f>
        <v/>
      </c>
      <c r="Y629" s="29">
        <f>IF(OR(U629="",V629="",V629="Excluded"),"",IF(COUNTIFS($U$5:$U$3004,U629,$V$5:$V$3004,"&lt;&gt;"&amp;V629,$V$5:$V$3004,"&lt;&gt;",$V$5:$V$3004,"&lt;&gt;Excluded")&gt;0,"LEAK RISK","OK"))</f>
        <v/>
      </c>
      <c r="Z629" s="30" t="n"/>
    </row>
    <row r="630">
      <c r="A630" s="30" t="n"/>
      <c r="B630" s="30" t="n"/>
      <c r="C630" s="30" t="n"/>
      <c r="D630" s="30" t="n"/>
      <c r="E630" s="30" t="n"/>
      <c r="F630" s="30" t="n"/>
      <c r="G630" s="30" t="n"/>
      <c r="H630" s="30" t="n"/>
      <c r="I630" s="31" t="n"/>
      <c r="J630" s="30" t="n"/>
      <c r="K630" s="30" t="n"/>
      <c r="L630" s="30" t="n"/>
      <c r="M630" s="30" t="n"/>
      <c r="N630" s="32" t="n"/>
      <c r="O630" s="30" t="n"/>
      <c r="P630" s="32" t="n"/>
      <c r="Q630" s="30" t="n"/>
      <c r="R630" s="32" t="n"/>
      <c r="S630" s="30" t="n"/>
      <c r="T630" s="30" t="n"/>
      <c r="U630" s="30" t="n"/>
      <c r="V630" s="30" t="n"/>
      <c r="W630" s="29">
        <f>IF(H630="","",IF(H630="Kenya","Yes","No"))</f>
        <v/>
      </c>
      <c r="X630" s="29">
        <f>IF(B630="","",IF(COUNTIF($B$5:$B$3004,B630)&gt;1,"DUPLICATE","OK"))</f>
        <v/>
      </c>
      <c r="Y630" s="29">
        <f>IF(OR(U630="",V630="",V630="Excluded"),"",IF(COUNTIFS($U$5:$U$3004,U630,$V$5:$V$3004,"&lt;&gt;"&amp;V630,$V$5:$V$3004,"&lt;&gt;",$V$5:$V$3004,"&lt;&gt;Excluded")&gt;0,"LEAK RISK","OK"))</f>
        <v/>
      </c>
      <c r="Z630" s="30" t="n"/>
    </row>
    <row r="631">
      <c r="A631" s="30" t="n"/>
      <c r="B631" s="30" t="n"/>
      <c r="C631" s="30" t="n"/>
      <c r="D631" s="30" t="n"/>
      <c r="E631" s="30" t="n"/>
      <c r="F631" s="30" t="n"/>
      <c r="G631" s="30" t="n"/>
      <c r="H631" s="30" t="n"/>
      <c r="I631" s="31" t="n"/>
      <c r="J631" s="30" t="n"/>
      <c r="K631" s="30" t="n"/>
      <c r="L631" s="30" t="n"/>
      <c r="M631" s="30" t="n"/>
      <c r="N631" s="32" t="n"/>
      <c r="O631" s="30" t="n"/>
      <c r="P631" s="32" t="n"/>
      <c r="Q631" s="30" t="n"/>
      <c r="R631" s="32" t="n"/>
      <c r="S631" s="30" t="n"/>
      <c r="T631" s="30" t="n"/>
      <c r="U631" s="30" t="n"/>
      <c r="V631" s="30" t="n"/>
      <c r="W631" s="29">
        <f>IF(H631="","",IF(H631="Kenya","Yes","No"))</f>
        <v/>
      </c>
      <c r="X631" s="29">
        <f>IF(B631="","",IF(COUNTIF($B$5:$B$3004,B631)&gt;1,"DUPLICATE","OK"))</f>
        <v/>
      </c>
      <c r="Y631" s="29">
        <f>IF(OR(U631="",V631="",V631="Excluded"),"",IF(COUNTIFS($U$5:$U$3004,U631,$V$5:$V$3004,"&lt;&gt;"&amp;V631,$V$5:$V$3004,"&lt;&gt;",$V$5:$V$3004,"&lt;&gt;Excluded")&gt;0,"LEAK RISK","OK"))</f>
        <v/>
      </c>
      <c r="Z631" s="30" t="n"/>
    </row>
    <row r="632">
      <c r="A632" s="30" t="n"/>
      <c r="B632" s="30" t="n"/>
      <c r="C632" s="30" t="n"/>
      <c r="D632" s="30" t="n"/>
      <c r="E632" s="30" t="n"/>
      <c r="F632" s="30" t="n"/>
      <c r="G632" s="30" t="n"/>
      <c r="H632" s="30" t="n"/>
      <c r="I632" s="31" t="n"/>
      <c r="J632" s="30" t="n"/>
      <c r="K632" s="30" t="n"/>
      <c r="L632" s="30" t="n"/>
      <c r="M632" s="30" t="n"/>
      <c r="N632" s="32" t="n"/>
      <c r="O632" s="30" t="n"/>
      <c r="P632" s="32" t="n"/>
      <c r="Q632" s="30" t="n"/>
      <c r="R632" s="32" t="n"/>
      <c r="S632" s="30" t="n"/>
      <c r="T632" s="30" t="n"/>
      <c r="U632" s="30" t="n"/>
      <c r="V632" s="30" t="n"/>
      <c r="W632" s="29">
        <f>IF(H632="","",IF(H632="Kenya","Yes","No"))</f>
        <v/>
      </c>
      <c r="X632" s="29">
        <f>IF(B632="","",IF(COUNTIF($B$5:$B$3004,B632)&gt;1,"DUPLICATE","OK"))</f>
        <v/>
      </c>
      <c r="Y632" s="29">
        <f>IF(OR(U632="",V632="",V632="Excluded"),"",IF(COUNTIFS($U$5:$U$3004,U632,$V$5:$V$3004,"&lt;&gt;"&amp;V632,$V$5:$V$3004,"&lt;&gt;",$V$5:$V$3004,"&lt;&gt;Excluded")&gt;0,"LEAK RISK","OK"))</f>
        <v/>
      </c>
      <c r="Z632" s="30" t="n"/>
    </row>
    <row r="633">
      <c r="A633" s="30" t="n"/>
      <c r="B633" s="30" t="n"/>
      <c r="C633" s="30" t="n"/>
      <c r="D633" s="30" t="n"/>
      <c r="E633" s="30" t="n"/>
      <c r="F633" s="30" t="n"/>
      <c r="G633" s="30" t="n"/>
      <c r="H633" s="30" t="n"/>
      <c r="I633" s="31" t="n"/>
      <c r="J633" s="30" t="n"/>
      <c r="K633" s="30" t="n"/>
      <c r="L633" s="30" t="n"/>
      <c r="M633" s="30" t="n"/>
      <c r="N633" s="32" t="n"/>
      <c r="O633" s="30" t="n"/>
      <c r="P633" s="32" t="n"/>
      <c r="Q633" s="30" t="n"/>
      <c r="R633" s="32" t="n"/>
      <c r="S633" s="30" t="n"/>
      <c r="T633" s="30" t="n"/>
      <c r="U633" s="30" t="n"/>
      <c r="V633" s="30" t="n"/>
      <c r="W633" s="29">
        <f>IF(H633="","",IF(H633="Kenya","Yes","No"))</f>
        <v/>
      </c>
      <c r="X633" s="29">
        <f>IF(B633="","",IF(COUNTIF($B$5:$B$3004,B633)&gt;1,"DUPLICATE","OK"))</f>
        <v/>
      </c>
      <c r="Y633" s="29">
        <f>IF(OR(U633="",V633="",V633="Excluded"),"",IF(COUNTIFS($U$5:$U$3004,U633,$V$5:$V$3004,"&lt;&gt;"&amp;V633,$V$5:$V$3004,"&lt;&gt;",$V$5:$V$3004,"&lt;&gt;Excluded")&gt;0,"LEAK RISK","OK"))</f>
        <v/>
      </c>
      <c r="Z633" s="30" t="n"/>
    </row>
    <row r="634">
      <c r="A634" s="30" t="n"/>
      <c r="B634" s="30" t="n"/>
      <c r="C634" s="30" t="n"/>
      <c r="D634" s="30" t="n"/>
      <c r="E634" s="30" t="n"/>
      <c r="F634" s="30" t="n"/>
      <c r="G634" s="30" t="n"/>
      <c r="H634" s="30" t="n"/>
      <c r="I634" s="31" t="n"/>
      <c r="J634" s="30" t="n"/>
      <c r="K634" s="30" t="n"/>
      <c r="L634" s="30" t="n"/>
      <c r="M634" s="30" t="n"/>
      <c r="N634" s="32" t="n"/>
      <c r="O634" s="30" t="n"/>
      <c r="P634" s="32" t="n"/>
      <c r="Q634" s="30" t="n"/>
      <c r="R634" s="32" t="n"/>
      <c r="S634" s="30" t="n"/>
      <c r="T634" s="30" t="n"/>
      <c r="U634" s="30" t="n"/>
      <c r="V634" s="30" t="n"/>
      <c r="W634" s="29">
        <f>IF(H634="","",IF(H634="Kenya","Yes","No"))</f>
        <v/>
      </c>
      <c r="X634" s="29">
        <f>IF(B634="","",IF(COUNTIF($B$5:$B$3004,B634)&gt;1,"DUPLICATE","OK"))</f>
        <v/>
      </c>
      <c r="Y634" s="29">
        <f>IF(OR(U634="",V634="",V634="Excluded"),"",IF(COUNTIFS($U$5:$U$3004,U634,$V$5:$V$3004,"&lt;&gt;"&amp;V634,$V$5:$V$3004,"&lt;&gt;",$V$5:$V$3004,"&lt;&gt;Excluded")&gt;0,"LEAK RISK","OK"))</f>
        <v/>
      </c>
      <c r="Z634" s="30" t="n"/>
    </row>
    <row r="635">
      <c r="A635" s="30" t="n"/>
      <c r="B635" s="30" t="n"/>
      <c r="C635" s="30" t="n"/>
      <c r="D635" s="30" t="n"/>
      <c r="E635" s="30" t="n"/>
      <c r="F635" s="30" t="n"/>
      <c r="G635" s="30" t="n"/>
      <c r="H635" s="30" t="n"/>
      <c r="I635" s="31" t="n"/>
      <c r="J635" s="30" t="n"/>
      <c r="K635" s="30" t="n"/>
      <c r="L635" s="30" t="n"/>
      <c r="M635" s="30" t="n"/>
      <c r="N635" s="32" t="n"/>
      <c r="O635" s="30" t="n"/>
      <c r="P635" s="32" t="n"/>
      <c r="Q635" s="30" t="n"/>
      <c r="R635" s="32" t="n"/>
      <c r="S635" s="30" t="n"/>
      <c r="T635" s="30" t="n"/>
      <c r="U635" s="30" t="n"/>
      <c r="V635" s="30" t="n"/>
      <c r="W635" s="29">
        <f>IF(H635="","",IF(H635="Kenya","Yes","No"))</f>
        <v/>
      </c>
      <c r="X635" s="29">
        <f>IF(B635="","",IF(COUNTIF($B$5:$B$3004,B635)&gt;1,"DUPLICATE","OK"))</f>
        <v/>
      </c>
      <c r="Y635" s="29">
        <f>IF(OR(U635="",V635="",V635="Excluded"),"",IF(COUNTIFS($U$5:$U$3004,U635,$V$5:$V$3004,"&lt;&gt;"&amp;V635,$V$5:$V$3004,"&lt;&gt;",$V$5:$V$3004,"&lt;&gt;Excluded")&gt;0,"LEAK RISK","OK"))</f>
        <v/>
      </c>
      <c r="Z635" s="30" t="n"/>
    </row>
    <row r="636">
      <c r="A636" s="30" t="n"/>
      <c r="B636" s="30" t="n"/>
      <c r="C636" s="30" t="n"/>
      <c r="D636" s="30" t="n"/>
      <c r="E636" s="30" t="n"/>
      <c r="F636" s="30" t="n"/>
      <c r="G636" s="30" t="n"/>
      <c r="H636" s="30" t="n"/>
      <c r="I636" s="31" t="n"/>
      <c r="J636" s="30" t="n"/>
      <c r="K636" s="30" t="n"/>
      <c r="L636" s="30" t="n"/>
      <c r="M636" s="30" t="n"/>
      <c r="N636" s="32" t="n"/>
      <c r="O636" s="30" t="n"/>
      <c r="P636" s="32" t="n"/>
      <c r="Q636" s="30" t="n"/>
      <c r="R636" s="32" t="n"/>
      <c r="S636" s="30" t="n"/>
      <c r="T636" s="30" t="n"/>
      <c r="U636" s="30" t="n"/>
      <c r="V636" s="30" t="n"/>
      <c r="W636" s="29">
        <f>IF(H636="","",IF(H636="Kenya","Yes","No"))</f>
        <v/>
      </c>
      <c r="X636" s="29">
        <f>IF(B636="","",IF(COUNTIF($B$5:$B$3004,B636)&gt;1,"DUPLICATE","OK"))</f>
        <v/>
      </c>
      <c r="Y636" s="29">
        <f>IF(OR(U636="",V636="",V636="Excluded"),"",IF(COUNTIFS($U$5:$U$3004,U636,$V$5:$V$3004,"&lt;&gt;"&amp;V636,$V$5:$V$3004,"&lt;&gt;",$V$5:$V$3004,"&lt;&gt;Excluded")&gt;0,"LEAK RISK","OK"))</f>
        <v/>
      </c>
      <c r="Z636" s="30" t="n"/>
    </row>
    <row r="637">
      <c r="A637" s="30" t="n"/>
      <c r="B637" s="30" t="n"/>
      <c r="C637" s="30" t="n"/>
      <c r="D637" s="30" t="n"/>
      <c r="E637" s="30" t="n"/>
      <c r="F637" s="30" t="n"/>
      <c r="G637" s="30" t="n"/>
      <c r="H637" s="30" t="n"/>
      <c r="I637" s="31" t="n"/>
      <c r="J637" s="30" t="n"/>
      <c r="K637" s="30" t="n"/>
      <c r="L637" s="30" t="n"/>
      <c r="M637" s="30" t="n"/>
      <c r="N637" s="32" t="n"/>
      <c r="O637" s="30" t="n"/>
      <c r="P637" s="32" t="n"/>
      <c r="Q637" s="30" t="n"/>
      <c r="R637" s="32" t="n"/>
      <c r="S637" s="30" t="n"/>
      <c r="T637" s="30" t="n"/>
      <c r="U637" s="30" t="n"/>
      <c r="V637" s="30" t="n"/>
      <c r="W637" s="29">
        <f>IF(H637="","",IF(H637="Kenya","Yes","No"))</f>
        <v/>
      </c>
      <c r="X637" s="29">
        <f>IF(B637="","",IF(COUNTIF($B$5:$B$3004,B637)&gt;1,"DUPLICATE","OK"))</f>
        <v/>
      </c>
      <c r="Y637" s="29">
        <f>IF(OR(U637="",V637="",V637="Excluded"),"",IF(COUNTIFS($U$5:$U$3004,U637,$V$5:$V$3004,"&lt;&gt;"&amp;V637,$V$5:$V$3004,"&lt;&gt;",$V$5:$V$3004,"&lt;&gt;Excluded")&gt;0,"LEAK RISK","OK"))</f>
        <v/>
      </c>
      <c r="Z637" s="30" t="n"/>
    </row>
    <row r="638">
      <c r="A638" s="30" t="n"/>
      <c r="B638" s="30" t="n"/>
      <c r="C638" s="30" t="n"/>
      <c r="D638" s="30" t="n"/>
      <c r="E638" s="30" t="n"/>
      <c r="F638" s="30" t="n"/>
      <c r="G638" s="30" t="n"/>
      <c r="H638" s="30" t="n"/>
      <c r="I638" s="31" t="n"/>
      <c r="J638" s="30" t="n"/>
      <c r="K638" s="30" t="n"/>
      <c r="L638" s="30" t="n"/>
      <c r="M638" s="30" t="n"/>
      <c r="N638" s="32" t="n"/>
      <c r="O638" s="30" t="n"/>
      <c r="P638" s="32" t="n"/>
      <c r="Q638" s="30" t="n"/>
      <c r="R638" s="32" t="n"/>
      <c r="S638" s="30" t="n"/>
      <c r="T638" s="30" t="n"/>
      <c r="U638" s="30" t="n"/>
      <c r="V638" s="30" t="n"/>
      <c r="W638" s="29">
        <f>IF(H638="","",IF(H638="Kenya","Yes","No"))</f>
        <v/>
      </c>
      <c r="X638" s="29">
        <f>IF(B638="","",IF(COUNTIF($B$5:$B$3004,B638)&gt;1,"DUPLICATE","OK"))</f>
        <v/>
      </c>
      <c r="Y638" s="29">
        <f>IF(OR(U638="",V638="",V638="Excluded"),"",IF(COUNTIFS($U$5:$U$3004,U638,$V$5:$V$3004,"&lt;&gt;"&amp;V638,$V$5:$V$3004,"&lt;&gt;",$V$5:$V$3004,"&lt;&gt;Excluded")&gt;0,"LEAK RISK","OK"))</f>
        <v/>
      </c>
      <c r="Z638" s="30" t="n"/>
    </row>
    <row r="639">
      <c r="A639" s="30" t="n"/>
      <c r="B639" s="30" t="n"/>
      <c r="C639" s="30" t="n"/>
      <c r="D639" s="30" t="n"/>
      <c r="E639" s="30" t="n"/>
      <c r="F639" s="30" t="n"/>
      <c r="G639" s="30" t="n"/>
      <c r="H639" s="30" t="n"/>
      <c r="I639" s="31" t="n"/>
      <c r="J639" s="30" t="n"/>
      <c r="K639" s="30" t="n"/>
      <c r="L639" s="30" t="n"/>
      <c r="M639" s="30" t="n"/>
      <c r="N639" s="32" t="n"/>
      <c r="O639" s="30" t="n"/>
      <c r="P639" s="32" t="n"/>
      <c r="Q639" s="30" t="n"/>
      <c r="R639" s="32" t="n"/>
      <c r="S639" s="30" t="n"/>
      <c r="T639" s="30" t="n"/>
      <c r="U639" s="30" t="n"/>
      <c r="V639" s="30" t="n"/>
      <c r="W639" s="29">
        <f>IF(H639="","",IF(H639="Kenya","Yes","No"))</f>
        <v/>
      </c>
      <c r="X639" s="29">
        <f>IF(B639="","",IF(COUNTIF($B$5:$B$3004,B639)&gt;1,"DUPLICATE","OK"))</f>
        <v/>
      </c>
      <c r="Y639" s="29">
        <f>IF(OR(U639="",V639="",V639="Excluded"),"",IF(COUNTIFS($U$5:$U$3004,U639,$V$5:$V$3004,"&lt;&gt;"&amp;V639,$V$5:$V$3004,"&lt;&gt;",$V$5:$V$3004,"&lt;&gt;Excluded")&gt;0,"LEAK RISK","OK"))</f>
        <v/>
      </c>
      <c r="Z639" s="30" t="n"/>
    </row>
    <row r="640">
      <c r="A640" s="30" t="n"/>
      <c r="B640" s="30" t="n"/>
      <c r="C640" s="30" t="n"/>
      <c r="D640" s="30" t="n"/>
      <c r="E640" s="30" t="n"/>
      <c r="F640" s="30" t="n"/>
      <c r="G640" s="30" t="n"/>
      <c r="H640" s="30" t="n"/>
      <c r="I640" s="31" t="n"/>
      <c r="J640" s="30" t="n"/>
      <c r="K640" s="30" t="n"/>
      <c r="L640" s="30" t="n"/>
      <c r="M640" s="30" t="n"/>
      <c r="N640" s="32" t="n"/>
      <c r="O640" s="30" t="n"/>
      <c r="P640" s="32" t="n"/>
      <c r="Q640" s="30" t="n"/>
      <c r="R640" s="32" t="n"/>
      <c r="S640" s="30" t="n"/>
      <c r="T640" s="30" t="n"/>
      <c r="U640" s="30" t="n"/>
      <c r="V640" s="30" t="n"/>
      <c r="W640" s="29">
        <f>IF(H640="","",IF(H640="Kenya","Yes","No"))</f>
        <v/>
      </c>
      <c r="X640" s="29">
        <f>IF(B640="","",IF(COUNTIF($B$5:$B$3004,B640)&gt;1,"DUPLICATE","OK"))</f>
        <v/>
      </c>
      <c r="Y640" s="29">
        <f>IF(OR(U640="",V640="",V640="Excluded"),"",IF(COUNTIFS($U$5:$U$3004,U640,$V$5:$V$3004,"&lt;&gt;"&amp;V640,$V$5:$V$3004,"&lt;&gt;",$V$5:$V$3004,"&lt;&gt;Excluded")&gt;0,"LEAK RISK","OK"))</f>
        <v/>
      </c>
      <c r="Z640" s="30" t="n"/>
    </row>
    <row r="641">
      <c r="A641" s="30" t="n"/>
      <c r="B641" s="30" t="n"/>
      <c r="C641" s="30" t="n"/>
      <c r="D641" s="30" t="n"/>
      <c r="E641" s="30" t="n"/>
      <c r="F641" s="30" t="n"/>
      <c r="G641" s="30" t="n"/>
      <c r="H641" s="30" t="n"/>
      <c r="I641" s="31" t="n"/>
      <c r="J641" s="30" t="n"/>
      <c r="K641" s="30" t="n"/>
      <c r="L641" s="30" t="n"/>
      <c r="M641" s="30" t="n"/>
      <c r="N641" s="32" t="n"/>
      <c r="O641" s="30" t="n"/>
      <c r="P641" s="32" t="n"/>
      <c r="Q641" s="30" t="n"/>
      <c r="R641" s="32" t="n"/>
      <c r="S641" s="30" t="n"/>
      <c r="T641" s="30" t="n"/>
      <c r="U641" s="30" t="n"/>
      <c r="V641" s="30" t="n"/>
      <c r="W641" s="29">
        <f>IF(H641="","",IF(H641="Kenya","Yes","No"))</f>
        <v/>
      </c>
      <c r="X641" s="29">
        <f>IF(B641="","",IF(COUNTIF($B$5:$B$3004,B641)&gt;1,"DUPLICATE","OK"))</f>
        <v/>
      </c>
      <c r="Y641" s="29">
        <f>IF(OR(U641="",V641="",V641="Excluded"),"",IF(COUNTIFS($U$5:$U$3004,U641,$V$5:$V$3004,"&lt;&gt;"&amp;V641,$V$5:$V$3004,"&lt;&gt;",$V$5:$V$3004,"&lt;&gt;Excluded")&gt;0,"LEAK RISK","OK"))</f>
        <v/>
      </c>
      <c r="Z641" s="30" t="n"/>
    </row>
    <row r="642">
      <c r="A642" s="30" t="n"/>
      <c r="B642" s="30" t="n"/>
      <c r="C642" s="30" t="n"/>
      <c r="D642" s="30" t="n"/>
      <c r="E642" s="30" t="n"/>
      <c r="F642" s="30" t="n"/>
      <c r="G642" s="30" t="n"/>
      <c r="H642" s="30" t="n"/>
      <c r="I642" s="31" t="n"/>
      <c r="J642" s="30" t="n"/>
      <c r="K642" s="30" t="n"/>
      <c r="L642" s="30" t="n"/>
      <c r="M642" s="30" t="n"/>
      <c r="N642" s="32" t="n"/>
      <c r="O642" s="30" t="n"/>
      <c r="P642" s="32" t="n"/>
      <c r="Q642" s="30" t="n"/>
      <c r="R642" s="32" t="n"/>
      <c r="S642" s="30" t="n"/>
      <c r="T642" s="30" t="n"/>
      <c r="U642" s="30" t="n"/>
      <c r="V642" s="30" t="n"/>
      <c r="W642" s="29">
        <f>IF(H642="","",IF(H642="Kenya","Yes","No"))</f>
        <v/>
      </c>
      <c r="X642" s="29">
        <f>IF(B642="","",IF(COUNTIF($B$5:$B$3004,B642)&gt;1,"DUPLICATE","OK"))</f>
        <v/>
      </c>
      <c r="Y642" s="29">
        <f>IF(OR(U642="",V642="",V642="Excluded"),"",IF(COUNTIFS($U$5:$U$3004,U642,$V$5:$V$3004,"&lt;&gt;"&amp;V642,$V$5:$V$3004,"&lt;&gt;",$V$5:$V$3004,"&lt;&gt;Excluded")&gt;0,"LEAK RISK","OK"))</f>
        <v/>
      </c>
      <c r="Z642" s="30" t="n"/>
    </row>
    <row r="643">
      <c r="A643" s="30" t="n"/>
      <c r="B643" s="30" t="n"/>
      <c r="C643" s="30" t="n"/>
      <c r="D643" s="30" t="n"/>
      <c r="E643" s="30" t="n"/>
      <c r="F643" s="30" t="n"/>
      <c r="G643" s="30" t="n"/>
      <c r="H643" s="30" t="n"/>
      <c r="I643" s="31" t="n"/>
      <c r="J643" s="30" t="n"/>
      <c r="K643" s="30" t="n"/>
      <c r="L643" s="30" t="n"/>
      <c r="M643" s="30" t="n"/>
      <c r="N643" s="32" t="n"/>
      <c r="O643" s="30" t="n"/>
      <c r="P643" s="32" t="n"/>
      <c r="Q643" s="30" t="n"/>
      <c r="R643" s="32" t="n"/>
      <c r="S643" s="30" t="n"/>
      <c r="T643" s="30" t="n"/>
      <c r="U643" s="30" t="n"/>
      <c r="V643" s="30" t="n"/>
      <c r="W643" s="29">
        <f>IF(H643="","",IF(H643="Kenya","Yes","No"))</f>
        <v/>
      </c>
      <c r="X643" s="29">
        <f>IF(B643="","",IF(COUNTIF($B$5:$B$3004,B643)&gt;1,"DUPLICATE","OK"))</f>
        <v/>
      </c>
      <c r="Y643" s="29">
        <f>IF(OR(U643="",V643="",V643="Excluded"),"",IF(COUNTIFS($U$5:$U$3004,U643,$V$5:$V$3004,"&lt;&gt;"&amp;V643,$V$5:$V$3004,"&lt;&gt;",$V$5:$V$3004,"&lt;&gt;Excluded")&gt;0,"LEAK RISK","OK"))</f>
        <v/>
      </c>
      <c r="Z643" s="30" t="n"/>
    </row>
    <row r="644">
      <c r="A644" s="30" t="n"/>
      <c r="B644" s="30" t="n"/>
      <c r="C644" s="30" t="n"/>
      <c r="D644" s="30" t="n"/>
      <c r="E644" s="30" t="n"/>
      <c r="F644" s="30" t="n"/>
      <c r="G644" s="30" t="n"/>
      <c r="H644" s="30" t="n"/>
      <c r="I644" s="31" t="n"/>
      <c r="J644" s="30" t="n"/>
      <c r="K644" s="30" t="n"/>
      <c r="L644" s="30" t="n"/>
      <c r="M644" s="30" t="n"/>
      <c r="N644" s="32" t="n"/>
      <c r="O644" s="30" t="n"/>
      <c r="P644" s="32" t="n"/>
      <c r="Q644" s="30" t="n"/>
      <c r="R644" s="32" t="n"/>
      <c r="S644" s="30" t="n"/>
      <c r="T644" s="30" t="n"/>
      <c r="U644" s="30" t="n"/>
      <c r="V644" s="30" t="n"/>
      <c r="W644" s="29">
        <f>IF(H644="","",IF(H644="Kenya","Yes","No"))</f>
        <v/>
      </c>
      <c r="X644" s="29">
        <f>IF(B644="","",IF(COUNTIF($B$5:$B$3004,B644)&gt;1,"DUPLICATE","OK"))</f>
        <v/>
      </c>
      <c r="Y644" s="29">
        <f>IF(OR(U644="",V644="",V644="Excluded"),"",IF(COUNTIFS($U$5:$U$3004,U644,$V$5:$V$3004,"&lt;&gt;"&amp;V644,$V$5:$V$3004,"&lt;&gt;",$V$5:$V$3004,"&lt;&gt;Excluded")&gt;0,"LEAK RISK","OK"))</f>
        <v/>
      </c>
      <c r="Z644" s="30" t="n"/>
    </row>
    <row r="645">
      <c r="A645" s="30" t="n"/>
      <c r="B645" s="30" t="n"/>
      <c r="C645" s="30" t="n"/>
      <c r="D645" s="30" t="n"/>
      <c r="E645" s="30" t="n"/>
      <c r="F645" s="30" t="n"/>
      <c r="G645" s="30" t="n"/>
      <c r="H645" s="30" t="n"/>
      <c r="I645" s="31" t="n"/>
      <c r="J645" s="30" t="n"/>
      <c r="K645" s="30" t="n"/>
      <c r="L645" s="30" t="n"/>
      <c r="M645" s="30" t="n"/>
      <c r="N645" s="32" t="n"/>
      <c r="O645" s="30" t="n"/>
      <c r="P645" s="32" t="n"/>
      <c r="Q645" s="30" t="n"/>
      <c r="R645" s="32" t="n"/>
      <c r="S645" s="30" t="n"/>
      <c r="T645" s="30" t="n"/>
      <c r="U645" s="30" t="n"/>
      <c r="V645" s="30" t="n"/>
      <c r="W645" s="29">
        <f>IF(H645="","",IF(H645="Kenya","Yes","No"))</f>
        <v/>
      </c>
      <c r="X645" s="29">
        <f>IF(B645="","",IF(COUNTIF($B$5:$B$3004,B645)&gt;1,"DUPLICATE","OK"))</f>
        <v/>
      </c>
      <c r="Y645" s="29">
        <f>IF(OR(U645="",V645="",V645="Excluded"),"",IF(COUNTIFS($U$5:$U$3004,U645,$V$5:$V$3004,"&lt;&gt;"&amp;V645,$V$5:$V$3004,"&lt;&gt;",$V$5:$V$3004,"&lt;&gt;Excluded")&gt;0,"LEAK RISK","OK"))</f>
        <v/>
      </c>
      <c r="Z645" s="30" t="n"/>
    </row>
    <row r="646">
      <c r="A646" s="30" t="n"/>
      <c r="B646" s="30" t="n"/>
      <c r="C646" s="30" t="n"/>
      <c r="D646" s="30" t="n"/>
      <c r="E646" s="30" t="n"/>
      <c r="F646" s="30" t="n"/>
      <c r="G646" s="30" t="n"/>
      <c r="H646" s="30" t="n"/>
      <c r="I646" s="31" t="n"/>
      <c r="J646" s="30" t="n"/>
      <c r="K646" s="30" t="n"/>
      <c r="L646" s="30" t="n"/>
      <c r="M646" s="30" t="n"/>
      <c r="N646" s="32" t="n"/>
      <c r="O646" s="30" t="n"/>
      <c r="P646" s="32" t="n"/>
      <c r="Q646" s="30" t="n"/>
      <c r="R646" s="32" t="n"/>
      <c r="S646" s="30" t="n"/>
      <c r="T646" s="30" t="n"/>
      <c r="U646" s="30" t="n"/>
      <c r="V646" s="30" t="n"/>
      <c r="W646" s="29">
        <f>IF(H646="","",IF(H646="Kenya","Yes","No"))</f>
        <v/>
      </c>
      <c r="X646" s="29">
        <f>IF(B646="","",IF(COUNTIF($B$5:$B$3004,B646)&gt;1,"DUPLICATE","OK"))</f>
        <v/>
      </c>
      <c r="Y646" s="29">
        <f>IF(OR(U646="",V646="",V646="Excluded"),"",IF(COUNTIFS($U$5:$U$3004,U646,$V$5:$V$3004,"&lt;&gt;"&amp;V646,$V$5:$V$3004,"&lt;&gt;",$V$5:$V$3004,"&lt;&gt;Excluded")&gt;0,"LEAK RISK","OK"))</f>
        <v/>
      </c>
      <c r="Z646" s="30" t="n"/>
    </row>
    <row r="647">
      <c r="A647" s="30" t="n"/>
      <c r="B647" s="30" t="n"/>
      <c r="C647" s="30" t="n"/>
      <c r="D647" s="30" t="n"/>
      <c r="E647" s="30" t="n"/>
      <c r="F647" s="30" t="n"/>
      <c r="G647" s="30" t="n"/>
      <c r="H647" s="30" t="n"/>
      <c r="I647" s="31" t="n"/>
      <c r="J647" s="30" t="n"/>
      <c r="K647" s="30" t="n"/>
      <c r="L647" s="30" t="n"/>
      <c r="M647" s="30" t="n"/>
      <c r="N647" s="32" t="n"/>
      <c r="O647" s="30" t="n"/>
      <c r="P647" s="32" t="n"/>
      <c r="Q647" s="30" t="n"/>
      <c r="R647" s="32" t="n"/>
      <c r="S647" s="30" t="n"/>
      <c r="T647" s="30" t="n"/>
      <c r="U647" s="30" t="n"/>
      <c r="V647" s="30" t="n"/>
      <c r="W647" s="29">
        <f>IF(H647="","",IF(H647="Kenya","Yes","No"))</f>
        <v/>
      </c>
      <c r="X647" s="29">
        <f>IF(B647="","",IF(COUNTIF($B$5:$B$3004,B647)&gt;1,"DUPLICATE","OK"))</f>
        <v/>
      </c>
      <c r="Y647" s="29">
        <f>IF(OR(U647="",V647="",V647="Excluded"),"",IF(COUNTIFS($U$5:$U$3004,U647,$V$5:$V$3004,"&lt;&gt;"&amp;V647,$V$5:$V$3004,"&lt;&gt;",$V$5:$V$3004,"&lt;&gt;Excluded")&gt;0,"LEAK RISK","OK"))</f>
        <v/>
      </c>
      <c r="Z647" s="30" t="n"/>
    </row>
    <row r="648">
      <c r="A648" s="30" t="n"/>
      <c r="B648" s="30" t="n"/>
      <c r="C648" s="30" t="n"/>
      <c r="D648" s="30" t="n"/>
      <c r="E648" s="30" t="n"/>
      <c r="F648" s="30" t="n"/>
      <c r="G648" s="30" t="n"/>
      <c r="H648" s="30" t="n"/>
      <c r="I648" s="31" t="n"/>
      <c r="J648" s="30" t="n"/>
      <c r="K648" s="30" t="n"/>
      <c r="L648" s="30" t="n"/>
      <c r="M648" s="30" t="n"/>
      <c r="N648" s="32" t="n"/>
      <c r="O648" s="30" t="n"/>
      <c r="P648" s="32" t="n"/>
      <c r="Q648" s="30" t="n"/>
      <c r="R648" s="32" t="n"/>
      <c r="S648" s="30" t="n"/>
      <c r="T648" s="30" t="n"/>
      <c r="U648" s="30" t="n"/>
      <c r="V648" s="30" t="n"/>
      <c r="W648" s="29">
        <f>IF(H648="","",IF(H648="Kenya","Yes","No"))</f>
        <v/>
      </c>
      <c r="X648" s="29">
        <f>IF(B648="","",IF(COUNTIF($B$5:$B$3004,B648)&gt;1,"DUPLICATE","OK"))</f>
        <v/>
      </c>
      <c r="Y648" s="29">
        <f>IF(OR(U648="",V648="",V648="Excluded"),"",IF(COUNTIFS($U$5:$U$3004,U648,$V$5:$V$3004,"&lt;&gt;"&amp;V648,$V$5:$V$3004,"&lt;&gt;",$V$5:$V$3004,"&lt;&gt;Excluded")&gt;0,"LEAK RISK","OK"))</f>
        <v/>
      </c>
      <c r="Z648" s="30" t="n"/>
    </row>
    <row r="649">
      <c r="A649" s="30" t="n"/>
      <c r="B649" s="30" t="n"/>
      <c r="C649" s="30" t="n"/>
      <c r="D649" s="30" t="n"/>
      <c r="E649" s="30" t="n"/>
      <c r="F649" s="30" t="n"/>
      <c r="G649" s="30" t="n"/>
      <c r="H649" s="30" t="n"/>
      <c r="I649" s="31" t="n"/>
      <c r="J649" s="30" t="n"/>
      <c r="K649" s="30" t="n"/>
      <c r="L649" s="30" t="n"/>
      <c r="M649" s="30" t="n"/>
      <c r="N649" s="32" t="n"/>
      <c r="O649" s="30" t="n"/>
      <c r="P649" s="32" t="n"/>
      <c r="Q649" s="30" t="n"/>
      <c r="R649" s="32" t="n"/>
      <c r="S649" s="30" t="n"/>
      <c r="T649" s="30" t="n"/>
      <c r="U649" s="30" t="n"/>
      <c r="V649" s="30" t="n"/>
      <c r="W649" s="29">
        <f>IF(H649="","",IF(H649="Kenya","Yes","No"))</f>
        <v/>
      </c>
      <c r="X649" s="29">
        <f>IF(B649="","",IF(COUNTIF($B$5:$B$3004,B649)&gt;1,"DUPLICATE","OK"))</f>
        <v/>
      </c>
      <c r="Y649" s="29">
        <f>IF(OR(U649="",V649="",V649="Excluded"),"",IF(COUNTIFS($U$5:$U$3004,U649,$V$5:$V$3004,"&lt;&gt;"&amp;V649,$V$5:$V$3004,"&lt;&gt;",$V$5:$V$3004,"&lt;&gt;Excluded")&gt;0,"LEAK RISK","OK"))</f>
        <v/>
      </c>
      <c r="Z649" s="30" t="n"/>
    </row>
    <row r="650">
      <c r="A650" s="30" t="n"/>
      <c r="B650" s="30" t="n"/>
      <c r="C650" s="30" t="n"/>
      <c r="D650" s="30" t="n"/>
      <c r="E650" s="30" t="n"/>
      <c r="F650" s="30" t="n"/>
      <c r="G650" s="30" t="n"/>
      <c r="H650" s="30" t="n"/>
      <c r="I650" s="31" t="n"/>
      <c r="J650" s="30" t="n"/>
      <c r="K650" s="30" t="n"/>
      <c r="L650" s="30" t="n"/>
      <c r="M650" s="30" t="n"/>
      <c r="N650" s="32" t="n"/>
      <c r="O650" s="30" t="n"/>
      <c r="P650" s="32" t="n"/>
      <c r="Q650" s="30" t="n"/>
      <c r="R650" s="32" t="n"/>
      <c r="S650" s="30" t="n"/>
      <c r="T650" s="30" t="n"/>
      <c r="U650" s="30" t="n"/>
      <c r="V650" s="30" t="n"/>
      <c r="W650" s="29">
        <f>IF(H650="","",IF(H650="Kenya","Yes","No"))</f>
        <v/>
      </c>
      <c r="X650" s="29">
        <f>IF(B650="","",IF(COUNTIF($B$5:$B$3004,B650)&gt;1,"DUPLICATE","OK"))</f>
        <v/>
      </c>
      <c r="Y650" s="29">
        <f>IF(OR(U650="",V650="",V650="Excluded"),"",IF(COUNTIFS($U$5:$U$3004,U650,$V$5:$V$3004,"&lt;&gt;"&amp;V650,$V$5:$V$3004,"&lt;&gt;",$V$5:$V$3004,"&lt;&gt;Excluded")&gt;0,"LEAK RISK","OK"))</f>
        <v/>
      </c>
      <c r="Z650" s="30" t="n"/>
    </row>
    <row r="651">
      <c r="A651" s="30" t="n"/>
      <c r="B651" s="30" t="n"/>
      <c r="C651" s="30" t="n"/>
      <c r="D651" s="30" t="n"/>
      <c r="E651" s="30" t="n"/>
      <c r="F651" s="30" t="n"/>
      <c r="G651" s="30" t="n"/>
      <c r="H651" s="30" t="n"/>
      <c r="I651" s="31" t="n"/>
      <c r="J651" s="30" t="n"/>
      <c r="K651" s="30" t="n"/>
      <c r="L651" s="30" t="n"/>
      <c r="M651" s="30" t="n"/>
      <c r="N651" s="32" t="n"/>
      <c r="O651" s="30" t="n"/>
      <c r="P651" s="32" t="n"/>
      <c r="Q651" s="30" t="n"/>
      <c r="R651" s="32" t="n"/>
      <c r="S651" s="30" t="n"/>
      <c r="T651" s="30" t="n"/>
      <c r="U651" s="30" t="n"/>
      <c r="V651" s="30" t="n"/>
      <c r="W651" s="29">
        <f>IF(H651="","",IF(H651="Kenya","Yes","No"))</f>
        <v/>
      </c>
      <c r="X651" s="29">
        <f>IF(B651="","",IF(COUNTIF($B$5:$B$3004,B651)&gt;1,"DUPLICATE","OK"))</f>
        <v/>
      </c>
      <c r="Y651" s="29">
        <f>IF(OR(U651="",V651="",V651="Excluded"),"",IF(COUNTIFS($U$5:$U$3004,U651,$V$5:$V$3004,"&lt;&gt;"&amp;V651,$V$5:$V$3004,"&lt;&gt;",$V$5:$V$3004,"&lt;&gt;Excluded")&gt;0,"LEAK RISK","OK"))</f>
        <v/>
      </c>
      <c r="Z651" s="30" t="n"/>
    </row>
    <row r="652">
      <c r="A652" s="30" t="n"/>
      <c r="B652" s="30" t="n"/>
      <c r="C652" s="30" t="n"/>
      <c r="D652" s="30" t="n"/>
      <c r="E652" s="30" t="n"/>
      <c r="F652" s="30" t="n"/>
      <c r="G652" s="30" t="n"/>
      <c r="H652" s="30" t="n"/>
      <c r="I652" s="31" t="n"/>
      <c r="J652" s="30" t="n"/>
      <c r="K652" s="30" t="n"/>
      <c r="L652" s="30" t="n"/>
      <c r="M652" s="30" t="n"/>
      <c r="N652" s="32" t="n"/>
      <c r="O652" s="30" t="n"/>
      <c r="P652" s="32" t="n"/>
      <c r="Q652" s="30" t="n"/>
      <c r="R652" s="32" t="n"/>
      <c r="S652" s="30" t="n"/>
      <c r="T652" s="30" t="n"/>
      <c r="U652" s="30" t="n"/>
      <c r="V652" s="30" t="n"/>
      <c r="W652" s="29">
        <f>IF(H652="","",IF(H652="Kenya","Yes","No"))</f>
        <v/>
      </c>
      <c r="X652" s="29">
        <f>IF(B652="","",IF(COUNTIF($B$5:$B$3004,B652)&gt;1,"DUPLICATE","OK"))</f>
        <v/>
      </c>
      <c r="Y652" s="29">
        <f>IF(OR(U652="",V652="",V652="Excluded"),"",IF(COUNTIFS($U$5:$U$3004,U652,$V$5:$V$3004,"&lt;&gt;"&amp;V652,$V$5:$V$3004,"&lt;&gt;",$V$5:$V$3004,"&lt;&gt;Excluded")&gt;0,"LEAK RISK","OK"))</f>
        <v/>
      </c>
      <c r="Z652" s="30" t="n"/>
    </row>
    <row r="653">
      <c r="A653" s="30" t="n"/>
      <c r="B653" s="30" t="n"/>
      <c r="C653" s="30" t="n"/>
      <c r="D653" s="30" t="n"/>
      <c r="E653" s="30" t="n"/>
      <c r="F653" s="30" t="n"/>
      <c r="G653" s="30" t="n"/>
      <c r="H653" s="30" t="n"/>
      <c r="I653" s="31" t="n"/>
      <c r="J653" s="30" t="n"/>
      <c r="K653" s="30" t="n"/>
      <c r="L653" s="30" t="n"/>
      <c r="M653" s="30" t="n"/>
      <c r="N653" s="32" t="n"/>
      <c r="O653" s="30" t="n"/>
      <c r="P653" s="32" t="n"/>
      <c r="Q653" s="30" t="n"/>
      <c r="R653" s="32" t="n"/>
      <c r="S653" s="30" t="n"/>
      <c r="T653" s="30" t="n"/>
      <c r="U653" s="30" t="n"/>
      <c r="V653" s="30" t="n"/>
      <c r="W653" s="29">
        <f>IF(H653="","",IF(H653="Kenya","Yes","No"))</f>
        <v/>
      </c>
      <c r="X653" s="29">
        <f>IF(B653="","",IF(COUNTIF($B$5:$B$3004,B653)&gt;1,"DUPLICATE","OK"))</f>
        <v/>
      </c>
      <c r="Y653" s="29">
        <f>IF(OR(U653="",V653="",V653="Excluded"),"",IF(COUNTIFS($U$5:$U$3004,U653,$V$5:$V$3004,"&lt;&gt;"&amp;V653,$V$5:$V$3004,"&lt;&gt;",$V$5:$V$3004,"&lt;&gt;Excluded")&gt;0,"LEAK RISK","OK"))</f>
        <v/>
      </c>
      <c r="Z653" s="30" t="n"/>
    </row>
    <row r="654">
      <c r="A654" s="30" t="n"/>
      <c r="B654" s="30" t="n"/>
      <c r="C654" s="30" t="n"/>
      <c r="D654" s="30" t="n"/>
      <c r="E654" s="30" t="n"/>
      <c r="F654" s="30" t="n"/>
      <c r="G654" s="30" t="n"/>
      <c r="H654" s="30" t="n"/>
      <c r="I654" s="31" t="n"/>
      <c r="J654" s="30" t="n"/>
      <c r="K654" s="30" t="n"/>
      <c r="L654" s="30" t="n"/>
      <c r="M654" s="30" t="n"/>
      <c r="N654" s="32" t="n"/>
      <c r="O654" s="30" t="n"/>
      <c r="P654" s="32" t="n"/>
      <c r="Q654" s="30" t="n"/>
      <c r="R654" s="32" t="n"/>
      <c r="S654" s="30" t="n"/>
      <c r="T654" s="30" t="n"/>
      <c r="U654" s="30" t="n"/>
      <c r="V654" s="30" t="n"/>
      <c r="W654" s="29">
        <f>IF(H654="","",IF(H654="Kenya","Yes","No"))</f>
        <v/>
      </c>
      <c r="X654" s="29">
        <f>IF(B654="","",IF(COUNTIF($B$5:$B$3004,B654)&gt;1,"DUPLICATE","OK"))</f>
        <v/>
      </c>
      <c r="Y654" s="29">
        <f>IF(OR(U654="",V654="",V654="Excluded"),"",IF(COUNTIFS($U$5:$U$3004,U654,$V$5:$V$3004,"&lt;&gt;"&amp;V654,$V$5:$V$3004,"&lt;&gt;",$V$5:$V$3004,"&lt;&gt;Excluded")&gt;0,"LEAK RISK","OK"))</f>
        <v/>
      </c>
      <c r="Z654" s="30" t="n"/>
    </row>
    <row r="655">
      <c r="A655" s="30" t="n"/>
      <c r="B655" s="30" t="n"/>
      <c r="C655" s="30" t="n"/>
      <c r="D655" s="30" t="n"/>
      <c r="E655" s="30" t="n"/>
      <c r="F655" s="30" t="n"/>
      <c r="G655" s="30" t="n"/>
      <c r="H655" s="30" t="n"/>
      <c r="I655" s="31" t="n"/>
      <c r="J655" s="30" t="n"/>
      <c r="K655" s="30" t="n"/>
      <c r="L655" s="30" t="n"/>
      <c r="M655" s="30" t="n"/>
      <c r="N655" s="32" t="n"/>
      <c r="O655" s="30" t="n"/>
      <c r="P655" s="32" t="n"/>
      <c r="Q655" s="30" t="n"/>
      <c r="R655" s="32" t="n"/>
      <c r="S655" s="30" t="n"/>
      <c r="T655" s="30" t="n"/>
      <c r="U655" s="30" t="n"/>
      <c r="V655" s="30" t="n"/>
      <c r="W655" s="29">
        <f>IF(H655="","",IF(H655="Kenya","Yes","No"))</f>
        <v/>
      </c>
      <c r="X655" s="29">
        <f>IF(B655="","",IF(COUNTIF($B$5:$B$3004,B655)&gt;1,"DUPLICATE","OK"))</f>
        <v/>
      </c>
      <c r="Y655" s="29">
        <f>IF(OR(U655="",V655="",V655="Excluded"),"",IF(COUNTIFS($U$5:$U$3004,U655,$V$5:$V$3004,"&lt;&gt;"&amp;V655,$V$5:$V$3004,"&lt;&gt;",$V$5:$V$3004,"&lt;&gt;Excluded")&gt;0,"LEAK RISK","OK"))</f>
        <v/>
      </c>
      <c r="Z655" s="30" t="n"/>
    </row>
    <row r="656">
      <c r="A656" s="30" t="n"/>
      <c r="B656" s="30" t="n"/>
      <c r="C656" s="30" t="n"/>
      <c r="D656" s="30" t="n"/>
      <c r="E656" s="30" t="n"/>
      <c r="F656" s="30" t="n"/>
      <c r="G656" s="30" t="n"/>
      <c r="H656" s="30" t="n"/>
      <c r="I656" s="31" t="n"/>
      <c r="J656" s="30" t="n"/>
      <c r="K656" s="30" t="n"/>
      <c r="L656" s="30" t="n"/>
      <c r="M656" s="30" t="n"/>
      <c r="N656" s="32" t="n"/>
      <c r="O656" s="30" t="n"/>
      <c r="P656" s="32" t="n"/>
      <c r="Q656" s="30" t="n"/>
      <c r="R656" s="32" t="n"/>
      <c r="S656" s="30" t="n"/>
      <c r="T656" s="30" t="n"/>
      <c r="U656" s="30" t="n"/>
      <c r="V656" s="30" t="n"/>
      <c r="W656" s="29">
        <f>IF(H656="","",IF(H656="Kenya","Yes","No"))</f>
        <v/>
      </c>
      <c r="X656" s="29">
        <f>IF(B656="","",IF(COUNTIF($B$5:$B$3004,B656)&gt;1,"DUPLICATE","OK"))</f>
        <v/>
      </c>
      <c r="Y656" s="29">
        <f>IF(OR(U656="",V656="",V656="Excluded"),"",IF(COUNTIFS($U$5:$U$3004,U656,$V$5:$V$3004,"&lt;&gt;"&amp;V656,$V$5:$V$3004,"&lt;&gt;",$V$5:$V$3004,"&lt;&gt;Excluded")&gt;0,"LEAK RISK","OK"))</f>
        <v/>
      </c>
      <c r="Z656" s="30" t="n"/>
    </row>
    <row r="657">
      <c r="A657" s="30" t="n"/>
      <c r="B657" s="30" t="n"/>
      <c r="C657" s="30" t="n"/>
      <c r="D657" s="30" t="n"/>
      <c r="E657" s="30" t="n"/>
      <c r="F657" s="30" t="n"/>
      <c r="G657" s="30" t="n"/>
      <c r="H657" s="30" t="n"/>
      <c r="I657" s="31" t="n"/>
      <c r="J657" s="30" t="n"/>
      <c r="K657" s="30" t="n"/>
      <c r="L657" s="30" t="n"/>
      <c r="M657" s="30" t="n"/>
      <c r="N657" s="32" t="n"/>
      <c r="O657" s="30" t="n"/>
      <c r="P657" s="32" t="n"/>
      <c r="Q657" s="30" t="n"/>
      <c r="R657" s="32" t="n"/>
      <c r="S657" s="30" t="n"/>
      <c r="T657" s="30" t="n"/>
      <c r="U657" s="30" t="n"/>
      <c r="V657" s="30" t="n"/>
      <c r="W657" s="29">
        <f>IF(H657="","",IF(H657="Kenya","Yes","No"))</f>
        <v/>
      </c>
      <c r="X657" s="29">
        <f>IF(B657="","",IF(COUNTIF($B$5:$B$3004,B657)&gt;1,"DUPLICATE","OK"))</f>
        <v/>
      </c>
      <c r="Y657" s="29">
        <f>IF(OR(U657="",V657="",V657="Excluded"),"",IF(COUNTIFS($U$5:$U$3004,U657,$V$5:$V$3004,"&lt;&gt;"&amp;V657,$V$5:$V$3004,"&lt;&gt;",$V$5:$V$3004,"&lt;&gt;Excluded")&gt;0,"LEAK RISK","OK"))</f>
        <v/>
      </c>
      <c r="Z657" s="30" t="n"/>
    </row>
    <row r="658">
      <c r="A658" s="30" t="n"/>
      <c r="B658" s="30" t="n"/>
      <c r="C658" s="30" t="n"/>
      <c r="D658" s="30" t="n"/>
      <c r="E658" s="30" t="n"/>
      <c r="F658" s="30" t="n"/>
      <c r="G658" s="30" t="n"/>
      <c r="H658" s="30" t="n"/>
      <c r="I658" s="31" t="n"/>
      <c r="J658" s="30" t="n"/>
      <c r="K658" s="30" t="n"/>
      <c r="L658" s="30" t="n"/>
      <c r="M658" s="30" t="n"/>
      <c r="N658" s="32" t="n"/>
      <c r="O658" s="30" t="n"/>
      <c r="P658" s="32" t="n"/>
      <c r="Q658" s="30" t="n"/>
      <c r="R658" s="32" t="n"/>
      <c r="S658" s="30" t="n"/>
      <c r="T658" s="30" t="n"/>
      <c r="U658" s="30" t="n"/>
      <c r="V658" s="30" t="n"/>
      <c r="W658" s="29">
        <f>IF(H658="","",IF(H658="Kenya","Yes","No"))</f>
        <v/>
      </c>
      <c r="X658" s="29">
        <f>IF(B658="","",IF(COUNTIF($B$5:$B$3004,B658)&gt;1,"DUPLICATE","OK"))</f>
        <v/>
      </c>
      <c r="Y658" s="29">
        <f>IF(OR(U658="",V658="",V658="Excluded"),"",IF(COUNTIFS($U$5:$U$3004,U658,$V$5:$V$3004,"&lt;&gt;"&amp;V658,$V$5:$V$3004,"&lt;&gt;",$V$5:$V$3004,"&lt;&gt;Excluded")&gt;0,"LEAK RISK","OK"))</f>
        <v/>
      </c>
      <c r="Z658" s="30" t="n"/>
    </row>
    <row r="659">
      <c r="A659" s="30" t="n"/>
      <c r="B659" s="30" t="n"/>
      <c r="C659" s="30" t="n"/>
      <c r="D659" s="30" t="n"/>
      <c r="E659" s="30" t="n"/>
      <c r="F659" s="30" t="n"/>
      <c r="G659" s="30" t="n"/>
      <c r="H659" s="30" t="n"/>
      <c r="I659" s="31" t="n"/>
      <c r="J659" s="30" t="n"/>
      <c r="K659" s="30" t="n"/>
      <c r="L659" s="30" t="n"/>
      <c r="M659" s="30" t="n"/>
      <c r="N659" s="32" t="n"/>
      <c r="O659" s="30" t="n"/>
      <c r="P659" s="32" t="n"/>
      <c r="Q659" s="30" t="n"/>
      <c r="R659" s="32" t="n"/>
      <c r="S659" s="30" t="n"/>
      <c r="T659" s="30" t="n"/>
      <c r="U659" s="30" t="n"/>
      <c r="V659" s="30" t="n"/>
      <c r="W659" s="29">
        <f>IF(H659="","",IF(H659="Kenya","Yes","No"))</f>
        <v/>
      </c>
      <c r="X659" s="29">
        <f>IF(B659="","",IF(COUNTIF($B$5:$B$3004,B659)&gt;1,"DUPLICATE","OK"))</f>
        <v/>
      </c>
      <c r="Y659" s="29">
        <f>IF(OR(U659="",V659="",V659="Excluded"),"",IF(COUNTIFS($U$5:$U$3004,U659,$V$5:$V$3004,"&lt;&gt;"&amp;V659,$V$5:$V$3004,"&lt;&gt;",$V$5:$V$3004,"&lt;&gt;Excluded")&gt;0,"LEAK RISK","OK"))</f>
        <v/>
      </c>
      <c r="Z659" s="30" t="n"/>
    </row>
    <row r="660">
      <c r="A660" s="30" t="n"/>
      <c r="B660" s="30" t="n"/>
      <c r="C660" s="30" t="n"/>
      <c r="D660" s="30" t="n"/>
      <c r="E660" s="30" t="n"/>
      <c r="F660" s="30" t="n"/>
      <c r="G660" s="30" t="n"/>
      <c r="H660" s="30" t="n"/>
      <c r="I660" s="31" t="n"/>
      <c r="J660" s="30" t="n"/>
      <c r="K660" s="30" t="n"/>
      <c r="L660" s="30" t="n"/>
      <c r="M660" s="30" t="n"/>
      <c r="N660" s="32" t="n"/>
      <c r="O660" s="30" t="n"/>
      <c r="P660" s="32" t="n"/>
      <c r="Q660" s="30" t="n"/>
      <c r="R660" s="32" t="n"/>
      <c r="S660" s="30" t="n"/>
      <c r="T660" s="30" t="n"/>
      <c r="U660" s="30" t="n"/>
      <c r="V660" s="30" t="n"/>
      <c r="W660" s="29">
        <f>IF(H660="","",IF(H660="Kenya","Yes","No"))</f>
        <v/>
      </c>
      <c r="X660" s="29">
        <f>IF(B660="","",IF(COUNTIF($B$5:$B$3004,B660)&gt;1,"DUPLICATE","OK"))</f>
        <v/>
      </c>
      <c r="Y660" s="29">
        <f>IF(OR(U660="",V660="",V660="Excluded"),"",IF(COUNTIFS($U$5:$U$3004,U660,$V$5:$V$3004,"&lt;&gt;"&amp;V660,$V$5:$V$3004,"&lt;&gt;",$V$5:$V$3004,"&lt;&gt;Excluded")&gt;0,"LEAK RISK","OK"))</f>
        <v/>
      </c>
      <c r="Z660" s="30" t="n"/>
    </row>
    <row r="661">
      <c r="A661" s="30" t="n"/>
      <c r="B661" s="30" t="n"/>
      <c r="C661" s="30" t="n"/>
      <c r="D661" s="30" t="n"/>
      <c r="E661" s="30" t="n"/>
      <c r="F661" s="30" t="n"/>
      <c r="G661" s="30" t="n"/>
      <c r="H661" s="30" t="n"/>
      <c r="I661" s="31" t="n"/>
      <c r="J661" s="30" t="n"/>
      <c r="K661" s="30" t="n"/>
      <c r="L661" s="30" t="n"/>
      <c r="M661" s="30" t="n"/>
      <c r="N661" s="32" t="n"/>
      <c r="O661" s="30" t="n"/>
      <c r="P661" s="32" t="n"/>
      <c r="Q661" s="30" t="n"/>
      <c r="R661" s="32" t="n"/>
      <c r="S661" s="30" t="n"/>
      <c r="T661" s="30" t="n"/>
      <c r="U661" s="30" t="n"/>
      <c r="V661" s="30" t="n"/>
      <c r="W661" s="29">
        <f>IF(H661="","",IF(H661="Kenya","Yes","No"))</f>
        <v/>
      </c>
      <c r="X661" s="29">
        <f>IF(B661="","",IF(COUNTIF($B$5:$B$3004,B661)&gt;1,"DUPLICATE","OK"))</f>
        <v/>
      </c>
      <c r="Y661" s="29">
        <f>IF(OR(U661="",V661="",V661="Excluded"),"",IF(COUNTIFS($U$5:$U$3004,U661,$V$5:$V$3004,"&lt;&gt;"&amp;V661,$V$5:$V$3004,"&lt;&gt;",$V$5:$V$3004,"&lt;&gt;Excluded")&gt;0,"LEAK RISK","OK"))</f>
        <v/>
      </c>
      <c r="Z661" s="30" t="n"/>
    </row>
    <row r="662">
      <c r="A662" s="30" t="n"/>
      <c r="B662" s="30" t="n"/>
      <c r="C662" s="30" t="n"/>
      <c r="D662" s="30" t="n"/>
      <c r="E662" s="30" t="n"/>
      <c r="F662" s="30" t="n"/>
      <c r="G662" s="30" t="n"/>
      <c r="H662" s="30" t="n"/>
      <c r="I662" s="31" t="n"/>
      <c r="J662" s="30" t="n"/>
      <c r="K662" s="30" t="n"/>
      <c r="L662" s="30" t="n"/>
      <c r="M662" s="30" t="n"/>
      <c r="N662" s="32" t="n"/>
      <c r="O662" s="30" t="n"/>
      <c r="P662" s="32" t="n"/>
      <c r="Q662" s="30" t="n"/>
      <c r="R662" s="32" t="n"/>
      <c r="S662" s="30" t="n"/>
      <c r="T662" s="30" t="n"/>
      <c r="U662" s="30" t="n"/>
      <c r="V662" s="30" t="n"/>
      <c r="W662" s="29">
        <f>IF(H662="","",IF(H662="Kenya","Yes","No"))</f>
        <v/>
      </c>
      <c r="X662" s="29">
        <f>IF(B662="","",IF(COUNTIF($B$5:$B$3004,B662)&gt;1,"DUPLICATE","OK"))</f>
        <v/>
      </c>
      <c r="Y662" s="29">
        <f>IF(OR(U662="",V662="",V662="Excluded"),"",IF(COUNTIFS($U$5:$U$3004,U662,$V$5:$V$3004,"&lt;&gt;"&amp;V662,$V$5:$V$3004,"&lt;&gt;",$V$5:$V$3004,"&lt;&gt;Excluded")&gt;0,"LEAK RISK","OK"))</f>
        <v/>
      </c>
      <c r="Z662" s="30" t="n"/>
    </row>
    <row r="663">
      <c r="A663" s="30" t="n"/>
      <c r="B663" s="30" t="n"/>
      <c r="C663" s="30" t="n"/>
      <c r="D663" s="30" t="n"/>
      <c r="E663" s="30" t="n"/>
      <c r="F663" s="30" t="n"/>
      <c r="G663" s="30" t="n"/>
      <c r="H663" s="30" t="n"/>
      <c r="I663" s="31" t="n"/>
      <c r="J663" s="30" t="n"/>
      <c r="K663" s="30" t="n"/>
      <c r="L663" s="30" t="n"/>
      <c r="M663" s="30" t="n"/>
      <c r="N663" s="32" t="n"/>
      <c r="O663" s="30" t="n"/>
      <c r="P663" s="32" t="n"/>
      <c r="Q663" s="30" t="n"/>
      <c r="R663" s="32" t="n"/>
      <c r="S663" s="30" t="n"/>
      <c r="T663" s="30" t="n"/>
      <c r="U663" s="30" t="n"/>
      <c r="V663" s="30" t="n"/>
      <c r="W663" s="29">
        <f>IF(H663="","",IF(H663="Kenya","Yes","No"))</f>
        <v/>
      </c>
      <c r="X663" s="29">
        <f>IF(B663="","",IF(COUNTIF($B$5:$B$3004,B663)&gt;1,"DUPLICATE","OK"))</f>
        <v/>
      </c>
      <c r="Y663" s="29">
        <f>IF(OR(U663="",V663="",V663="Excluded"),"",IF(COUNTIFS($U$5:$U$3004,U663,$V$5:$V$3004,"&lt;&gt;"&amp;V663,$V$5:$V$3004,"&lt;&gt;",$V$5:$V$3004,"&lt;&gt;Excluded")&gt;0,"LEAK RISK","OK"))</f>
        <v/>
      </c>
      <c r="Z663" s="30" t="n"/>
    </row>
    <row r="664">
      <c r="A664" s="30" t="n"/>
      <c r="B664" s="30" t="n"/>
      <c r="C664" s="30" t="n"/>
      <c r="D664" s="30" t="n"/>
      <c r="E664" s="30" t="n"/>
      <c r="F664" s="30" t="n"/>
      <c r="G664" s="30" t="n"/>
      <c r="H664" s="30" t="n"/>
      <c r="I664" s="31" t="n"/>
      <c r="J664" s="30" t="n"/>
      <c r="K664" s="30" t="n"/>
      <c r="L664" s="30" t="n"/>
      <c r="M664" s="30" t="n"/>
      <c r="N664" s="32" t="n"/>
      <c r="O664" s="30" t="n"/>
      <c r="P664" s="32" t="n"/>
      <c r="Q664" s="30" t="n"/>
      <c r="R664" s="32" t="n"/>
      <c r="S664" s="30" t="n"/>
      <c r="T664" s="30" t="n"/>
      <c r="U664" s="30" t="n"/>
      <c r="V664" s="30" t="n"/>
      <c r="W664" s="29">
        <f>IF(H664="","",IF(H664="Kenya","Yes","No"))</f>
        <v/>
      </c>
      <c r="X664" s="29">
        <f>IF(B664="","",IF(COUNTIF($B$5:$B$3004,B664)&gt;1,"DUPLICATE","OK"))</f>
        <v/>
      </c>
      <c r="Y664" s="29">
        <f>IF(OR(U664="",V664="",V664="Excluded"),"",IF(COUNTIFS($U$5:$U$3004,U664,$V$5:$V$3004,"&lt;&gt;"&amp;V664,$V$5:$V$3004,"&lt;&gt;",$V$5:$V$3004,"&lt;&gt;Excluded")&gt;0,"LEAK RISK","OK"))</f>
        <v/>
      </c>
      <c r="Z664" s="30" t="n"/>
    </row>
    <row r="665">
      <c r="A665" s="30" t="n"/>
      <c r="B665" s="30" t="n"/>
      <c r="C665" s="30" t="n"/>
      <c r="D665" s="30" t="n"/>
      <c r="E665" s="30" t="n"/>
      <c r="F665" s="30" t="n"/>
      <c r="G665" s="30" t="n"/>
      <c r="H665" s="30" t="n"/>
      <c r="I665" s="31" t="n"/>
      <c r="J665" s="30" t="n"/>
      <c r="K665" s="30" t="n"/>
      <c r="L665" s="30" t="n"/>
      <c r="M665" s="30" t="n"/>
      <c r="N665" s="32" t="n"/>
      <c r="O665" s="30" t="n"/>
      <c r="P665" s="32" t="n"/>
      <c r="Q665" s="30" t="n"/>
      <c r="R665" s="32" t="n"/>
      <c r="S665" s="30" t="n"/>
      <c r="T665" s="30" t="n"/>
      <c r="U665" s="30" t="n"/>
      <c r="V665" s="30" t="n"/>
      <c r="W665" s="29">
        <f>IF(H665="","",IF(H665="Kenya","Yes","No"))</f>
        <v/>
      </c>
      <c r="X665" s="29">
        <f>IF(B665="","",IF(COUNTIF($B$5:$B$3004,B665)&gt;1,"DUPLICATE","OK"))</f>
        <v/>
      </c>
      <c r="Y665" s="29">
        <f>IF(OR(U665="",V665="",V665="Excluded"),"",IF(COUNTIFS($U$5:$U$3004,U665,$V$5:$V$3004,"&lt;&gt;"&amp;V665,$V$5:$V$3004,"&lt;&gt;",$V$5:$V$3004,"&lt;&gt;Excluded")&gt;0,"LEAK RISK","OK"))</f>
        <v/>
      </c>
      <c r="Z665" s="30" t="n"/>
    </row>
    <row r="666">
      <c r="A666" s="30" t="n"/>
      <c r="B666" s="30" t="n"/>
      <c r="C666" s="30" t="n"/>
      <c r="D666" s="30" t="n"/>
      <c r="E666" s="30" t="n"/>
      <c r="F666" s="30" t="n"/>
      <c r="G666" s="30" t="n"/>
      <c r="H666" s="30" t="n"/>
      <c r="I666" s="31" t="n"/>
      <c r="J666" s="30" t="n"/>
      <c r="K666" s="30" t="n"/>
      <c r="L666" s="30" t="n"/>
      <c r="M666" s="30" t="n"/>
      <c r="N666" s="32" t="n"/>
      <c r="O666" s="30" t="n"/>
      <c r="P666" s="32" t="n"/>
      <c r="Q666" s="30" t="n"/>
      <c r="R666" s="32" t="n"/>
      <c r="S666" s="30" t="n"/>
      <c r="T666" s="30" t="n"/>
      <c r="U666" s="30" t="n"/>
      <c r="V666" s="30" t="n"/>
      <c r="W666" s="29">
        <f>IF(H666="","",IF(H666="Kenya","Yes","No"))</f>
        <v/>
      </c>
      <c r="X666" s="29">
        <f>IF(B666="","",IF(COUNTIF($B$5:$B$3004,B666)&gt;1,"DUPLICATE","OK"))</f>
        <v/>
      </c>
      <c r="Y666" s="29">
        <f>IF(OR(U666="",V666="",V666="Excluded"),"",IF(COUNTIFS($U$5:$U$3004,U666,$V$5:$V$3004,"&lt;&gt;"&amp;V666,$V$5:$V$3004,"&lt;&gt;",$V$5:$V$3004,"&lt;&gt;Excluded")&gt;0,"LEAK RISK","OK"))</f>
        <v/>
      </c>
      <c r="Z666" s="30" t="n"/>
    </row>
    <row r="667">
      <c r="A667" s="30" t="n"/>
      <c r="B667" s="30" t="n"/>
      <c r="C667" s="30" t="n"/>
      <c r="D667" s="30" t="n"/>
      <c r="E667" s="30" t="n"/>
      <c r="F667" s="30" t="n"/>
      <c r="G667" s="30" t="n"/>
      <c r="H667" s="30" t="n"/>
      <c r="I667" s="31" t="n"/>
      <c r="J667" s="30" t="n"/>
      <c r="K667" s="30" t="n"/>
      <c r="L667" s="30" t="n"/>
      <c r="M667" s="30" t="n"/>
      <c r="N667" s="32" t="n"/>
      <c r="O667" s="30" t="n"/>
      <c r="P667" s="32" t="n"/>
      <c r="Q667" s="30" t="n"/>
      <c r="R667" s="32" t="n"/>
      <c r="S667" s="30" t="n"/>
      <c r="T667" s="30" t="n"/>
      <c r="U667" s="30" t="n"/>
      <c r="V667" s="30" t="n"/>
      <c r="W667" s="29">
        <f>IF(H667="","",IF(H667="Kenya","Yes","No"))</f>
        <v/>
      </c>
      <c r="X667" s="29">
        <f>IF(B667="","",IF(COUNTIF($B$5:$B$3004,B667)&gt;1,"DUPLICATE","OK"))</f>
        <v/>
      </c>
      <c r="Y667" s="29">
        <f>IF(OR(U667="",V667="",V667="Excluded"),"",IF(COUNTIFS($U$5:$U$3004,U667,$V$5:$V$3004,"&lt;&gt;"&amp;V667,$V$5:$V$3004,"&lt;&gt;",$V$5:$V$3004,"&lt;&gt;Excluded")&gt;0,"LEAK RISK","OK"))</f>
        <v/>
      </c>
      <c r="Z667" s="30" t="n"/>
    </row>
    <row r="668">
      <c r="A668" s="30" t="n"/>
      <c r="B668" s="30" t="n"/>
      <c r="C668" s="30" t="n"/>
      <c r="D668" s="30" t="n"/>
      <c r="E668" s="30" t="n"/>
      <c r="F668" s="30" t="n"/>
      <c r="G668" s="30" t="n"/>
      <c r="H668" s="30" t="n"/>
      <c r="I668" s="31" t="n"/>
      <c r="J668" s="30" t="n"/>
      <c r="K668" s="30" t="n"/>
      <c r="L668" s="30" t="n"/>
      <c r="M668" s="30" t="n"/>
      <c r="N668" s="32" t="n"/>
      <c r="O668" s="30" t="n"/>
      <c r="P668" s="32" t="n"/>
      <c r="Q668" s="30" t="n"/>
      <c r="R668" s="32" t="n"/>
      <c r="S668" s="30" t="n"/>
      <c r="T668" s="30" t="n"/>
      <c r="U668" s="30" t="n"/>
      <c r="V668" s="30" t="n"/>
      <c r="W668" s="29">
        <f>IF(H668="","",IF(H668="Kenya","Yes","No"))</f>
        <v/>
      </c>
      <c r="X668" s="29">
        <f>IF(B668="","",IF(COUNTIF($B$5:$B$3004,B668)&gt;1,"DUPLICATE","OK"))</f>
        <v/>
      </c>
      <c r="Y668" s="29">
        <f>IF(OR(U668="",V668="",V668="Excluded"),"",IF(COUNTIFS($U$5:$U$3004,U668,$V$5:$V$3004,"&lt;&gt;"&amp;V668,$V$5:$V$3004,"&lt;&gt;",$V$5:$V$3004,"&lt;&gt;Excluded")&gt;0,"LEAK RISK","OK"))</f>
        <v/>
      </c>
      <c r="Z668" s="30" t="n"/>
    </row>
    <row r="669">
      <c r="A669" s="30" t="n"/>
      <c r="B669" s="30" t="n"/>
      <c r="C669" s="30" t="n"/>
      <c r="D669" s="30" t="n"/>
      <c r="E669" s="30" t="n"/>
      <c r="F669" s="30" t="n"/>
      <c r="G669" s="30" t="n"/>
      <c r="H669" s="30" t="n"/>
      <c r="I669" s="31" t="n"/>
      <c r="J669" s="30" t="n"/>
      <c r="K669" s="30" t="n"/>
      <c r="L669" s="30" t="n"/>
      <c r="M669" s="30" t="n"/>
      <c r="N669" s="32" t="n"/>
      <c r="O669" s="30" t="n"/>
      <c r="P669" s="32" t="n"/>
      <c r="Q669" s="30" t="n"/>
      <c r="R669" s="32" t="n"/>
      <c r="S669" s="30" t="n"/>
      <c r="T669" s="30" t="n"/>
      <c r="U669" s="30" t="n"/>
      <c r="V669" s="30" t="n"/>
      <c r="W669" s="29">
        <f>IF(H669="","",IF(H669="Kenya","Yes","No"))</f>
        <v/>
      </c>
      <c r="X669" s="29">
        <f>IF(B669="","",IF(COUNTIF($B$5:$B$3004,B669)&gt;1,"DUPLICATE","OK"))</f>
        <v/>
      </c>
      <c r="Y669" s="29">
        <f>IF(OR(U669="",V669="",V669="Excluded"),"",IF(COUNTIFS($U$5:$U$3004,U669,$V$5:$V$3004,"&lt;&gt;"&amp;V669,$V$5:$V$3004,"&lt;&gt;",$V$5:$V$3004,"&lt;&gt;Excluded")&gt;0,"LEAK RISK","OK"))</f>
        <v/>
      </c>
      <c r="Z669" s="30" t="n"/>
    </row>
    <row r="670">
      <c r="A670" s="30" t="n"/>
      <c r="B670" s="30" t="n"/>
      <c r="C670" s="30" t="n"/>
      <c r="D670" s="30" t="n"/>
      <c r="E670" s="30" t="n"/>
      <c r="F670" s="30" t="n"/>
      <c r="G670" s="30" t="n"/>
      <c r="H670" s="30" t="n"/>
      <c r="I670" s="31" t="n"/>
      <c r="J670" s="30" t="n"/>
      <c r="K670" s="30" t="n"/>
      <c r="L670" s="30" t="n"/>
      <c r="M670" s="30" t="n"/>
      <c r="N670" s="32" t="n"/>
      <c r="O670" s="30" t="n"/>
      <c r="P670" s="32" t="n"/>
      <c r="Q670" s="30" t="n"/>
      <c r="R670" s="32" t="n"/>
      <c r="S670" s="30" t="n"/>
      <c r="T670" s="30" t="n"/>
      <c r="U670" s="30" t="n"/>
      <c r="V670" s="30" t="n"/>
      <c r="W670" s="29">
        <f>IF(H670="","",IF(H670="Kenya","Yes","No"))</f>
        <v/>
      </c>
      <c r="X670" s="29">
        <f>IF(B670="","",IF(COUNTIF($B$5:$B$3004,B670)&gt;1,"DUPLICATE","OK"))</f>
        <v/>
      </c>
      <c r="Y670" s="29">
        <f>IF(OR(U670="",V670="",V670="Excluded"),"",IF(COUNTIFS($U$5:$U$3004,U670,$V$5:$V$3004,"&lt;&gt;"&amp;V670,$V$5:$V$3004,"&lt;&gt;",$V$5:$V$3004,"&lt;&gt;Excluded")&gt;0,"LEAK RISK","OK"))</f>
        <v/>
      </c>
      <c r="Z670" s="30" t="n"/>
    </row>
    <row r="671">
      <c r="A671" s="30" t="n"/>
      <c r="B671" s="30" t="n"/>
      <c r="C671" s="30" t="n"/>
      <c r="D671" s="30" t="n"/>
      <c r="E671" s="30" t="n"/>
      <c r="F671" s="30" t="n"/>
      <c r="G671" s="30" t="n"/>
      <c r="H671" s="30" t="n"/>
      <c r="I671" s="31" t="n"/>
      <c r="J671" s="30" t="n"/>
      <c r="K671" s="30" t="n"/>
      <c r="L671" s="30" t="n"/>
      <c r="M671" s="30" t="n"/>
      <c r="N671" s="32" t="n"/>
      <c r="O671" s="30" t="n"/>
      <c r="P671" s="32" t="n"/>
      <c r="Q671" s="30" t="n"/>
      <c r="R671" s="32" t="n"/>
      <c r="S671" s="30" t="n"/>
      <c r="T671" s="30" t="n"/>
      <c r="U671" s="30" t="n"/>
      <c r="V671" s="30" t="n"/>
      <c r="W671" s="29">
        <f>IF(H671="","",IF(H671="Kenya","Yes","No"))</f>
        <v/>
      </c>
      <c r="X671" s="29">
        <f>IF(B671="","",IF(COUNTIF($B$5:$B$3004,B671)&gt;1,"DUPLICATE","OK"))</f>
        <v/>
      </c>
      <c r="Y671" s="29">
        <f>IF(OR(U671="",V671="",V671="Excluded"),"",IF(COUNTIFS($U$5:$U$3004,U671,$V$5:$V$3004,"&lt;&gt;"&amp;V671,$V$5:$V$3004,"&lt;&gt;",$V$5:$V$3004,"&lt;&gt;Excluded")&gt;0,"LEAK RISK","OK"))</f>
        <v/>
      </c>
      <c r="Z671" s="30" t="n"/>
    </row>
    <row r="672">
      <c r="A672" s="30" t="n"/>
      <c r="B672" s="30" t="n"/>
      <c r="C672" s="30" t="n"/>
      <c r="D672" s="30" t="n"/>
      <c r="E672" s="30" t="n"/>
      <c r="F672" s="30" t="n"/>
      <c r="G672" s="30" t="n"/>
      <c r="H672" s="30" t="n"/>
      <c r="I672" s="31" t="n"/>
      <c r="J672" s="30" t="n"/>
      <c r="K672" s="30" t="n"/>
      <c r="L672" s="30" t="n"/>
      <c r="M672" s="30" t="n"/>
      <c r="N672" s="32" t="n"/>
      <c r="O672" s="30" t="n"/>
      <c r="P672" s="32" t="n"/>
      <c r="Q672" s="30" t="n"/>
      <c r="R672" s="32" t="n"/>
      <c r="S672" s="30" t="n"/>
      <c r="T672" s="30" t="n"/>
      <c r="U672" s="30" t="n"/>
      <c r="V672" s="30" t="n"/>
      <c r="W672" s="29">
        <f>IF(H672="","",IF(H672="Kenya","Yes","No"))</f>
        <v/>
      </c>
      <c r="X672" s="29">
        <f>IF(B672="","",IF(COUNTIF($B$5:$B$3004,B672)&gt;1,"DUPLICATE","OK"))</f>
        <v/>
      </c>
      <c r="Y672" s="29">
        <f>IF(OR(U672="",V672="",V672="Excluded"),"",IF(COUNTIFS($U$5:$U$3004,U672,$V$5:$V$3004,"&lt;&gt;"&amp;V672,$V$5:$V$3004,"&lt;&gt;",$V$5:$V$3004,"&lt;&gt;Excluded")&gt;0,"LEAK RISK","OK"))</f>
        <v/>
      </c>
      <c r="Z672" s="30" t="n"/>
    </row>
    <row r="673">
      <c r="A673" s="30" t="n"/>
      <c r="B673" s="30" t="n"/>
      <c r="C673" s="30" t="n"/>
      <c r="D673" s="30" t="n"/>
      <c r="E673" s="30" t="n"/>
      <c r="F673" s="30" t="n"/>
      <c r="G673" s="30" t="n"/>
      <c r="H673" s="30" t="n"/>
      <c r="I673" s="31" t="n"/>
      <c r="J673" s="30" t="n"/>
      <c r="K673" s="30" t="n"/>
      <c r="L673" s="30" t="n"/>
      <c r="M673" s="30" t="n"/>
      <c r="N673" s="32" t="n"/>
      <c r="O673" s="30" t="n"/>
      <c r="P673" s="32" t="n"/>
      <c r="Q673" s="30" t="n"/>
      <c r="R673" s="32" t="n"/>
      <c r="S673" s="30" t="n"/>
      <c r="T673" s="30" t="n"/>
      <c r="U673" s="30" t="n"/>
      <c r="V673" s="30" t="n"/>
      <c r="W673" s="29">
        <f>IF(H673="","",IF(H673="Kenya","Yes","No"))</f>
        <v/>
      </c>
      <c r="X673" s="29">
        <f>IF(B673="","",IF(COUNTIF($B$5:$B$3004,B673)&gt;1,"DUPLICATE","OK"))</f>
        <v/>
      </c>
      <c r="Y673" s="29">
        <f>IF(OR(U673="",V673="",V673="Excluded"),"",IF(COUNTIFS($U$5:$U$3004,U673,$V$5:$V$3004,"&lt;&gt;"&amp;V673,$V$5:$V$3004,"&lt;&gt;",$V$5:$V$3004,"&lt;&gt;Excluded")&gt;0,"LEAK RISK","OK"))</f>
        <v/>
      </c>
      <c r="Z673" s="30" t="n"/>
    </row>
    <row r="674">
      <c r="A674" s="30" t="n"/>
      <c r="B674" s="30" t="n"/>
      <c r="C674" s="30" t="n"/>
      <c r="D674" s="30" t="n"/>
      <c r="E674" s="30" t="n"/>
      <c r="F674" s="30" t="n"/>
      <c r="G674" s="30" t="n"/>
      <c r="H674" s="30" t="n"/>
      <c r="I674" s="31" t="n"/>
      <c r="J674" s="30" t="n"/>
      <c r="K674" s="30" t="n"/>
      <c r="L674" s="30" t="n"/>
      <c r="M674" s="30" t="n"/>
      <c r="N674" s="32" t="n"/>
      <c r="O674" s="30" t="n"/>
      <c r="P674" s="32" t="n"/>
      <c r="Q674" s="30" t="n"/>
      <c r="R674" s="32" t="n"/>
      <c r="S674" s="30" t="n"/>
      <c r="T674" s="30" t="n"/>
      <c r="U674" s="30" t="n"/>
      <c r="V674" s="30" t="n"/>
      <c r="W674" s="29">
        <f>IF(H674="","",IF(H674="Kenya","Yes","No"))</f>
        <v/>
      </c>
      <c r="X674" s="29">
        <f>IF(B674="","",IF(COUNTIF($B$5:$B$3004,B674)&gt;1,"DUPLICATE","OK"))</f>
        <v/>
      </c>
      <c r="Y674" s="29">
        <f>IF(OR(U674="",V674="",V674="Excluded"),"",IF(COUNTIFS($U$5:$U$3004,U674,$V$5:$V$3004,"&lt;&gt;"&amp;V674,$V$5:$V$3004,"&lt;&gt;",$V$5:$V$3004,"&lt;&gt;Excluded")&gt;0,"LEAK RISK","OK"))</f>
        <v/>
      </c>
      <c r="Z674" s="30" t="n"/>
    </row>
    <row r="675">
      <c r="A675" s="30" t="n"/>
      <c r="B675" s="30" t="n"/>
      <c r="C675" s="30" t="n"/>
      <c r="D675" s="30" t="n"/>
      <c r="E675" s="30" t="n"/>
      <c r="F675" s="30" t="n"/>
      <c r="G675" s="30" t="n"/>
      <c r="H675" s="30" t="n"/>
      <c r="I675" s="31" t="n"/>
      <c r="J675" s="30" t="n"/>
      <c r="K675" s="30" t="n"/>
      <c r="L675" s="30" t="n"/>
      <c r="M675" s="30" t="n"/>
      <c r="N675" s="32" t="n"/>
      <c r="O675" s="30" t="n"/>
      <c r="P675" s="32" t="n"/>
      <c r="Q675" s="30" t="n"/>
      <c r="R675" s="32" t="n"/>
      <c r="S675" s="30" t="n"/>
      <c r="T675" s="30" t="n"/>
      <c r="U675" s="30" t="n"/>
      <c r="V675" s="30" t="n"/>
      <c r="W675" s="29">
        <f>IF(H675="","",IF(H675="Kenya","Yes","No"))</f>
        <v/>
      </c>
      <c r="X675" s="29">
        <f>IF(B675="","",IF(COUNTIF($B$5:$B$3004,B675)&gt;1,"DUPLICATE","OK"))</f>
        <v/>
      </c>
      <c r="Y675" s="29">
        <f>IF(OR(U675="",V675="",V675="Excluded"),"",IF(COUNTIFS($U$5:$U$3004,U675,$V$5:$V$3004,"&lt;&gt;"&amp;V675,$V$5:$V$3004,"&lt;&gt;",$V$5:$V$3004,"&lt;&gt;Excluded")&gt;0,"LEAK RISK","OK"))</f>
        <v/>
      </c>
      <c r="Z675" s="30" t="n"/>
    </row>
    <row r="676">
      <c r="A676" s="30" t="n"/>
      <c r="B676" s="30" t="n"/>
      <c r="C676" s="30" t="n"/>
      <c r="D676" s="30" t="n"/>
      <c r="E676" s="30" t="n"/>
      <c r="F676" s="30" t="n"/>
      <c r="G676" s="30" t="n"/>
      <c r="H676" s="30" t="n"/>
      <c r="I676" s="31" t="n"/>
      <c r="J676" s="30" t="n"/>
      <c r="K676" s="30" t="n"/>
      <c r="L676" s="30" t="n"/>
      <c r="M676" s="30" t="n"/>
      <c r="N676" s="32" t="n"/>
      <c r="O676" s="30" t="n"/>
      <c r="P676" s="32" t="n"/>
      <c r="Q676" s="30" t="n"/>
      <c r="R676" s="32" t="n"/>
      <c r="S676" s="30" t="n"/>
      <c r="T676" s="30" t="n"/>
      <c r="U676" s="30" t="n"/>
      <c r="V676" s="30" t="n"/>
      <c r="W676" s="29">
        <f>IF(H676="","",IF(H676="Kenya","Yes","No"))</f>
        <v/>
      </c>
      <c r="X676" s="29">
        <f>IF(B676="","",IF(COUNTIF($B$5:$B$3004,B676)&gt;1,"DUPLICATE","OK"))</f>
        <v/>
      </c>
      <c r="Y676" s="29">
        <f>IF(OR(U676="",V676="",V676="Excluded"),"",IF(COUNTIFS($U$5:$U$3004,U676,$V$5:$V$3004,"&lt;&gt;"&amp;V676,$V$5:$V$3004,"&lt;&gt;",$V$5:$V$3004,"&lt;&gt;Excluded")&gt;0,"LEAK RISK","OK"))</f>
        <v/>
      </c>
      <c r="Z676" s="30" t="n"/>
    </row>
    <row r="677">
      <c r="A677" s="30" t="n"/>
      <c r="B677" s="30" t="n"/>
      <c r="C677" s="30" t="n"/>
      <c r="D677" s="30" t="n"/>
      <c r="E677" s="30" t="n"/>
      <c r="F677" s="30" t="n"/>
      <c r="G677" s="30" t="n"/>
      <c r="H677" s="30" t="n"/>
      <c r="I677" s="31" t="n"/>
      <c r="J677" s="30" t="n"/>
      <c r="K677" s="30" t="n"/>
      <c r="L677" s="30" t="n"/>
      <c r="M677" s="30" t="n"/>
      <c r="N677" s="32" t="n"/>
      <c r="O677" s="30" t="n"/>
      <c r="P677" s="32" t="n"/>
      <c r="Q677" s="30" t="n"/>
      <c r="R677" s="32" t="n"/>
      <c r="S677" s="30" t="n"/>
      <c r="T677" s="30" t="n"/>
      <c r="U677" s="30" t="n"/>
      <c r="V677" s="30" t="n"/>
      <c r="W677" s="29">
        <f>IF(H677="","",IF(H677="Kenya","Yes","No"))</f>
        <v/>
      </c>
      <c r="X677" s="29">
        <f>IF(B677="","",IF(COUNTIF($B$5:$B$3004,B677)&gt;1,"DUPLICATE","OK"))</f>
        <v/>
      </c>
      <c r="Y677" s="29">
        <f>IF(OR(U677="",V677="",V677="Excluded"),"",IF(COUNTIFS($U$5:$U$3004,U677,$V$5:$V$3004,"&lt;&gt;"&amp;V677,$V$5:$V$3004,"&lt;&gt;",$V$5:$V$3004,"&lt;&gt;Excluded")&gt;0,"LEAK RISK","OK"))</f>
        <v/>
      </c>
      <c r="Z677" s="30" t="n"/>
    </row>
    <row r="678">
      <c r="A678" s="30" t="n"/>
      <c r="B678" s="30" t="n"/>
      <c r="C678" s="30" t="n"/>
      <c r="D678" s="30" t="n"/>
      <c r="E678" s="30" t="n"/>
      <c r="F678" s="30" t="n"/>
      <c r="G678" s="30" t="n"/>
      <c r="H678" s="30" t="n"/>
      <c r="I678" s="31" t="n"/>
      <c r="J678" s="30" t="n"/>
      <c r="K678" s="30" t="n"/>
      <c r="L678" s="30" t="n"/>
      <c r="M678" s="30" t="n"/>
      <c r="N678" s="32" t="n"/>
      <c r="O678" s="30" t="n"/>
      <c r="P678" s="32" t="n"/>
      <c r="Q678" s="30" t="n"/>
      <c r="R678" s="32" t="n"/>
      <c r="S678" s="30" t="n"/>
      <c r="T678" s="30" t="n"/>
      <c r="U678" s="30" t="n"/>
      <c r="V678" s="30" t="n"/>
      <c r="W678" s="29">
        <f>IF(H678="","",IF(H678="Kenya","Yes","No"))</f>
        <v/>
      </c>
      <c r="X678" s="29">
        <f>IF(B678="","",IF(COUNTIF($B$5:$B$3004,B678)&gt;1,"DUPLICATE","OK"))</f>
        <v/>
      </c>
      <c r="Y678" s="29">
        <f>IF(OR(U678="",V678="",V678="Excluded"),"",IF(COUNTIFS($U$5:$U$3004,U678,$V$5:$V$3004,"&lt;&gt;"&amp;V678,$V$5:$V$3004,"&lt;&gt;",$V$5:$V$3004,"&lt;&gt;Excluded")&gt;0,"LEAK RISK","OK"))</f>
        <v/>
      </c>
      <c r="Z678" s="30" t="n"/>
    </row>
    <row r="679">
      <c r="A679" s="30" t="n"/>
      <c r="B679" s="30" t="n"/>
      <c r="C679" s="30" t="n"/>
      <c r="D679" s="30" t="n"/>
      <c r="E679" s="30" t="n"/>
      <c r="F679" s="30" t="n"/>
      <c r="G679" s="30" t="n"/>
      <c r="H679" s="30" t="n"/>
      <c r="I679" s="31" t="n"/>
      <c r="J679" s="30" t="n"/>
      <c r="K679" s="30" t="n"/>
      <c r="L679" s="30" t="n"/>
      <c r="M679" s="30" t="n"/>
      <c r="N679" s="32" t="n"/>
      <c r="O679" s="30" t="n"/>
      <c r="P679" s="32" t="n"/>
      <c r="Q679" s="30" t="n"/>
      <c r="R679" s="32" t="n"/>
      <c r="S679" s="30" t="n"/>
      <c r="T679" s="30" t="n"/>
      <c r="U679" s="30" t="n"/>
      <c r="V679" s="30" t="n"/>
      <c r="W679" s="29">
        <f>IF(H679="","",IF(H679="Kenya","Yes","No"))</f>
        <v/>
      </c>
      <c r="X679" s="29">
        <f>IF(B679="","",IF(COUNTIF($B$5:$B$3004,B679)&gt;1,"DUPLICATE","OK"))</f>
        <v/>
      </c>
      <c r="Y679" s="29">
        <f>IF(OR(U679="",V679="",V679="Excluded"),"",IF(COUNTIFS($U$5:$U$3004,U679,$V$5:$V$3004,"&lt;&gt;"&amp;V679,$V$5:$V$3004,"&lt;&gt;",$V$5:$V$3004,"&lt;&gt;Excluded")&gt;0,"LEAK RISK","OK"))</f>
        <v/>
      </c>
      <c r="Z679" s="30" t="n"/>
    </row>
    <row r="680">
      <c r="A680" s="30" t="n"/>
      <c r="B680" s="30" t="n"/>
      <c r="C680" s="30" t="n"/>
      <c r="D680" s="30" t="n"/>
      <c r="E680" s="30" t="n"/>
      <c r="F680" s="30" t="n"/>
      <c r="G680" s="30" t="n"/>
      <c r="H680" s="30" t="n"/>
      <c r="I680" s="31" t="n"/>
      <c r="J680" s="30" t="n"/>
      <c r="K680" s="30" t="n"/>
      <c r="L680" s="30" t="n"/>
      <c r="M680" s="30" t="n"/>
      <c r="N680" s="32" t="n"/>
      <c r="O680" s="30" t="n"/>
      <c r="P680" s="32" t="n"/>
      <c r="Q680" s="30" t="n"/>
      <c r="R680" s="32" t="n"/>
      <c r="S680" s="30" t="n"/>
      <c r="T680" s="30" t="n"/>
      <c r="U680" s="30" t="n"/>
      <c r="V680" s="30" t="n"/>
      <c r="W680" s="29">
        <f>IF(H680="","",IF(H680="Kenya","Yes","No"))</f>
        <v/>
      </c>
      <c r="X680" s="29">
        <f>IF(B680="","",IF(COUNTIF($B$5:$B$3004,B680)&gt;1,"DUPLICATE","OK"))</f>
        <v/>
      </c>
      <c r="Y680" s="29">
        <f>IF(OR(U680="",V680="",V680="Excluded"),"",IF(COUNTIFS($U$5:$U$3004,U680,$V$5:$V$3004,"&lt;&gt;"&amp;V680,$V$5:$V$3004,"&lt;&gt;",$V$5:$V$3004,"&lt;&gt;Excluded")&gt;0,"LEAK RISK","OK"))</f>
        <v/>
      </c>
      <c r="Z680" s="30" t="n"/>
    </row>
    <row r="681">
      <c r="A681" s="30" t="n"/>
      <c r="B681" s="30" t="n"/>
      <c r="C681" s="30" t="n"/>
      <c r="D681" s="30" t="n"/>
      <c r="E681" s="30" t="n"/>
      <c r="F681" s="30" t="n"/>
      <c r="G681" s="30" t="n"/>
      <c r="H681" s="30" t="n"/>
      <c r="I681" s="31" t="n"/>
      <c r="J681" s="30" t="n"/>
      <c r="K681" s="30" t="n"/>
      <c r="L681" s="30" t="n"/>
      <c r="M681" s="30" t="n"/>
      <c r="N681" s="32" t="n"/>
      <c r="O681" s="30" t="n"/>
      <c r="P681" s="32" t="n"/>
      <c r="Q681" s="30" t="n"/>
      <c r="R681" s="32" t="n"/>
      <c r="S681" s="30" t="n"/>
      <c r="T681" s="30" t="n"/>
      <c r="U681" s="30" t="n"/>
      <c r="V681" s="30" t="n"/>
      <c r="W681" s="29">
        <f>IF(H681="","",IF(H681="Kenya","Yes","No"))</f>
        <v/>
      </c>
      <c r="X681" s="29">
        <f>IF(B681="","",IF(COUNTIF($B$5:$B$3004,B681)&gt;1,"DUPLICATE","OK"))</f>
        <v/>
      </c>
      <c r="Y681" s="29">
        <f>IF(OR(U681="",V681="",V681="Excluded"),"",IF(COUNTIFS($U$5:$U$3004,U681,$V$5:$V$3004,"&lt;&gt;"&amp;V681,$V$5:$V$3004,"&lt;&gt;",$V$5:$V$3004,"&lt;&gt;Excluded")&gt;0,"LEAK RISK","OK"))</f>
        <v/>
      </c>
      <c r="Z681" s="30" t="n"/>
    </row>
    <row r="682">
      <c r="A682" s="30" t="n"/>
      <c r="B682" s="30" t="n"/>
      <c r="C682" s="30" t="n"/>
      <c r="D682" s="30" t="n"/>
      <c r="E682" s="30" t="n"/>
      <c r="F682" s="30" t="n"/>
      <c r="G682" s="30" t="n"/>
      <c r="H682" s="30" t="n"/>
      <c r="I682" s="31" t="n"/>
      <c r="J682" s="30" t="n"/>
      <c r="K682" s="30" t="n"/>
      <c r="L682" s="30" t="n"/>
      <c r="M682" s="30" t="n"/>
      <c r="N682" s="32" t="n"/>
      <c r="O682" s="30" t="n"/>
      <c r="P682" s="32" t="n"/>
      <c r="Q682" s="30" t="n"/>
      <c r="R682" s="32" t="n"/>
      <c r="S682" s="30" t="n"/>
      <c r="T682" s="30" t="n"/>
      <c r="U682" s="30" t="n"/>
      <c r="V682" s="30" t="n"/>
      <c r="W682" s="29">
        <f>IF(H682="","",IF(H682="Kenya","Yes","No"))</f>
        <v/>
      </c>
      <c r="X682" s="29">
        <f>IF(B682="","",IF(COUNTIF($B$5:$B$3004,B682)&gt;1,"DUPLICATE","OK"))</f>
        <v/>
      </c>
      <c r="Y682" s="29">
        <f>IF(OR(U682="",V682="",V682="Excluded"),"",IF(COUNTIFS($U$5:$U$3004,U682,$V$5:$V$3004,"&lt;&gt;"&amp;V682,$V$5:$V$3004,"&lt;&gt;",$V$5:$V$3004,"&lt;&gt;Excluded")&gt;0,"LEAK RISK","OK"))</f>
        <v/>
      </c>
      <c r="Z682" s="30" t="n"/>
    </row>
    <row r="683">
      <c r="A683" s="30" t="n"/>
      <c r="B683" s="30" t="n"/>
      <c r="C683" s="30" t="n"/>
      <c r="D683" s="30" t="n"/>
      <c r="E683" s="30" t="n"/>
      <c r="F683" s="30" t="n"/>
      <c r="G683" s="30" t="n"/>
      <c r="H683" s="30" t="n"/>
      <c r="I683" s="31" t="n"/>
      <c r="J683" s="30" t="n"/>
      <c r="K683" s="30" t="n"/>
      <c r="L683" s="30" t="n"/>
      <c r="M683" s="30" t="n"/>
      <c r="N683" s="32" t="n"/>
      <c r="O683" s="30" t="n"/>
      <c r="P683" s="32" t="n"/>
      <c r="Q683" s="30" t="n"/>
      <c r="R683" s="32" t="n"/>
      <c r="S683" s="30" t="n"/>
      <c r="T683" s="30" t="n"/>
      <c r="U683" s="30" t="n"/>
      <c r="V683" s="30" t="n"/>
      <c r="W683" s="29">
        <f>IF(H683="","",IF(H683="Kenya","Yes","No"))</f>
        <v/>
      </c>
      <c r="X683" s="29">
        <f>IF(B683="","",IF(COUNTIF($B$5:$B$3004,B683)&gt;1,"DUPLICATE","OK"))</f>
        <v/>
      </c>
      <c r="Y683" s="29">
        <f>IF(OR(U683="",V683="",V683="Excluded"),"",IF(COUNTIFS($U$5:$U$3004,U683,$V$5:$V$3004,"&lt;&gt;"&amp;V683,$V$5:$V$3004,"&lt;&gt;",$V$5:$V$3004,"&lt;&gt;Excluded")&gt;0,"LEAK RISK","OK"))</f>
        <v/>
      </c>
      <c r="Z683" s="30" t="n"/>
    </row>
    <row r="684">
      <c r="A684" s="30" t="n"/>
      <c r="B684" s="30" t="n"/>
      <c r="C684" s="30" t="n"/>
      <c r="D684" s="30" t="n"/>
      <c r="E684" s="30" t="n"/>
      <c r="F684" s="30" t="n"/>
      <c r="G684" s="30" t="n"/>
      <c r="H684" s="30" t="n"/>
      <c r="I684" s="31" t="n"/>
      <c r="J684" s="30" t="n"/>
      <c r="K684" s="30" t="n"/>
      <c r="L684" s="30" t="n"/>
      <c r="M684" s="30" t="n"/>
      <c r="N684" s="32" t="n"/>
      <c r="O684" s="30" t="n"/>
      <c r="P684" s="32" t="n"/>
      <c r="Q684" s="30" t="n"/>
      <c r="R684" s="32" t="n"/>
      <c r="S684" s="30" t="n"/>
      <c r="T684" s="30" t="n"/>
      <c r="U684" s="30" t="n"/>
      <c r="V684" s="30" t="n"/>
      <c r="W684" s="29">
        <f>IF(H684="","",IF(H684="Kenya","Yes","No"))</f>
        <v/>
      </c>
      <c r="X684" s="29">
        <f>IF(B684="","",IF(COUNTIF($B$5:$B$3004,B684)&gt;1,"DUPLICATE","OK"))</f>
        <v/>
      </c>
      <c r="Y684" s="29">
        <f>IF(OR(U684="",V684="",V684="Excluded"),"",IF(COUNTIFS($U$5:$U$3004,U684,$V$5:$V$3004,"&lt;&gt;"&amp;V684,$V$5:$V$3004,"&lt;&gt;",$V$5:$V$3004,"&lt;&gt;Excluded")&gt;0,"LEAK RISK","OK"))</f>
        <v/>
      </c>
      <c r="Z684" s="30" t="n"/>
    </row>
    <row r="685">
      <c r="A685" s="30" t="n"/>
      <c r="B685" s="30" t="n"/>
      <c r="C685" s="30" t="n"/>
      <c r="D685" s="30" t="n"/>
      <c r="E685" s="30" t="n"/>
      <c r="F685" s="30" t="n"/>
      <c r="G685" s="30" t="n"/>
      <c r="H685" s="30" t="n"/>
      <c r="I685" s="31" t="n"/>
      <c r="J685" s="30" t="n"/>
      <c r="K685" s="30" t="n"/>
      <c r="L685" s="30" t="n"/>
      <c r="M685" s="30" t="n"/>
      <c r="N685" s="32" t="n"/>
      <c r="O685" s="30" t="n"/>
      <c r="P685" s="32" t="n"/>
      <c r="Q685" s="30" t="n"/>
      <c r="R685" s="32" t="n"/>
      <c r="S685" s="30" t="n"/>
      <c r="T685" s="30" t="n"/>
      <c r="U685" s="30" t="n"/>
      <c r="V685" s="30" t="n"/>
      <c r="W685" s="29">
        <f>IF(H685="","",IF(H685="Kenya","Yes","No"))</f>
        <v/>
      </c>
      <c r="X685" s="29">
        <f>IF(B685="","",IF(COUNTIF($B$5:$B$3004,B685)&gt;1,"DUPLICATE","OK"))</f>
        <v/>
      </c>
      <c r="Y685" s="29">
        <f>IF(OR(U685="",V685="",V685="Excluded"),"",IF(COUNTIFS($U$5:$U$3004,U685,$V$5:$V$3004,"&lt;&gt;"&amp;V685,$V$5:$V$3004,"&lt;&gt;",$V$5:$V$3004,"&lt;&gt;Excluded")&gt;0,"LEAK RISK","OK"))</f>
        <v/>
      </c>
      <c r="Z685" s="30" t="n"/>
    </row>
    <row r="686">
      <c r="A686" s="30" t="n"/>
      <c r="B686" s="30" t="n"/>
      <c r="C686" s="30" t="n"/>
      <c r="D686" s="30" t="n"/>
      <c r="E686" s="30" t="n"/>
      <c r="F686" s="30" t="n"/>
      <c r="G686" s="30" t="n"/>
      <c r="H686" s="30" t="n"/>
      <c r="I686" s="31" t="n"/>
      <c r="J686" s="30" t="n"/>
      <c r="K686" s="30" t="n"/>
      <c r="L686" s="30" t="n"/>
      <c r="M686" s="30" t="n"/>
      <c r="N686" s="32" t="n"/>
      <c r="O686" s="30" t="n"/>
      <c r="P686" s="32" t="n"/>
      <c r="Q686" s="30" t="n"/>
      <c r="R686" s="32" t="n"/>
      <c r="S686" s="30" t="n"/>
      <c r="T686" s="30" t="n"/>
      <c r="U686" s="30" t="n"/>
      <c r="V686" s="30" t="n"/>
      <c r="W686" s="29">
        <f>IF(H686="","",IF(H686="Kenya","Yes","No"))</f>
        <v/>
      </c>
      <c r="X686" s="29">
        <f>IF(B686="","",IF(COUNTIF($B$5:$B$3004,B686)&gt;1,"DUPLICATE","OK"))</f>
        <v/>
      </c>
      <c r="Y686" s="29">
        <f>IF(OR(U686="",V686="",V686="Excluded"),"",IF(COUNTIFS($U$5:$U$3004,U686,$V$5:$V$3004,"&lt;&gt;"&amp;V686,$V$5:$V$3004,"&lt;&gt;",$V$5:$V$3004,"&lt;&gt;Excluded")&gt;0,"LEAK RISK","OK"))</f>
        <v/>
      </c>
      <c r="Z686" s="30" t="n"/>
    </row>
    <row r="687">
      <c r="A687" s="30" t="n"/>
      <c r="B687" s="30" t="n"/>
      <c r="C687" s="30" t="n"/>
      <c r="D687" s="30" t="n"/>
      <c r="E687" s="30" t="n"/>
      <c r="F687" s="30" t="n"/>
      <c r="G687" s="30" t="n"/>
      <c r="H687" s="30" t="n"/>
      <c r="I687" s="31" t="n"/>
      <c r="J687" s="30" t="n"/>
      <c r="K687" s="30" t="n"/>
      <c r="L687" s="30" t="n"/>
      <c r="M687" s="30" t="n"/>
      <c r="N687" s="32" t="n"/>
      <c r="O687" s="30" t="n"/>
      <c r="P687" s="32" t="n"/>
      <c r="Q687" s="30" t="n"/>
      <c r="R687" s="32" t="n"/>
      <c r="S687" s="30" t="n"/>
      <c r="T687" s="30" t="n"/>
      <c r="U687" s="30" t="n"/>
      <c r="V687" s="30" t="n"/>
      <c r="W687" s="29">
        <f>IF(H687="","",IF(H687="Kenya","Yes","No"))</f>
        <v/>
      </c>
      <c r="X687" s="29">
        <f>IF(B687="","",IF(COUNTIF($B$5:$B$3004,B687)&gt;1,"DUPLICATE","OK"))</f>
        <v/>
      </c>
      <c r="Y687" s="29">
        <f>IF(OR(U687="",V687="",V687="Excluded"),"",IF(COUNTIFS($U$5:$U$3004,U687,$V$5:$V$3004,"&lt;&gt;"&amp;V687,$V$5:$V$3004,"&lt;&gt;",$V$5:$V$3004,"&lt;&gt;Excluded")&gt;0,"LEAK RISK","OK"))</f>
        <v/>
      </c>
      <c r="Z687" s="30" t="n"/>
    </row>
    <row r="688">
      <c r="A688" s="30" t="n"/>
      <c r="B688" s="30" t="n"/>
      <c r="C688" s="30" t="n"/>
      <c r="D688" s="30" t="n"/>
      <c r="E688" s="30" t="n"/>
      <c r="F688" s="30" t="n"/>
      <c r="G688" s="30" t="n"/>
      <c r="H688" s="30" t="n"/>
      <c r="I688" s="31" t="n"/>
      <c r="J688" s="30" t="n"/>
      <c r="K688" s="30" t="n"/>
      <c r="L688" s="30" t="n"/>
      <c r="M688" s="30" t="n"/>
      <c r="N688" s="32" t="n"/>
      <c r="O688" s="30" t="n"/>
      <c r="P688" s="32" t="n"/>
      <c r="Q688" s="30" t="n"/>
      <c r="R688" s="32" t="n"/>
      <c r="S688" s="30" t="n"/>
      <c r="T688" s="30" t="n"/>
      <c r="U688" s="30" t="n"/>
      <c r="V688" s="30" t="n"/>
      <c r="W688" s="29">
        <f>IF(H688="","",IF(H688="Kenya","Yes","No"))</f>
        <v/>
      </c>
      <c r="X688" s="29">
        <f>IF(B688="","",IF(COUNTIF($B$5:$B$3004,B688)&gt;1,"DUPLICATE","OK"))</f>
        <v/>
      </c>
      <c r="Y688" s="29">
        <f>IF(OR(U688="",V688="",V688="Excluded"),"",IF(COUNTIFS($U$5:$U$3004,U688,$V$5:$V$3004,"&lt;&gt;"&amp;V688,$V$5:$V$3004,"&lt;&gt;",$V$5:$V$3004,"&lt;&gt;Excluded")&gt;0,"LEAK RISK","OK"))</f>
        <v/>
      </c>
      <c r="Z688" s="30" t="n"/>
    </row>
    <row r="689">
      <c r="A689" s="30" t="n"/>
      <c r="B689" s="30" t="n"/>
      <c r="C689" s="30" t="n"/>
      <c r="D689" s="30" t="n"/>
      <c r="E689" s="30" t="n"/>
      <c r="F689" s="30" t="n"/>
      <c r="G689" s="30" t="n"/>
      <c r="H689" s="30" t="n"/>
      <c r="I689" s="31" t="n"/>
      <c r="J689" s="30" t="n"/>
      <c r="K689" s="30" t="n"/>
      <c r="L689" s="30" t="n"/>
      <c r="M689" s="30" t="n"/>
      <c r="N689" s="32" t="n"/>
      <c r="O689" s="30" t="n"/>
      <c r="P689" s="32" t="n"/>
      <c r="Q689" s="30" t="n"/>
      <c r="R689" s="32" t="n"/>
      <c r="S689" s="30" t="n"/>
      <c r="T689" s="30" t="n"/>
      <c r="U689" s="30" t="n"/>
      <c r="V689" s="30" t="n"/>
      <c r="W689" s="29">
        <f>IF(H689="","",IF(H689="Kenya","Yes","No"))</f>
        <v/>
      </c>
      <c r="X689" s="29">
        <f>IF(B689="","",IF(COUNTIF($B$5:$B$3004,B689)&gt;1,"DUPLICATE","OK"))</f>
        <v/>
      </c>
      <c r="Y689" s="29">
        <f>IF(OR(U689="",V689="",V689="Excluded"),"",IF(COUNTIFS($U$5:$U$3004,U689,$V$5:$V$3004,"&lt;&gt;"&amp;V689,$V$5:$V$3004,"&lt;&gt;",$V$5:$V$3004,"&lt;&gt;Excluded")&gt;0,"LEAK RISK","OK"))</f>
        <v/>
      </c>
      <c r="Z689" s="30" t="n"/>
    </row>
    <row r="690">
      <c r="A690" s="30" t="n"/>
      <c r="B690" s="30" t="n"/>
      <c r="C690" s="30" t="n"/>
      <c r="D690" s="30" t="n"/>
      <c r="E690" s="30" t="n"/>
      <c r="F690" s="30" t="n"/>
      <c r="G690" s="30" t="n"/>
      <c r="H690" s="30" t="n"/>
      <c r="I690" s="31" t="n"/>
      <c r="J690" s="30" t="n"/>
      <c r="K690" s="30" t="n"/>
      <c r="L690" s="30" t="n"/>
      <c r="M690" s="30" t="n"/>
      <c r="N690" s="32" t="n"/>
      <c r="O690" s="30" t="n"/>
      <c r="P690" s="32" t="n"/>
      <c r="Q690" s="30" t="n"/>
      <c r="R690" s="32" t="n"/>
      <c r="S690" s="30" t="n"/>
      <c r="T690" s="30" t="n"/>
      <c r="U690" s="30" t="n"/>
      <c r="V690" s="30" t="n"/>
      <c r="W690" s="29">
        <f>IF(H690="","",IF(H690="Kenya","Yes","No"))</f>
        <v/>
      </c>
      <c r="X690" s="29">
        <f>IF(B690="","",IF(COUNTIF($B$5:$B$3004,B690)&gt;1,"DUPLICATE","OK"))</f>
        <v/>
      </c>
      <c r="Y690" s="29">
        <f>IF(OR(U690="",V690="",V690="Excluded"),"",IF(COUNTIFS($U$5:$U$3004,U690,$V$5:$V$3004,"&lt;&gt;"&amp;V690,$V$5:$V$3004,"&lt;&gt;",$V$5:$V$3004,"&lt;&gt;Excluded")&gt;0,"LEAK RISK","OK"))</f>
        <v/>
      </c>
      <c r="Z690" s="30" t="n"/>
    </row>
    <row r="691">
      <c r="A691" s="30" t="n"/>
      <c r="B691" s="30" t="n"/>
      <c r="C691" s="30" t="n"/>
      <c r="D691" s="30" t="n"/>
      <c r="E691" s="30" t="n"/>
      <c r="F691" s="30" t="n"/>
      <c r="G691" s="30" t="n"/>
      <c r="H691" s="30" t="n"/>
      <c r="I691" s="31" t="n"/>
      <c r="J691" s="30" t="n"/>
      <c r="K691" s="30" t="n"/>
      <c r="L691" s="30" t="n"/>
      <c r="M691" s="30" t="n"/>
      <c r="N691" s="32" t="n"/>
      <c r="O691" s="30" t="n"/>
      <c r="P691" s="32" t="n"/>
      <c r="Q691" s="30" t="n"/>
      <c r="R691" s="32" t="n"/>
      <c r="S691" s="30" t="n"/>
      <c r="T691" s="30" t="n"/>
      <c r="U691" s="30" t="n"/>
      <c r="V691" s="30" t="n"/>
      <c r="W691" s="29">
        <f>IF(H691="","",IF(H691="Kenya","Yes","No"))</f>
        <v/>
      </c>
      <c r="X691" s="29">
        <f>IF(B691="","",IF(COUNTIF($B$5:$B$3004,B691)&gt;1,"DUPLICATE","OK"))</f>
        <v/>
      </c>
      <c r="Y691" s="29">
        <f>IF(OR(U691="",V691="",V691="Excluded"),"",IF(COUNTIFS($U$5:$U$3004,U691,$V$5:$V$3004,"&lt;&gt;"&amp;V691,$V$5:$V$3004,"&lt;&gt;",$V$5:$V$3004,"&lt;&gt;Excluded")&gt;0,"LEAK RISK","OK"))</f>
        <v/>
      </c>
      <c r="Z691" s="30" t="n"/>
    </row>
    <row r="692">
      <c r="A692" s="30" t="n"/>
      <c r="B692" s="30" t="n"/>
      <c r="C692" s="30" t="n"/>
      <c r="D692" s="30" t="n"/>
      <c r="E692" s="30" t="n"/>
      <c r="F692" s="30" t="n"/>
      <c r="G692" s="30" t="n"/>
      <c r="H692" s="30" t="n"/>
      <c r="I692" s="31" t="n"/>
      <c r="J692" s="30" t="n"/>
      <c r="K692" s="30" t="n"/>
      <c r="L692" s="30" t="n"/>
      <c r="M692" s="30" t="n"/>
      <c r="N692" s="32" t="n"/>
      <c r="O692" s="30" t="n"/>
      <c r="P692" s="32" t="n"/>
      <c r="Q692" s="30" t="n"/>
      <c r="R692" s="32" t="n"/>
      <c r="S692" s="30" t="n"/>
      <c r="T692" s="30" t="n"/>
      <c r="U692" s="30" t="n"/>
      <c r="V692" s="30" t="n"/>
      <c r="W692" s="29">
        <f>IF(H692="","",IF(H692="Kenya","Yes","No"))</f>
        <v/>
      </c>
      <c r="X692" s="29">
        <f>IF(B692="","",IF(COUNTIF($B$5:$B$3004,B692)&gt;1,"DUPLICATE","OK"))</f>
        <v/>
      </c>
      <c r="Y692" s="29">
        <f>IF(OR(U692="",V692="",V692="Excluded"),"",IF(COUNTIFS($U$5:$U$3004,U692,$V$5:$V$3004,"&lt;&gt;"&amp;V692,$V$5:$V$3004,"&lt;&gt;",$V$5:$V$3004,"&lt;&gt;Excluded")&gt;0,"LEAK RISK","OK"))</f>
        <v/>
      </c>
      <c r="Z692" s="30" t="n"/>
    </row>
    <row r="693">
      <c r="A693" s="30" t="n"/>
      <c r="B693" s="30" t="n"/>
      <c r="C693" s="30" t="n"/>
      <c r="D693" s="30" t="n"/>
      <c r="E693" s="30" t="n"/>
      <c r="F693" s="30" t="n"/>
      <c r="G693" s="30" t="n"/>
      <c r="H693" s="30" t="n"/>
      <c r="I693" s="31" t="n"/>
      <c r="J693" s="30" t="n"/>
      <c r="K693" s="30" t="n"/>
      <c r="L693" s="30" t="n"/>
      <c r="M693" s="30" t="n"/>
      <c r="N693" s="32" t="n"/>
      <c r="O693" s="30" t="n"/>
      <c r="P693" s="32" t="n"/>
      <c r="Q693" s="30" t="n"/>
      <c r="R693" s="32" t="n"/>
      <c r="S693" s="30" t="n"/>
      <c r="T693" s="30" t="n"/>
      <c r="U693" s="30" t="n"/>
      <c r="V693" s="30" t="n"/>
      <c r="W693" s="29">
        <f>IF(H693="","",IF(H693="Kenya","Yes","No"))</f>
        <v/>
      </c>
      <c r="X693" s="29">
        <f>IF(B693="","",IF(COUNTIF($B$5:$B$3004,B693)&gt;1,"DUPLICATE","OK"))</f>
        <v/>
      </c>
      <c r="Y693" s="29">
        <f>IF(OR(U693="",V693="",V693="Excluded"),"",IF(COUNTIFS($U$5:$U$3004,U693,$V$5:$V$3004,"&lt;&gt;"&amp;V693,$V$5:$V$3004,"&lt;&gt;",$V$5:$V$3004,"&lt;&gt;Excluded")&gt;0,"LEAK RISK","OK"))</f>
        <v/>
      </c>
      <c r="Z693" s="30" t="n"/>
    </row>
    <row r="694">
      <c r="A694" s="30" t="n"/>
      <c r="B694" s="30" t="n"/>
      <c r="C694" s="30" t="n"/>
      <c r="D694" s="30" t="n"/>
      <c r="E694" s="30" t="n"/>
      <c r="F694" s="30" t="n"/>
      <c r="G694" s="30" t="n"/>
      <c r="H694" s="30" t="n"/>
      <c r="I694" s="31" t="n"/>
      <c r="J694" s="30" t="n"/>
      <c r="K694" s="30" t="n"/>
      <c r="L694" s="30" t="n"/>
      <c r="M694" s="30" t="n"/>
      <c r="N694" s="32" t="n"/>
      <c r="O694" s="30" t="n"/>
      <c r="P694" s="32" t="n"/>
      <c r="Q694" s="30" t="n"/>
      <c r="R694" s="32" t="n"/>
      <c r="S694" s="30" t="n"/>
      <c r="T694" s="30" t="n"/>
      <c r="U694" s="30" t="n"/>
      <c r="V694" s="30" t="n"/>
      <c r="W694" s="29">
        <f>IF(H694="","",IF(H694="Kenya","Yes","No"))</f>
        <v/>
      </c>
      <c r="X694" s="29">
        <f>IF(B694="","",IF(COUNTIF($B$5:$B$3004,B694)&gt;1,"DUPLICATE","OK"))</f>
        <v/>
      </c>
      <c r="Y694" s="29">
        <f>IF(OR(U694="",V694="",V694="Excluded"),"",IF(COUNTIFS($U$5:$U$3004,U694,$V$5:$V$3004,"&lt;&gt;"&amp;V694,$V$5:$V$3004,"&lt;&gt;",$V$5:$V$3004,"&lt;&gt;Excluded")&gt;0,"LEAK RISK","OK"))</f>
        <v/>
      </c>
      <c r="Z694" s="30" t="n"/>
    </row>
    <row r="695">
      <c r="A695" s="30" t="n"/>
      <c r="B695" s="30" t="n"/>
      <c r="C695" s="30" t="n"/>
      <c r="D695" s="30" t="n"/>
      <c r="E695" s="30" t="n"/>
      <c r="F695" s="30" t="n"/>
      <c r="G695" s="30" t="n"/>
      <c r="H695" s="30" t="n"/>
      <c r="I695" s="31" t="n"/>
      <c r="J695" s="30" t="n"/>
      <c r="K695" s="30" t="n"/>
      <c r="L695" s="30" t="n"/>
      <c r="M695" s="30" t="n"/>
      <c r="N695" s="32" t="n"/>
      <c r="O695" s="30" t="n"/>
      <c r="P695" s="32" t="n"/>
      <c r="Q695" s="30" t="n"/>
      <c r="R695" s="32" t="n"/>
      <c r="S695" s="30" t="n"/>
      <c r="T695" s="30" t="n"/>
      <c r="U695" s="30" t="n"/>
      <c r="V695" s="30" t="n"/>
      <c r="W695" s="29">
        <f>IF(H695="","",IF(H695="Kenya","Yes","No"))</f>
        <v/>
      </c>
      <c r="X695" s="29">
        <f>IF(B695="","",IF(COUNTIF($B$5:$B$3004,B695)&gt;1,"DUPLICATE","OK"))</f>
        <v/>
      </c>
      <c r="Y695" s="29">
        <f>IF(OR(U695="",V695="",V695="Excluded"),"",IF(COUNTIFS($U$5:$U$3004,U695,$V$5:$V$3004,"&lt;&gt;"&amp;V695,$V$5:$V$3004,"&lt;&gt;",$V$5:$V$3004,"&lt;&gt;Excluded")&gt;0,"LEAK RISK","OK"))</f>
        <v/>
      </c>
      <c r="Z695" s="30" t="n"/>
    </row>
    <row r="696">
      <c r="A696" s="30" t="n"/>
      <c r="B696" s="30" t="n"/>
      <c r="C696" s="30" t="n"/>
      <c r="D696" s="30" t="n"/>
      <c r="E696" s="30" t="n"/>
      <c r="F696" s="30" t="n"/>
      <c r="G696" s="30" t="n"/>
      <c r="H696" s="30" t="n"/>
      <c r="I696" s="31" t="n"/>
      <c r="J696" s="30" t="n"/>
      <c r="K696" s="30" t="n"/>
      <c r="L696" s="30" t="n"/>
      <c r="M696" s="30" t="n"/>
      <c r="N696" s="32" t="n"/>
      <c r="O696" s="30" t="n"/>
      <c r="P696" s="32" t="n"/>
      <c r="Q696" s="30" t="n"/>
      <c r="R696" s="32" t="n"/>
      <c r="S696" s="30" t="n"/>
      <c r="T696" s="30" t="n"/>
      <c r="U696" s="30" t="n"/>
      <c r="V696" s="30" t="n"/>
      <c r="W696" s="29">
        <f>IF(H696="","",IF(H696="Kenya","Yes","No"))</f>
        <v/>
      </c>
      <c r="X696" s="29">
        <f>IF(B696="","",IF(COUNTIF($B$5:$B$3004,B696)&gt;1,"DUPLICATE","OK"))</f>
        <v/>
      </c>
      <c r="Y696" s="29">
        <f>IF(OR(U696="",V696="",V696="Excluded"),"",IF(COUNTIFS($U$5:$U$3004,U696,$V$5:$V$3004,"&lt;&gt;"&amp;V696,$V$5:$V$3004,"&lt;&gt;",$V$5:$V$3004,"&lt;&gt;Excluded")&gt;0,"LEAK RISK","OK"))</f>
        <v/>
      </c>
      <c r="Z696" s="30" t="n"/>
    </row>
    <row r="697">
      <c r="A697" s="30" t="n"/>
      <c r="B697" s="30" t="n"/>
      <c r="C697" s="30" t="n"/>
      <c r="D697" s="30" t="n"/>
      <c r="E697" s="30" t="n"/>
      <c r="F697" s="30" t="n"/>
      <c r="G697" s="30" t="n"/>
      <c r="H697" s="30" t="n"/>
      <c r="I697" s="31" t="n"/>
      <c r="J697" s="30" t="n"/>
      <c r="K697" s="30" t="n"/>
      <c r="L697" s="30" t="n"/>
      <c r="M697" s="30" t="n"/>
      <c r="N697" s="32" t="n"/>
      <c r="O697" s="30" t="n"/>
      <c r="P697" s="32" t="n"/>
      <c r="Q697" s="30" t="n"/>
      <c r="R697" s="32" t="n"/>
      <c r="S697" s="30" t="n"/>
      <c r="T697" s="30" t="n"/>
      <c r="U697" s="30" t="n"/>
      <c r="V697" s="30" t="n"/>
      <c r="W697" s="29">
        <f>IF(H697="","",IF(H697="Kenya","Yes","No"))</f>
        <v/>
      </c>
      <c r="X697" s="29">
        <f>IF(B697="","",IF(COUNTIF($B$5:$B$3004,B697)&gt;1,"DUPLICATE","OK"))</f>
        <v/>
      </c>
      <c r="Y697" s="29">
        <f>IF(OR(U697="",V697="",V697="Excluded"),"",IF(COUNTIFS($U$5:$U$3004,U697,$V$5:$V$3004,"&lt;&gt;"&amp;V697,$V$5:$V$3004,"&lt;&gt;",$V$5:$V$3004,"&lt;&gt;Excluded")&gt;0,"LEAK RISK","OK"))</f>
        <v/>
      </c>
      <c r="Z697" s="30" t="n"/>
    </row>
    <row r="698">
      <c r="A698" s="30" t="n"/>
      <c r="B698" s="30" t="n"/>
      <c r="C698" s="30" t="n"/>
      <c r="D698" s="30" t="n"/>
      <c r="E698" s="30" t="n"/>
      <c r="F698" s="30" t="n"/>
      <c r="G698" s="30" t="n"/>
      <c r="H698" s="30" t="n"/>
      <c r="I698" s="31" t="n"/>
      <c r="J698" s="30" t="n"/>
      <c r="K698" s="30" t="n"/>
      <c r="L698" s="30" t="n"/>
      <c r="M698" s="30" t="n"/>
      <c r="N698" s="32" t="n"/>
      <c r="O698" s="30" t="n"/>
      <c r="P698" s="32" t="n"/>
      <c r="Q698" s="30" t="n"/>
      <c r="R698" s="32" t="n"/>
      <c r="S698" s="30" t="n"/>
      <c r="T698" s="30" t="n"/>
      <c r="U698" s="30" t="n"/>
      <c r="V698" s="30" t="n"/>
      <c r="W698" s="29">
        <f>IF(H698="","",IF(H698="Kenya","Yes","No"))</f>
        <v/>
      </c>
      <c r="X698" s="29">
        <f>IF(B698="","",IF(COUNTIF($B$5:$B$3004,B698)&gt;1,"DUPLICATE","OK"))</f>
        <v/>
      </c>
      <c r="Y698" s="29">
        <f>IF(OR(U698="",V698="",V698="Excluded"),"",IF(COUNTIFS($U$5:$U$3004,U698,$V$5:$V$3004,"&lt;&gt;"&amp;V698,$V$5:$V$3004,"&lt;&gt;",$V$5:$V$3004,"&lt;&gt;Excluded")&gt;0,"LEAK RISK","OK"))</f>
        <v/>
      </c>
      <c r="Z698" s="30" t="n"/>
    </row>
    <row r="699">
      <c r="A699" s="30" t="n"/>
      <c r="B699" s="30" t="n"/>
      <c r="C699" s="30" t="n"/>
      <c r="D699" s="30" t="n"/>
      <c r="E699" s="30" t="n"/>
      <c r="F699" s="30" t="n"/>
      <c r="G699" s="30" t="n"/>
      <c r="H699" s="30" t="n"/>
      <c r="I699" s="31" t="n"/>
      <c r="J699" s="30" t="n"/>
      <c r="K699" s="30" t="n"/>
      <c r="L699" s="30" t="n"/>
      <c r="M699" s="30" t="n"/>
      <c r="N699" s="32" t="n"/>
      <c r="O699" s="30" t="n"/>
      <c r="P699" s="32" t="n"/>
      <c r="Q699" s="30" t="n"/>
      <c r="R699" s="32" t="n"/>
      <c r="S699" s="30" t="n"/>
      <c r="T699" s="30" t="n"/>
      <c r="U699" s="30" t="n"/>
      <c r="V699" s="30" t="n"/>
      <c r="W699" s="29">
        <f>IF(H699="","",IF(H699="Kenya","Yes","No"))</f>
        <v/>
      </c>
      <c r="X699" s="29">
        <f>IF(B699="","",IF(COUNTIF($B$5:$B$3004,B699)&gt;1,"DUPLICATE","OK"))</f>
        <v/>
      </c>
      <c r="Y699" s="29">
        <f>IF(OR(U699="",V699="",V699="Excluded"),"",IF(COUNTIFS($U$5:$U$3004,U699,$V$5:$V$3004,"&lt;&gt;"&amp;V699,$V$5:$V$3004,"&lt;&gt;",$V$5:$V$3004,"&lt;&gt;Excluded")&gt;0,"LEAK RISK","OK"))</f>
        <v/>
      </c>
      <c r="Z699" s="30" t="n"/>
    </row>
    <row r="700">
      <c r="A700" s="30" t="n"/>
      <c r="B700" s="30" t="n"/>
      <c r="C700" s="30" t="n"/>
      <c r="D700" s="30" t="n"/>
      <c r="E700" s="30" t="n"/>
      <c r="F700" s="30" t="n"/>
      <c r="G700" s="30" t="n"/>
      <c r="H700" s="30" t="n"/>
      <c r="I700" s="31" t="n"/>
      <c r="J700" s="30" t="n"/>
      <c r="K700" s="30" t="n"/>
      <c r="L700" s="30" t="n"/>
      <c r="M700" s="30" t="n"/>
      <c r="N700" s="32" t="n"/>
      <c r="O700" s="30" t="n"/>
      <c r="P700" s="32" t="n"/>
      <c r="Q700" s="30" t="n"/>
      <c r="R700" s="32" t="n"/>
      <c r="S700" s="30" t="n"/>
      <c r="T700" s="30" t="n"/>
      <c r="U700" s="30" t="n"/>
      <c r="V700" s="30" t="n"/>
      <c r="W700" s="29">
        <f>IF(H700="","",IF(H700="Kenya","Yes","No"))</f>
        <v/>
      </c>
      <c r="X700" s="29">
        <f>IF(B700="","",IF(COUNTIF($B$5:$B$3004,B700)&gt;1,"DUPLICATE","OK"))</f>
        <v/>
      </c>
      <c r="Y700" s="29">
        <f>IF(OR(U700="",V700="",V700="Excluded"),"",IF(COUNTIFS($U$5:$U$3004,U700,$V$5:$V$3004,"&lt;&gt;"&amp;V700,$V$5:$V$3004,"&lt;&gt;",$V$5:$V$3004,"&lt;&gt;Excluded")&gt;0,"LEAK RISK","OK"))</f>
        <v/>
      </c>
      <c r="Z700" s="30" t="n"/>
    </row>
    <row r="701">
      <c r="A701" s="30" t="n"/>
      <c r="B701" s="30" t="n"/>
      <c r="C701" s="30" t="n"/>
      <c r="D701" s="30" t="n"/>
      <c r="E701" s="30" t="n"/>
      <c r="F701" s="30" t="n"/>
      <c r="G701" s="30" t="n"/>
      <c r="H701" s="30" t="n"/>
      <c r="I701" s="31" t="n"/>
      <c r="J701" s="30" t="n"/>
      <c r="K701" s="30" t="n"/>
      <c r="L701" s="30" t="n"/>
      <c r="M701" s="30" t="n"/>
      <c r="N701" s="32" t="n"/>
      <c r="O701" s="30" t="n"/>
      <c r="P701" s="32" t="n"/>
      <c r="Q701" s="30" t="n"/>
      <c r="R701" s="32" t="n"/>
      <c r="S701" s="30" t="n"/>
      <c r="T701" s="30" t="n"/>
      <c r="U701" s="30" t="n"/>
      <c r="V701" s="30" t="n"/>
      <c r="W701" s="29">
        <f>IF(H701="","",IF(H701="Kenya","Yes","No"))</f>
        <v/>
      </c>
      <c r="X701" s="29">
        <f>IF(B701="","",IF(COUNTIF($B$5:$B$3004,B701)&gt;1,"DUPLICATE","OK"))</f>
        <v/>
      </c>
      <c r="Y701" s="29">
        <f>IF(OR(U701="",V701="",V701="Excluded"),"",IF(COUNTIFS($U$5:$U$3004,U701,$V$5:$V$3004,"&lt;&gt;"&amp;V701,$V$5:$V$3004,"&lt;&gt;",$V$5:$V$3004,"&lt;&gt;Excluded")&gt;0,"LEAK RISK","OK"))</f>
        <v/>
      </c>
      <c r="Z701" s="30" t="n"/>
    </row>
    <row r="702">
      <c r="A702" s="30" t="n"/>
      <c r="B702" s="30" t="n"/>
      <c r="C702" s="30" t="n"/>
      <c r="D702" s="30" t="n"/>
      <c r="E702" s="30" t="n"/>
      <c r="F702" s="30" t="n"/>
      <c r="G702" s="30" t="n"/>
      <c r="H702" s="30" t="n"/>
      <c r="I702" s="31" t="n"/>
      <c r="J702" s="30" t="n"/>
      <c r="K702" s="30" t="n"/>
      <c r="L702" s="30" t="n"/>
      <c r="M702" s="30" t="n"/>
      <c r="N702" s="32" t="n"/>
      <c r="O702" s="30" t="n"/>
      <c r="P702" s="32" t="n"/>
      <c r="Q702" s="30" t="n"/>
      <c r="R702" s="32" t="n"/>
      <c r="S702" s="30" t="n"/>
      <c r="T702" s="30" t="n"/>
      <c r="U702" s="30" t="n"/>
      <c r="V702" s="30" t="n"/>
      <c r="W702" s="29">
        <f>IF(H702="","",IF(H702="Kenya","Yes","No"))</f>
        <v/>
      </c>
      <c r="X702" s="29">
        <f>IF(B702="","",IF(COUNTIF($B$5:$B$3004,B702)&gt;1,"DUPLICATE","OK"))</f>
        <v/>
      </c>
      <c r="Y702" s="29">
        <f>IF(OR(U702="",V702="",V702="Excluded"),"",IF(COUNTIFS($U$5:$U$3004,U702,$V$5:$V$3004,"&lt;&gt;"&amp;V702,$V$5:$V$3004,"&lt;&gt;",$V$5:$V$3004,"&lt;&gt;Excluded")&gt;0,"LEAK RISK","OK"))</f>
        <v/>
      </c>
      <c r="Z702" s="30" t="n"/>
    </row>
    <row r="703">
      <c r="A703" s="30" t="n"/>
      <c r="B703" s="30" t="n"/>
      <c r="C703" s="30" t="n"/>
      <c r="D703" s="30" t="n"/>
      <c r="E703" s="30" t="n"/>
      <c r="F703" s="30" t="n"/>
      <c r="G703" s="30" t="n"/>
      <c r="H703" s="30" t="n"/>
      <c r="I703" s="31" t="n"/>
      <c r="J703" s="30" t="n"/>
      <c r="K703" s="30" t="n"/>
      <c r="L703" s="30" t="n"/>
      <c r="M703" s="30" t="n"/>
      <c r="N703" s="32" t="n"/>
      <c r="O703" s="30" t="n"/>
      <c r="P703" s="32" t="n"/>
      <c r="Q703" s="30" t="n"/>
      <c r="R703" s="32" t="n"/>
      <c r="S703" s="30" t="n"/>
      <c r="T703" s="30" t="n"/>
      <c r="U703" s="30" t="n"/>
      <c r="V703" s="30" t="n"/>
      <c r="W703" s="29">
        <f>IF(H703="","",IF(H703="Kenya","Yes","No"))</f>
        <v/>
      </c>
      <c r="X703" s="29">
        <f>IF(B703="","",IF(COUNTIF($B$5:$B$3004,B703)&gt;1,"DUPLICATE","OK"))</f>
        <v/>
      </c>
      <c r="Y703" s="29">
        <f>IF(OR(U703="",V703="",V703="Excluded"),"",IF(COUNTIFS($U$5:$U$3004,U703,$V$5:$V$3004,"&lt;&gt;"&amp;V703,$V$5:$V$3004,"&lt;&gt;",$V$5:$V$3004,"&lt;&gt;Excluded")&gt;0,"LEAK RISK","OK"))</f>
        <v/>
      </c>
      <c r="Z703" s="30" t="n"/>
    </row>
    <row r="704">
      <c r="A704" s="30" t="n"/>
      <c r="B704" s="30" t="n"/>
      <c r="C704" s="30" t="n"/>
      <c r="D704" s="30" t="n"/>
      <c r="E704" s="30" t="n"/>
      <c r="F704" s="30" t="n"/>
      <c r="G704" s="30" t="n"/>
      <c r="H704" s="30" t="n"/>
      <c r="I704" s="31" t="n"/>
      <c r="J704" s="30" t="n"/>
      <c r="K704" s="30" t="n"/>
      <c r="L704" s="30" t="n"/>
      <c r="M704" s="30" t="n"/>
      <c r="N704" s="32" t="n"/>
      <c r="O704" s="30" t="n"/>
      <c r="P704" s="32" t="n"/>
      <c r="Q704" s="30" t="n"/>
      <c r="R704" s="32" t="n"/>
      <c r="S704" s="30" t="n"/>
      <c r="T704" s="30" t="n"/>
      <c r="U704" s="30" t="n"/>
      <c r="V704" s="30" t="n"/>
      <c r="W704" s="29">
        <f>IF(H704="","",IF(H704="Kenya","Yes","No"))</f>
        <v/>
      </c>
      <c r="X704" s="29">
        <f>IF(B704="","",IF(COUNTIF($B$5:$B$3004,B704)&gt;1,"DUPLICATE","OK"))</f>
        <v/>
      </c>
      <c r="Y704" s="29">
        <f>IF(OR(U704="",V704="",V704="Excluded"),"",IF(COUNTIFS($U$5:$U$3004,U704,$V$5:$V$3004,"&lt;&gt;"&amp;V704,$V$5:$V$3004,"&lt;&gt;",$V$5:$V$3004,"&lt;&gt;Excluded")&gt;0,"LEAK RISK","OK"))</f>
        <v/>
      </c>
      <c r="Z704" s="30" t="n"/>
    </row>
    <row r="705">
      <c r="A705" s="30" t="n"/>
      <c r="B705" s="30" t="n"/>
      <c r="C705" s="30" t="n"/>
      <c r="D705" s="30" t="n"/>
      <c r="E705" s="30" t="n"/>
      <c r="F705" s="30" t="n"/>
      <c r="G705" s="30" t="n"/>
      <c r="H705" s="30" t="n"/>
      <c r="I705" s="31" t="n"/>
      <c r="J705" s="30" t="n"/>
      <c r="K705" s="30" t="n"/>
      <c r="L705" s="30" t="n"/>
      <c r="M705" s="30" t="n"/>
      <c r="N705" s="32" t="n"/>
      <c r="O705" s="30" t="n"/>
      <c r="P705" s="32" t="n"/>
      <c r="Q705" s="30" t="n"/>
      <c r="R705" s="32" t="n"/>
      <c r="S705" s="30" t="n"/>
      <c r="T705" s="30" t="n"/>
      <c r="U705" s="30" t="n"/>
      <c r="V705" s="30" t="n"/>
      <c r="W705" s="29">
        <f>IF(H705="","",IF(H705="Kenya","Yes","No"))</f>
        <v/>
      </c>
      <c r="X705" s="29">
        <f>IF(B705="","",IF(COUNTIF($B$5:$B$3004,B705)&gt;1,"DUPLICATE","OK"))</f>
        <v/>
      </c>
      <c r="Y705" s="29">
        <f>IF(OR(U705="",V705="",V705="Excluded"),"",IF(COUNTIFS($U$5:$U$3004,U705,$V$5:$V$3004,"&lt;&gt;"&amp;V705,$V$5:$V$3004,"&lt;&gt;",$V$5:$V$3004,"&lt;&gt;Excluded")&gt;0,"LEAK RISK","OK"))</f>
        <v/>
      </c>
      <c r="Z705" s="30" t="n"/>
    </row>
    <row r="706">
      <c r="A706" s="30" t="n"/>
      <c r="B706" s="30" t="n"/>
      <c r="C706" s="30" t="n"/>
      <c r="D706" s="30" t="n"/>
      <c r="E706" s="30" t="n"/>
      <c r="F706" s="30" t="n"/>
      <c r="G706" s="30" t="n"/>
      <c r="H706" s="30" t="n"/>
      <c r="I706" s="31" t="n"/>
      <c r="J706" s="30" t="n"/>
      <c r="K706" s="30" t="n"/>
      <c r="L706" s="30" t="n"/>
      <c r="M706" s="30" t="n"/>
      <c r="N706" s="32" t="n"/>
      <c r="O706" s="30" t="n"/>
      <c r="P706" s="32" t="n"/>
      <c r="Q706" s="30" t="n"/>
      <c r="R706" s="32" t="n"/>
      <c r="S706" s="30" t="n"/>
      <c r="T706" s="30" t="n"/>
      <c r="U706" s="30" t="n"/>
      <c r="V706" s="30" t="n"/>
      <c r="W706" s="29">
        <f>IF(H706="","",IF(H706="Kenya","Yes","No"))</f>
        <v/>
      </c>
      <c r="X706" s="29">
        <f>IF(B706="","",IF(COUNTIF($B$5:$B$3004,B706)&gt;1,"DUPLICATE","OK"))</f>
        <v/>
      </c>
      <c r="Y706" s="29">
        <f>IF(OR(U706="",V706="",V706="Excluded"),"",IF(COUNTIFS($U$5:$U$3004,U706,$V$5:$V$3004,"&lt;&gt;"&amp;V706,$V$5:$V$3004,"&lt;&gt;",$V$5:$V$3004,"&lt;&gt;Excluded")&gt;0,"LEAK RISK","OK"))</f>
        <v/>
      </c>
      <c r="Z706" s="30" t="n"/>
    </row>
    <row r="707">
      <c r="A707" s="30" t="n"/>
      <c r="B707" s="30" t="n"/>
      <c r="C707" s="30" t="n"/>
      <c r="D707" s="30" t="n"/>
      <c r="E707" s="30" t="n"/>
      <c r="F707" s="30" t="n"/>
      <c r="G707" s="30" t="n"/>
      <c r="H707" s="30" t="n"/>
      <c r="I707" s="31" t="n"/>
      <c r="J707" s="30" t="n"/>
      <c r="K707" s="30" t="n"/>
      <c r="L707" s="30" t="n"/>
      <c r="M707" s="30" t="n"/>
      <c r="N707" s="32" t="n"/>
      <c r="O707" s="30" t="n"/>
      <c r="P707" s="32" t="n"/>
      <c r="Q707" s="30" t="n"/>
      <c r="R707" s="32" t="n"/>
      <c r="S707" s="30" t="n"/>
      <c r="T707" s="30" t="n"/>
      <c r="U707" s="30" t="n"/>
      <c r="V707" s="30" t="n"/>
      <c r="W707" s="29">
        <f>IF(H707="","",IF(H707="Kenya","Yes","No"))</f>
        <v/>
      </c>
      <c r="X707" s="29">
        <f>IF(B707="","",IF(COUNTIF($B$5:$B$3004,B707)&gt;1,"DUPLICATE","OK"))</f>
        <v/>
      </c>
      <c r="Y707" s="29">
        <f>IF(OR(U707="",V707="",V707="Excluded"),"",IF(COUNTIFS($U$5:$U$3004,U707,$V$5:$V$3004,"&lt;&gt;"&amp;V707,$V$5:$V$3004,"&lt;&gt;",$V$5:$V$3004,"&lt;&gt;Excluded")&gt;0,"LEAK RISK","OK"))</f>
        <v/>
      </c>
      <c r="Z707" s="30" t="n"/>
    </row>
    <row r="708">
      <c r="A708" s="30" t="n"/>
      <c r="B708" s="30" t="n"/>
      <c r="C708" s="30" t="n"/>
      <c r="D708" s="30" t="n"/>
      <c r="E708" s="30" t="n"/>
      <c r="F708" s="30" t="n"/>
      <c r="G708" s="30" t="n"/>
      <c r="H708" s="30" t="n"/>
      <c r="I708" s="31" t="n"/>
      <c r="J708" s="30" t="n"/>
      <c r="K708" s="30" t="n"/>
      <c r="L708" s="30" t="n"/>
      <c r="M708" s="30" t="n"/>
      <c r="N708" s="32" t="n"/>
      <c r="O708" s="30" t="n"/>
      <c r="P708" s="32" t="n"/>
      <c r="Q708" s="30" t="n"/>
      <c r="R708" s="32" t="n"/>
      <c r="S708" s="30" t="n"/>
      <c r="T708" s="30" t="n"/>
      <c r="U708" s="30" t="n"/>
      <c r="V708" s="30" t="n"/>
      <c r="W708" s="29">
        <f>IF(H708="","",IF(H708="Kenya","Yes","No"))</f>
        <v/>
      </c>
      <c r="X708" s="29">
        <f>IF(B708="","",IF(COUNTIF($B$5:$B$3004,B708)&gt;1,"DUPLICATE","OK"))</f>
        <v/>
      </c>
      <c r="Y708" s="29">
        <f>IF(OR(U708="",V708="",V708="Excluded"),"",IF(COUNTIFS($U$5:$U$3004,U708,$V$5:$V$3004,"&lt;&gt;"&amp;V708,$V$5:$V$3004,"&lt;&gt;",$V$5:$V$3004,"&lt;&gt;Excluded")&gt;0,"LEAK RISK","OK"))</f>
        <v/>
      </c>
      <c r="Z708" s="30" t="n"/>
    </row>
    <row r="709">
      <c r="A709" s="30" t="n"/>
      <c r="B709" s="30" t="n"/>
      <c r="C709" s="30" t="n"/>
      <c r="D709" s="30" t="n"/>
      <c r="E709" s="30" t="n"/>
      <c r="F709" s="30" t="n"/>
      <c r="G709" s="30" t="n"/>
      <c r="H709" s="30" t="n"/>
      <c r="I709" s="31" t="n"/>
      <c r="J709" s="30" t="n"/>
      <c r="K709" s="30" t="n"/>
      <c r="L709" s="30" t="n"/>
      <c r="M709" s="30" t="n"/>
      <c r="N709" s="32" t="n"/>
      <c r="O709" s="30" t="n"/>
      <c r="P709" s="32" t="n"/>
      <c r="Q709" s="30" t="n"/>
      <c r="R709" s="32" t="n"/>
      <c r="S709" s="30" t="n"/>
      <c r="T709" s="30" t="n"/>
      <c r="U709" s="30" t="n"/>
      <c r="V709" s="30" t="n"/>
      <c r="W709" s="29">
        <f>IF(H709="","",IF(H709="Kenya","Yes","No"))</f>
        <v/>
      </c>
      <c r="X709" s="29">
        <f>IF(B709="","",IF(COUNTIF($B$5:$B$3004,B709)&gt;1,"DUPLICATE","OK"))</f>
        <v/>
      </c>
      <c r="Y709" s="29">
        <f>IF(OR(U709="",V709="",V709="Excluded"),"",IF(COUNTIFS($U$5:$U$3004,U709,$V$5:$V$3004,"&lt;&gt;"&amp;V709,$V$5:$V$3004,"&lt;&gt;",$V$5:$V$3004,"&lt;&gt;Excluded")&gt;0,"LEAK RISK","OK"))</f>
        <v/>
      </c>
      <c r="Z709" s="30" t="n"/>
    </row>
    <row r="710">
      <c r="A710" s="30" t="n"/>
      <c r="B710" s="30" t="n"/>
      <c r="C710" s="30" t="n"/>
      <c r="D710" s="30" t="n"/>
      <c r="E710" s="30" t="n"/>
      <c r="F710" s="30" t="n"/>
      <c r="G710" s="30" t="n"/>
      <c r="H710" s="30" t="n"/>
      <c r="I710" s="31" t="n"/>
      <c r="J710" s="30" t="n"/>
      <c r="K710" s="30" t="n"/>
      <c r="L710" s="30" t="n"/>
      <c r="M710" s="30" t="n"/>
      <c r="N710" s="32" t="n"/>
      <c r="O710" s="30" t="n"/>
      <c r="P710" s="32" t="n"/>
      <c r="Q710" s="30" t="n"/>
      <c r="R710" s="32" t="n"/>
      <c r="S710" s="30" t="n"/>
      <c r="T710" s="30" t="n"/>
      <c r="U710" s="30" t="n"/>
      <c r="V710" s="30" t="n"/>
      <c r="W710" s="29">
        <f>IF(H710="","",IF(H710="Kenya","Yes","No"))</f>
        <v/>
      </c>
      <c r="X710" s="29">
        <f>IF(B710="","",IF(COUNTIF($B$5:$B$3004,B710)&gt;1,"DUPLICATE","OK"))</f>
        <v/>
      </c>
      <c r="Y710" s="29">
        <f>IF(OR(U710="",V710="",V710="Excluded"),"",IF(COUNTIFS($U$5:$U$3004,U710,$V$5:$V$3004,"&lt;&gt;"&amp;V710,$V$5:$V$3004,"&lt;&gt;",$V$5:$V$3004,"&lt;&gt;Excluded")&gt;0,"LEAK RISK","OK"))</f>
        <v/>
      </c>
      <c r="Z710" s="30" t="n"/>
    </row>
    <row r="711">
      <c r="A711" s="30" t="n"/>
      <c r="B711" s="30" t="n"/>
      <c r="C711" s="30" t="n"/>
      <c r="D711" s="30" t="n"/>
      <c r="E711" s="30" t="n"/>
      <c r="F711" s="30" t="n"/>
      <c r="G711" s="30" t="n"/>
      <c r="H711" s="30" t="n"/>
      <c r="I711" s="31" t="n"/>
      <c r="J711" s="30" t="n"/>
      <c r="K711" s="30" t="n"/>
      <c r="L711" s="30" t="n"/>
      <c r="M711" s="30" t="n"/>
      <c r="N711" s="32" t="n"/>
      <c r="O711" s="30" t="n"/>
      <c r="P711" s="32" t="n"/>
      <c r="Q711" s="30" t="n"/>
      <c r="R711" s="32" t="n"/>
      <c r="S711" s="30" t="n"/>
      <c r="T711" s="30" t="n"/>
      <c r="U711" s="30" t="n"/>
      <c r="V711" s="30" t="n"/>
      <c r="W711" s="29">
        <f>IF(H711="","",IF(H711="Kenya","Yes","No"))</f>
        <v/>
      </c>
      <c r="X711" s="29">
        <f>IF(B711="","",IF(COUNTIF($B$5:$B$3004,B711)&gt;1,"DUPLICATE","OK"))</f>
        <v/>
      </c>
      <c r="Y711" s="29">
        <f>IF(OR(U711="",V711="",V711="Excluded"),"",IF(COUNTIFS($U$5:$U$3004,U711,$V$5:$V$3004,"&lt;&gt;"&amp;V711,$V$5:$V$3004,"&lt;&gt;",$V$5:$V$3004,"&lt;&gt;Excluded")&gt;0,"LEAK RISK","OK"))</f>
        <v/>
      </c>
      <c r="Z711" s="30" t="n"/>
    </row>
    <row r="712">
      <c r="A712" s="30" t="n"/>
      <c r="B712" s="30" t="n"/>
      <c r="C712" s="30" t="n"/>
      <c r="D712" s="30" t="n"/>
      <c r="E712" s="30" t="n"/>
      <c r="F712" s="30" t="n"/>
      <c r="G712" s="30" t="n"/>
      <c r="H712" s="30" t="n"/>
      <c r="I712" s="31" t="n"/>
      <c r="J712" s="30" t="n"/>
      <c r="K712" s="30" t="n"/>
      <c r="L712" s="30" t="n"/>
      <c r="M712" s="30" t="n"/>
      <c r="N712" s="32" t="n"/>
      <c r="O712" s="30" t="n"/>
      <c r="P712" s="32" t="n"/>
      <c r="Q712" s="30" t="n"/>
      <c r="R712" s="32" t="n"/>
      <c r="S712" s="30" t="n"/>
      <c r="T712" s="30" t="n"/>
      <c r="U712" s="30" t="n"/>
      <c r="V712" s="30" t="n"/>
      <c r="W712" s="29">
        <f>IF(H712="","",IF(H712="Kenya","Yes","No"))</f>
        <v/>
      </c>
      <c r="X712" s="29">
        <f>IF(B712="","",IF(COUNTIF($B$5:$B$3004,B712)&gt;1,"DUPLICATE","OK"))</f>
        <v/>
      </c>
      <c r="Y712" s="29">
        <f>IF(OR(U712="",V712="",V712="Excluded"),"",IF(COUNTIFS($U$5:$U$3004,U712,$V$5:$V$3004,"&lt;&gt;"&amp;V712,$V$5:$V$3004,"&lt;&gt;",$V$5:$V$3004,"&lt;&gt;Excluded")&gt;0,"LEAK RISK","OK"))</f>
        <v/>
      </c>
      <c r="Z712" s="30" t="n"/>
    </row>
    <row r="713">
      <c r="A713" s="30" t="n"/>
      <c r="B713" s="30" t="n"/>
      <c r="C713" s="30" t="n"/>
      <c r="D713" s="30" t="n"/>
      <c r="E713" s="30" t="n"/>
      <c r="F713" s="30" t="n"/>
      <c r="G713" s="30" t="n"/>
      <c r="H713" s="30" t="n"/>
      <c r="I713" s="31" t="n"/>
      <c r="J713" s="30" t="n"/>
      <c r="K713" s="30" t="n"/>
      <c r="L713" s="30" t="n"/>
      <c r="M713" s="30" t="n"/>
      <c r="N713" s="32" t="n"/>
      <c r="O713" s="30" t="n"/>
      <c r="P713" s="32" t="n"/>
      <c r="Q713" s="30" t="n"/>
      <c r="R713" s="32" t="n"/>
      <c r="S713" s="30" t="n"/>
      <c r="T713" s="30" t="n"/>
      <c r="U713" s="30" t="n"/>
      <c r="V713" s="30" t="n"/>
      <c r="W713" s="29">
        <f>IF(H713="","",IF(H713="Kenya","Yes","No"))</f>
        <v/>
      </c>
      <c r="X713" s="29">
        <f>IF(B713="","",IF(COUNTIF($B$5:$B$3004,B713)&gt;1,"DUPLICATE","OK"))</f>
        <v/>
      </c>
      <c r="Y713" s="29">
        <f>IF(OR(U713="",V713="",V713="Excluded"),"",IF(COUNTIFS($U$5:$U$3004,U713,$V$5:$V$3004,"&lt;&gt;"&amp;V713,$V$5:$V$3004,"&lt;&gt;",$V$5:$V$3004,"&lt;&gt;Excluded")&gt;0,"LEAK RISK","OK"))</f>
        <v/>
      </c>
      <c r="Z713" s="30" t="n"/>
    </row>
    <row r="714">
      <c r="A714" s="30" t="n"/>
      <c r="B714" s="30" t="n"/>
      <c r="C714" s="30" t="n"/>
      <c r="D714" s="30" t="n"/>
      <c r="E714" s="30" t="n"/>
      <c r="F714" s="30" t="n"/>
      <c r="G714" s="30" t="n"/>
      <c r="H714" s="30" t="n"/>
      <c r="I714" s="31" t="n"/>
      <c r="J714" s="30" t="n"/>
      <c r="K714" s="30" t="n"/>
      <c r="L714" s="30" t="n"/>
      <c r="M714" s="30" t="n"/>
      <c r="N714" s="32" t="n"/>
      <c r="O714" s="30" t="n"/>
      <c r="P714" s="32" t="n"/>
      <c r="Q714" s="30" t="n"/>
      <c r="R714" s="32" t="n"/>
      <c r="S714" s="30" t="n"/>
      <c r="T714" s="30" t="n"/>
      <c r="U714" s="30" t="n"/>
      <c r="V714" s="30" t="n"/>
      <c r="W714" s="29">
        <f>IF(H714="","",IF(H714="Kenya","Yes","No"))</f>
        <v/>
      </c>
      <c r="X714" s="29">
        <f>IF(B714="","",IF(COUNTIF($B$5:$B$3004,B714)&gt;1,"DUPLICATE","OK"))</f>
        <v/>
      </c>
      <c r="Y714" s="29">
        <f>IF(OR(U714="",V714="",V714="Excluded"),"",IF(COUNTIFS($U$5:$U$3004,U714,$V$5:$V$3004,"&lt;&gt;"&amp;V714,$V$5:$V$3004,"&lt;&gt;",$V$5:$V$3004,"&lt;&gt;Excluded")&gt;0,"LEAK RISK","OK"))</f>
        <v/>
      </c>
      <c r="Z714" s="30" t="n"/>
    </row>
    <row r="715">
      <c r="A715" s="30" t="n"/>
      <c r="B715" s="30" t="n"/>
      <c r="C715" s="30" t="n"/>
      <c r="D715" s="30" t="n"/>
      <c r="E715" s="30" t="n"/>
      <c r="F715" s="30" t="n"/>
      <c r="G715" s="30" t="n"/>
      <c r="H715" s="30" t="n"/>
      <c r="I715" s="31" t="n"/>
      <c r="J715" s="30" t="n"/>
      <c r="K715" s="30" t="n"/>
      <c r="L715" s="30" t="n"/>
      <c r="M715" s="30" t="n"/>
      <c r="N715" s="32" t="n"/>
      <c r="O715" s="30" t="n"/>
      <c r="P715" s="32" t="n"/>
      <c r="Q715" s="30" t="n"/>
      <c r="R715" s="32" t="n"/>
      <c r="S715" s="30" t="n"/>
      <c r="T715" s="30" t="n"/>
      <c r="U715" s="30" t="n"/>
      <c r="V715" s="30" t="n"/>
      <c r="W715" s="29">
        <f>IF(H715="","",IF(H715="Kenya","Yes","No"))</f>
        <v/>
      </c>
      <c r="X715" s="29">
        <f>IF(B715="","",IF(COUNTIF($B$5:$B$3004,B715)&gt;1,"DUPLICATE","OK"))</f>
        <v/>
      </c>
      <c r="Y715" s="29">
        <f>IF(OR(U715="",V715="",V715="Excluded"),"",IF(COUNTIFS($U$5:$U$3004,U715,$V$5:$V$3004,"&lt;&gt;"&amp;V715,$V$5:$V$3004,"&lt;&gt;",$V$5:$V$3004,"&lt;&gt;Excluded")&gt;0,"LEAK RISK","OK"))</f>
        <v/>
      </c>
      <c r="Z715" s="30" t="n"/>
    </row>
    <row r="716">
      <c r="A716" s="30" t="n"/>
      <c r="B716" s="30" t="n"/>
      <c r="C716" s="30" t="n"/>
      <c r="D716" s="30" t="n"/>
      <c r="E716" s="30" t="n"/>
      <c r="F716" s="30" t="n"/>
      <c r="G716" s="30" t="n"/>
      <c r="H716" s="30" t="n"/>
      <c r="I716" s="31" t="n"/>
      <c r="J716" s="30" t="n"/>
      <c r="K716" s="30" t="n"/>
      <c r="L716" s="30" t="n"/>
      <c r="M716" s="30" t="n"/>
      <c r="N716" s="32" t="n"/>
      <c r="O716" s="30" t="n"/>
      <c r="P716" s="32" t="n"/>
      <c r="Q716" s="30" t="n"/>
      <c r="R716" s="32" t="n"/>
      <c r="S716" s="30" t="n"/>
      <c r="T716" s="30" t="n"/>
      <c r="U716" s="30" t="n"/>
      <c r="V716" s="30" t="n"/>
      <c r="W716" s="29">
        <f>IF(H716="","",IF(H716="Kenya","Yes","No"))</f>
        <v/>
      </c>
      <c r="X716" s="29">
        <f>IF(B716="","",IF(COUNTIF($B$5:$B$3004,B716)&gt;1,"DUPLICATE","OK"))</f>
        <v/>
      </c>
      <c r="Y716" s="29">
        <f>IF(OR(U716="",V716="",V716="Excluded"),"",IF(COUNTIFS($U$5:$U$3004,U716,$V$5:$V$3004,"&lt;&gt;"&amp;V716,$V$5:$V$3004,"&lt;&gt;",$V$5:$V$3004,"&lt;&gt;Excluded")&gt;0,"LEAK RISK","OK"))</f>
        <v/>
      </c>
      <c r="Z716" s="30" t="n"/>
    </row>
    <row r="717">
      <c r="A717" s="30" t="n"/>
      <c r="B717" s="30" t="n"/>
      <c r="C717" s="30" t="n"/>
      <c r="D717" s="30" t="n"/>
      <c r="E717" s="30" t="n"/>
      <c r="F717" s="30" t="n"/>
      <c r="G717" s="30" t="n"/>
      <c r="H717" s="30" t="n"/>
      <c r="I717" s="31" t="n"/>
      <c r="J717" s="30" t="n"/>
      <c r="K717" s="30" t="n"/>
      <c r="L717" s="30" t="n"/>
      <c r="M717" s="30" t="n"/>
      <c r="N717" s="32" t="n"/>
      <c r="O717" s="30" t="n"/>
      <c r="P717" s="32" t="n"/>
      <c r="Q717" s="30" t="n"/>
      <c r="R717" s="32" t="n"/>
      <c r="S717" s="30" t="n"/>
      <c r="T717" s="30" t="n"/>
      <c r="U717" s="30" t="n"/>
      <c r="V717" s="30" t="n"/>
      <c r="W717" s="29">
        <f>IF(H717="","",IF(H717="Kenya","Yes","No"))</f>
        <v/>
      </c>
      <c r="X717" s="29">
        <f>IF(B717="","",IF(COUNTIF($B$5:$B$3004,B717)&gt;1,"DUPLICATE","OK"))</f>
        <v/>
      </c>
      <c r="Y717" s="29">
        <f>IF(OR(U717="",V717="",V717="Excluded"),"",IF(COUNTIFS($U$5:$U$3004,U717,$V$5:$V$3004,"&lt;&gt;"&amp;V717,$V$5:$V$3004,"&lt;&gt;",$V$5:$V$3004,"&lt;&gt;Excluded")&gt;0,"LEAK RISK","OK"))</f>
        <v/>
      </c>
      <c r="Z717" s="30" t="n"/>
    </row>
    <row r="718">
      <c r="A718" s="30" t="n"/>
      <c r="B718" s="30" t="n"/>
      <c r="C718" s="30" t="n"/>
      <c r="D718" s="30" t="n"/>
      <c r="E718" s="30" t="n"/>
      <c r="F718" s="30" t="n"/>
      <c r="G718" s="30" t="n"/>
      <c r="H718" s="30" t="n"/>
      <c r="I718" s="31" t="n"/>
      <c r="J718" s="30" t="n"/>
      <c r="K718" s="30" t="n"/>
      <c r="L718" s="30" t="n"/>
      <c r="M718" s="30" t="n"/>
      <c r="N718" s="32" t="n"/>
      <c r="O718" s="30" t="n"/>
      <c r="P718" s="32" t="n"/>
      <c r="Q718" s="30" t="n"/>
      <c r="R718" s="32" t="n"/>
      <c r="S718" s="30" t="n"/>
      <c r="T718" s="30" t="n"/>
      <c r="U718" s="30" t="n"/>
      <c r="V718" s="30" t="n"/>
      <c r="W718" s="29">
        <f>IF(H718="","",IF(H718="Kenya","Yes","No"))</f>
        <v/>
      </c>
      <c r="X718" s="29">
        <f>IF(B718="","",IF(COUNTIF($B$5:$B$3004,B718)&gt;1,"DUPLICATE","OK"))</f>
        <v/>
      </c>
      <c r="Y718" s="29">
        <f>IF(OR(U718="",V718="",V718="Excluded"),"",IF(COUNTIFS($U$5:$U$3004,U718,$V$5:$V$3004,"&lt;&gt;"&amp;V718,$V$5:$V$3004,"&lt;&gt;",$V$5:$V$3004,"&lt;&gt;Excluded")&gt;0,"LEAK RISK","OK"))</f>
        <v/>
      </c>
      <c r="Z718" s="30" t="n"/>
    </row>
    <row r="719">
      <c r="A719" s="30" t="n"/>
      <c r="B719" s="30" t="n"/>
      <c r="C719" s="30" t="n"/>
      <c r="D719" s="30" t="n"/>
      <c r="E719" s="30" t="n"/>
      <c r="F719" s="30" t="n"/>
      <c r="G719" s="30" t="n"/>
      <c r="H719" s="30" t="n"/>
      <c r="I719" s="31" t="n"/>
      <c r="J719" s="30" t="n"/>
      <c r="K719" s="30" t="n"/>
      <c r="L719" s="30" t="n"/>
      <c r="M719" s="30" t="n"/>
      <c r="N719" s="32" t="n"/>
      <c r="O719" s="30" t="n"/>
      <c r="P719" s="32" t="n"/>
      <c r="Q719" s="30" t="n"/>
      <c r="R719" s="32" t="n"/>
      <c r="S719" s="30" t="n"/>
      <c r="T719" s="30" t="n"/>
      <c r="U719" s="30" t="n"/>
      <c r="V719" s="30" t="n"/>
      <c r="W719" s="29">
        <f>IF(H719="","",IF(H719="Kenya","Yes","No"))</f>
        <v/>
      </c>
      <c r="X719" s="29">
        <f>IF(B719="","",IF(COUNTIF($B$5:$B$3004,B719)&gt;1,"DUPLICATE","OK"))</f>
        <v/>
      </c>
      <c r="Y719" s="29">
        <f>IF(OR(U719="",V719="",V719="Excluded"),"",IF(COUNTIFS($U$5:$U$3004,U719,$V$5:$V$3004,"&lt;&gt;"&amp;V719,$V$5:$V$3004,"&lt;&gt;",$V$5:$V$3004,"&lt;&gt;Excluded")&gt;0,"LEAK RISK","OK"))</f>
        <v/>
      </c>
      <c r="Z719" s="30" t="n"/>
    </row>
    <row r="720">
      <c r="A720" s="30" t="n"/>
      <c r="B720" s="30" t="n"/>
      <c r="C720" s="30" t="n"/>
      <c r="D720" s="30" t="n"/>
      <c r="E720" s="30" t="n"/>
      <c r="F720" s="30" t="n"/>
      <c r="G720" s="30" t="n"/>
      <c r="H720" s="30" t="n"/>
      <c r="I720" s="31" t="n"/>
      <c r="J720" s="30" t="n"/>
      <c r="K720" s="30" t="n"/>
      <c r="L720" s="30" t="n"/>
      <c r="M720" s="30" t="n"/>
      <c r="N720" s="32" t="n"/>
      <c r="O720" s="30" t="n"/>
      <c r="P720" s="32" t="n"/>
      <c r="Q720" s="30" t="n"/>
      <c r="R720" s="32" t="n"/>
      <c r="S720" s="30" t="n"/>
      <c r="T720" s="30" t="n"/>
      <c r="U720" s="30" t="n"/>
      <c r="V720" s="30" t="n"/>
      <c r="W720" s="29">
        <f>IF(H720="","",IF(H720="Kenya","Yes","No"))</f>
        <v/>
      </c>
      <c r="X720" s="29">
        <f>IF(B720="","",IF(COUNTIF($B$5:$B$3004,B720)&gt;1,"DUPLICATE","OK"))</f>
        <v/>
      </c>
      <c r="Y720" s="29">
        <f>IF(OR(U720="",V720="",V720="Excluded"),"",IF(COUNTIFS($U$5:$U$3004,U720,$V$5:$V$3004,"&lt;&gt;"&amp;V720,$V$5:$V$3004,"&lt;&gt;",$V$5:$V$3004,"&lt;&gt;Excluded")&gt;0,"LEAK RISK","OK"))</f>
        <v/>
      </c>
      <c r="Z720" s="30" t="n"/>
    </row>
    <row r="721">
      <c r="A721" s="30" t="n"/>
      <c r="B721" s="30" t="n"/>
      <c r="C721" s="30" t="n"/>
      <c r="D721" s="30" t="n"/>
      <c r="E721" s="30" t="n"/>
      <c r="F721" s="30" t="n"/>
      <c r="G721" s="30" t="n"/>
      <c r="H721" s="30" t="n"/>
      <c r="I721" s="31" t="n"/>
      <c r="J721" s="30" t="n"/>
      <c r="K721" s="30" t="n"/>
      <c r="L721" s="30" t="n"/>
      <c r="M721" s="30" t="n"/>
      <c r="N721" s="32" t="n"/>
      <c r="O721" s="30" t="n"/>
      <c r="P721" s="32" t="n"/>
      <c r="Q721" s="30" t="n"/>
      <c r="R721" s="32" t="n"/>
      <c r="S721" s="30" t="n"/>
      <c r="T721" s="30" t="n"/>
      <c r="U721" s="30" t="n"/>
      <c r="V721" s="30" t="n"/>
      <c r="W721" s="29">
        <f>IF(H721="","",IF(H721="Kenya","Yes","No"))</f>
        <v/>
      </c>
      <c r="X721" s="29">
        <f>IF(B721="","",IF(COUNTIF($B$5:$B$3004,B721)&gt;1,"DUPLICATE","OK"))</f>
        <v/>
      </c>
      <c r="Y721" s="29">
        <f>IF(OR(U721="",V721="",V721="Excluded"),"",IF(COUNTIFS($U$5:$U$3004,U721,$V$5:$V$3004,"&lt;&gt;"&amp;V721,$V$5:$V$3004,"&lt;&gt;",$V$5:$V$3004,"&lt;&gt;Excluded")&gt;0,"LEAK RISK","OK"))</f>
        <v/>
      </c>
      <c r="Z721" s="30" t="n"/>
    </row>
    <row r="722">
      <c r="A722" s="30" t="n"/>
      <c r="B722" s="30" t="n"/>
      <c r="C722" s="30" t="n"/>
      <c r="D722" s="30" t="n"/>
      <c r="E722" s="30" t="n"/>
      <c r="F722" s="30" t="n"/>
      <c r="G722" s="30" t="n"/>
      <c r="H722" s="30" t="n"/>
      <c r="I722" s="31" t="n"/>
      <c r="J722" s="30" t="n"/>
      <c r="K722" s="30" t="n"/>
      <c r="L722" s="30" t="n"/>
      <c r="M722" s="30" t="n"/>
      <c r="N722" s="32" t="n"/>
      <c r="O722" s="30" t="n"/>
      <c r="P722" s="32" t="n"/>
      <c r="Q722" s="30" t="n"/>
      <c r="R722" s="32" t="n"/>
      <c r="S722" s="30" t="n"/>
      <c r="T722" s="30" t="n"/>
      <c r="U722" s="30" t="n"/>
      <c r="V722" s="30" t="n"/>
      <c r="W722" s="29">
        <f>IF(H722="","",IF(H722="Kenya","Yes","No"))</f>
        <v/>
      </c>
      <c r="X722" s="29">
        <f>IF(B722="","",IF(COUNTIF($B$5:$B$3004,B722)&gt;1,"DUPLICATE","OK"))</f>
        <v/>
      </c>
      <c r="Y722" s="29">
        <f>IF(OR(U722="",V722="",V722="Excluded"),"",IF(COUNTIFS($U$5:$U$3004,U722,$V$5:$V$3004,"&lt;&gt;"&amp;V722,$V$5:$V$3004,"&lt;&gt;",$V$5:$V$3004,"&lt;&gt;Excluded")&gt;0,"LEAK RISK","OK"))</f>
        <v/>
      </c>
      <c r="Z722" s="30" t="n"/>
    </row>
    <row r="723">
      <c r="A723" s="30" t="n"/>
      <c r="B723" s="30" t="n"/>
      <c r="C723" s="30" t="n"/>
      <c r="D723" s="30" t="n"/>
      <c r="E723" s="30" t="n"/>
      <c r="F723" s="30" t="n"/>
      <c r="G723" s="30" t="n"/>
      <c r="H723" s="30" t="n"/>
      <c r="I723" s="31" t="n"/>
      <c r="J723" s="30" t="n"/>
      <c r="K723" s="30" t="n"/>
      <c r="L723" s="30" t="n"/>
      <c r="M723" s="30" t="n"/>
      <c r="N723" s="32" t="n"/>
      <c r="O723" s="30" t="n"/>
      <c r="P723" s="32" t="n"/>
      <c r="Q723" s="30" t="n"/>
      <c r="R723" s="32" t="n"/>
      <c r="S723" s="30" t="n"/>
      <c r="T723" s="30" t="n"/>
      <c r="U723" s="30" t="n"/>
      <c r="V723" s="30" t="n"/>
      <c r="W723" s="29">
        <f>IF(H723="","",IF(H723="Kenya","Yes","No"))</f>
        <v/>
      </c>
      <c r="X723" s="29">
        <f>IF(B723="","",IF(COUNTIF($B$5:$B$3004,B723)&gt;1,"DUPLICATE","OK"))</f>
        <v/>
      </c>
      <c r="Y723" s="29">
        <f>IF(OR(U723="",V723="",V723="Excluded"),"",IF(COUNTIFS($U$5:$U$3004,U723,$V$5:$V$3004,"&lt;&gt;"&amp;V723,$V$5:$V$3004,"&lt;&gt;",$V$5:$V$3004,"&lt;&gt;Excluded")&gt;0,"LEAK RISK","OK"))</f>
        <v/>
      </c>
      <c r="Z723" s="30" t="n"/>
    </row>
    <row r="724">
      <c r="A724" s="30" t="n"/>
      <c r="B724" s="30" t="n"/>
      <c r="C724" s="30" t="n"/>
      <c r="D724" s="30" t="n"/>
      <c r="E724" s="30" t="n"/>
      <c r="F724" s="30" t="n"/>
      <c r="G724" s="30" t="n"/>
      <c r="H724" s="30" t="n"/>
      <c r="I724" s="31" t="n"/>
      <c r="J724" s="30" t="n"/>
      <c r="K724" s="30" t="n"/>
      <c r="L724" s="30" t="n"/>
      <c r="M724" s="30" t="n"/>
      <c r="N724" s="32" t="n"/>
      <c r="O724" s="30" t="n"/>
      <c r="P724" s="32" t="n"/>
      <c r="Q724" s="30" t="n"/>
      <c r="R724" s="32" t="n"/>
      <c r="S724" s="30" t="n"/>
      <c r="T724" s="30" t="n"/>
      <c r="U724" s="30" t="n"/>
      <c r="V724" s="30" t="n"/>
      <c r="W724" s="29">
        <f>IF(H724="","",IF(H724="Kenya","Yes","No"))</f>
        <v/>
      </c>
      <c r="X724" s="29">
        <f>IF(B724="","",IF(COUNTIF($B$5:$B$3004,B724)&gt;1,"DUPLICATE","OK"))</f>
        <v/>
      </c>
      <c r="Y724" s="29">
        <f>IF(OR(U724="",V724="",V724="Excluded"),"",IF(COUNTIFS($U$5:$U$3004,U724,$V$5:$V$3004,"&lt;&gt;"&amp;V724,$V$5:$V$3004,"&lt;&gt;",$V$5:$V$3004,"&lt;&gt;Excluded")&gt;0,"LEAK RISK","OK"))</f>
        <v/>
      </c>
      <c r="Z724" s="30" t="n"/>
    </row>
    <row r="725">
      <c r="A725" s="30" t="n"/>
      <c r="B725" s="30" t="n"/>
      <c r="C725" s="30" t="n"/>
      <c r="D725" s="30" t="n"/>
      <c r="E725" s="30" t="n"/>
      <c r="F725" s="30" t="n"/>
      <c r="G725" s="30" t="n"/>
      <c r="H725" s="30" t="n"/>
      <c r="I725" s="31" t="n"/>
      <c r="J725" s="30" t="n"/>
      <c r="K725" s="30" t="n"/>
      <c r="L725" s="30" t="n"/>
      <c r="M725" s="30" t="n"/>
      <c r="N725" s="32" t="n"/>
      <c r="O725" s="30" t="n"/>
      <c r="P725" s="32" t="n"/>
      <c r="Q725" s="30" t="n"/>
      <c r="R725" s="32" t="n"/>
      <c r="S725" s="30" t="n"/>
      <c r="T725" s="30" t="n"/>
      <c r="U725" s="30" t="n"/>
      <c r="V725" s="30" t="n"/>
      <c r="W725" s="29">
        <f>IF(H725="","",IF(H725="Kenya","Yes","No"))</f>
        <v/>
      </c>
      <c r="X725" s="29">
        <f>IF(B725="","",IF(COUNTIF($B$5:$B$3004,B725)&gt;1,"DUPLICATE","OK"))</f>
        <v/>
      </c>
      <c r="Y725" s="29">
        <f>IF(OR(U725="",V725="",V725="Excluded"),"",IF(COUNTIFS($U$5:$U$3004,U725,$V$5:$V$3004,"&lt;&gt;"&amp;V725,$V$5:$V$3004,"&lt;&gt;",$V$5:$V$3004,"&lt;&gt;Excluded")&gt;0,"LEAK RISK","OK"))</f>
        <v/>
      </c>
      <c r="Z725" s="30" t="n"/>
    </row>
    <row r="726">
      <c r="A726" s="30" t="n"/>
      <c r="B726" s="30" t="n"/>
      <c r="C726" s="30" t="n"/>
      <c r="D726" s="30" t="n"/>
      <c r="E726" s="30" t="n"/>
      <c r="F726" s="30" t="n"/>
      <c r="G726" s="30" t="n"/>
      <c r="H726" s="30" t="n"/>
      <c r="I726" s="31" t="n"/>
      <c r="J726" s="30" t="n"/>
      <c r="K726" s="30" t="n"/>
      <c r="L726" s="30" t="n"/>
      <c r="M726" s="30" t="n"/>
      <c r="N726" s="32" t="n"/>
      <c r="O726" s="30" t="n"/>
      <c r="P726" s="32" t="n"/>
      <c r="Q726" s="30" t="n"/>
      <c r="R726" s="32" t="n"/>
      <c r="S726" s="30" t="n"/>
      <c r="T726" s="30" t="n"/>
      <c r="U726" s="30" t="n"/>
      <c r="V726" s="30" t="n"/>
      <c r="W726" s="29">
        <f>IF(H726="","",IF(H726="Kenya","Yes","No"))</f>
        <v/>
      </c>
      <c r="X726" s="29">
        <f>IF(B726="","",IF(COUNTIF($B$5:$B$3004,B726)&gt;1,"DUPLICATE","OK"))</f>
        <v/>
      </c>
      <c r="Y726" s="29">
        <f>IF(OR(U726="",V726="",V726="Excluded"),"",IF(COUNTIFS($U$5:$U$3004,U726,$V$5:$V$3004,"&lt;&gt;"&amp;V726,$V$5:$V$3004,"&lt;&gt;",$V$5:$V$3004,"&lt;&gt;Excluded")&gt;0,"LEAK RISK","OK"))</f>
        <v/>
      </c>
      <c r="Z726" s="30" t="n"/>
    </row>
    <row r="727">
      <c r="A727" s="30" t="n"/>
      <c r="B727" s="30" t="n"/>
      <c r="C727" s="30" t="n"/>
      <c r="D727" s="30" t="n"/>
      <c r="E727" s="30" t="n"/>
      <c r="F727" s="30" t="n"/>
      <c r="G727" s="30" t="n"/>
      <c r="H727" s="30" t="n"/>
      <c r="I727" s="31" t="n"/>
      <c r="J727" s="30" t="n"/>
      <c r="K727" s="30" t="n"/>
      <c r="L727" s="30" t="n"/>
      <c r="M727" s="30" t="n"/>
      <c r="N727" s="32" t="n"/>
      <c r="O727" s="30" t="n"/>
      <c r="P727" s="32" t="n"/>
      <c r="Q727" s="30" t="n"/>
      <c r="R727" s="32" t="n"/>
      <c r="S727" s="30" t="n"/>
      <c r="T727" s="30" t="n"/>
      <c r="U727" s="30" t="n"/>
      <c r="V727" s="30" t="n"/>
      <c r="W727" s="29">
        <f>IF(H727="","",IF(H727="Kenya","Yes","No"))</f>
        <v/>
      </c>
      <c r="X727" s="29">
        <f>IF(B727="","",IF(COUNTIF($B$5:$B$3004,B727)&gt;1,"DUPLICATE","OK"))</f>
        <v/>
      </c>
      <c r="Y727" s="29">
        <f>IF(OR(U727="",V727="",V727="Excluded"),"",IF(COUNTIFS($U$5:$U$3004,U727,$V$5:$V$3004,"&lt;&gt;"&amp;V727,$V$5:$V$3004,"&lt;&gt;",$V$5:$V$3004,"&lt;&gt;Excluded")&gt;0,"LEAK RISK","OK"))</f>
        <v/>
      </c>
      <c r="Z727" s="30" t="n"/>
    </row>
    <row r="728">
      <c r="A728" s="30" t="n"/>
      <c r="B728" s="30" t="n"/>
      <c r="C728" s="30" t="n"/>
      <c r="D728" s="30" t="n"/>
      <c r="E728" s="30" t="n"/>
      <c r="F728" s="30" t="n"/>
      <c r="G728" s="30" t="n"/>
      <c r="H728" s="30" t="n"/>
      <c r="I728" s="31" t="n"/>
      <c r="J728" s="30" t="n"/>
      <c r="K728" s="30" t="n"/>
      <c r="L728" s="30" t="n"/>
      <c r="M728" s="30" t="n"/>
      <c r="N728" s="32" t="n"/>
      <c r="O728" s="30" t="n"/>
      <c r="P728" s="32" t="n"/>
      <c r="Q728" s="30" t="n"/>
      <c r="R728" s="32" t="n"/>
      <c r="S728" s="30" t="n"/>
      <c r="T728" s="30" t="n"/>
      <c r="U728" s="30" t="n"/>
      <c r="V728" s="30" t="n"/>
      <c r="W728" s="29">
        <f>IF(H728="","",IF(H728="Kenya","Yes","No"))</f>
        <v/>
      </c>
      <c r="X728" s="29">
        <f>IF(B728="","",IF(COUNTIF($B$5:$B$3004,B728)&gt;1,"DUPLICATE","OK"))</f>
        <v/>
      </c>
      <c r="Y728" s="29">
        <f>IF(OR(U728="",V728="",V728="Excluded"),"",IF(COUNTIFS($U$5:$U$3004,U728,$V$5:$V$3004,"&lt;&gt;"&amp;V728,$V$5:$V$3004,"&lt;&gt;",$V$5:$V$3004,"&lt;&gt;Excluded")&gt;0,"LEAK RISK","OK"))</f>
        <v/>
      </c>
      <c r="Z728" s="30" t="n"/>
    </row>
    <row r="729">
      <c r="A729" s="30" t="n"/>
      <c r="B729" s="30" t="n"/>
      <c r="C729" s="30" t="n"/>
      <c r="D729" s="30" t="n"/>
      <c r="E729" s="30" t="n"/>
      <c r="F729" s="30" t="n"/>
      <c r="G729" s="30" t="n"/>
      <c r="H729" s="30" t="n"/>
      <c r="I729" s="31" t="n"/>
      <c r="J729" s="30" t="n"/>
      <c r="K729" s="30" t="n"/>
      <c r="L729" s="30" t="n"/>
      <c r="M729" s="30" t="n"/>
      <c r="N729" s="32" t="n"/>
      <c r="O729" s="30" t="n"/>
      <c r="P729" s="32" t="n"/>
      <c r="Q729" s="30" t="n"/>
      <c r="R729" s="32" t="n"/>
      <c r="S729" s="30" t="n"/>
      <c r="T729" s="30" t="n"/>
      <c r="U729" s="30" t="n"/>
      <c r="V729" s="30" t="n"/>
      <c r="W729" s="29">
        <f>IF(H729="","",IF(H729="Kenya","Yes","No"))</f>
        <v/>
      </c>
      <c r="X729" s="29">
        <f>IF(B729="","",IF(COUNTIF($B$5:$B$3004,B729)&gt;1,"DUPLICATE","OK"))</f>
        <v/>
      </c>
      <c r="Y729" s="29">
        <f>IF(OR(U729="",V729="",V729="Excluded"),"",IF(COUNTIFS($U$5:$U$3004,U729,$V$5:$V$3004,"&lt;&gt;"&amp;V729,$V$5:$V$3004,"&lt;&gt;",$V$5:$V$3004,"&lt;&gt;Excluded")&gt;0,"LEAK RISK","OK"))</f>
        <v/>
      </c>
      <c r="Z729" s="30" t="n"/>
    </row>
    <row r="730">
      <c r="A730" s="30" t="n"/>
      <c r="B730" s="30" t="n"/>
      <c r="C730" s="30" t="n"/>
      <c r="D730" s="30" t="n"/>
      <c r="E730" s="30" t="n"/>
      <c r="F730" s="30" t="n"/>
      <c r="G730" s="30" t="n"/>
      <c r="H730" s="30" t="n"/>
      <c r="I730" s="31" t="n"/>
      <c r="J730" s="30" t="n"/>
      <c r="K730" s="30" t="n"/>
      <c r="L730" s="30" t="n"/>
      <c r="M730" s="30" t="n"/>
      <c r="N730" s="32" t="n"/>
      <c r="O730" s="30" t="n"/>
      <c r="P730" s="32" t="n"/>
      <c r="Q730" s="30" t="n"/>
      <c r="R730" s="32" t="n"/>
      <c r="S730" s="30" t="n"/>
      <c r="T730" s="30" t="n"/>
      <c r="U730" s="30" t="n"/>
      <c r="V730" s="30" t="n"/>
      <c r="W730" s="29">
        <f>IF(H730="","",IF(H730="Kenya","Yes","No"))</f>
        <v/>
      </c>
      <c r="X730" s="29">
        <f>IF(B730="","",IF(COUNTIF($B$5:$B$3004,B730)&gt;1,"DUPLICATE","OK"))</f>
        <v/>
      </c>
      <c r="Y730" s="29">
        <f>IF(OR(U730="",V730="",V730="Excluded"),"",IF(COUNTIFS($U$5:$U$3004,U730,$V$5:$V$3004,"&lt;&gt;"&amp;V730,$V$5:$V$3004,"&lt;&gt;",$V$5:$V$3004,"&lt;&gt;Excluded")&gt;0,"LEAK RISK","OK"))</f>
        <v/>
      </c>
      <c r="Z730" s="30" t="n"/>
    </row>
    <row r="731">
      <c r="A731" s="30" t="n"/>
      <c r="B731" s="30" t="n"/>
      <c r="C731" s="30" t="n"/>
      <c r="D731" s="30" t="n"/>
      <c r="E731" s="30" t="n"/>
      <c r="F731" s="30" t="n"/>
      <c r="G731" s="30" t="n"/>
      <c r="H731" s="30" t="n"/>
      <c r="I731" s="31" t="n"/>
      <c r="J731" s="30" t="n"/>
      <c r="K731" s="30" t="n"/>
      <c r="L731" s="30" t="n"/>
      <c r="M731" s="30" t="n"/>
      <c r="N731" s="32" t="n"/>
      <c r="O731" s="30" t="n"/>
      <c r="P731" s="32" t="n"/>
      <c r="Q731" s="30" t="n"/>
      <c r="R731" s="32" t="n"/>
      <c r="S731" s="30" t="n"/>
      <c r="T731" s="30" t="n"/>
      <c r="U731" s="30" t="n"/>
      <c r="V731" s="30" t="n"/>
      <c r="W731" s="29">
        <f>IF(H731="","",IF(H731="Kenya","Yes","No"))</f>
        <v/>
      </c>
      <c r="X731" s="29">
        <f>IF(B731="","",IF(COUNTIF($B$5:$B$3004,B731)&gt;1,"DUPLICATE","OK"))</f>
        <v/>
      </c>
      <c r="Y731" s="29">
        <f>IF(OR(U731="",V731="",V731="Excluded"),"",IF(COUNTIFS($U$5:$U$3004,U731,$V$5:$V$3004,"&lt;&gt;"&amp;V731,$V$5:$V$3004,"&lt;&gt;",$V$5:$V$3004,"&lt;&gt;Excluded")&gt;0,"LEAK RISK","OK"))</f>
        <v/>
      </c>
      <c r="Z731" s="30" t="n"/>
    </row>
    <row r="732">
      <c r="A732" s="30" t="n"/>
      <c r="B732" s="30" t="n"/>
      <c r="C732" s="30" t="n"/>
      <c r="D732" s="30" t="n"/>
      <c r="E732" s="30" t="n"/>
      <c r="F732" s="30" t="n"/>
      <c r="G732" s="30" t="n"/>
      <c r="H732" s="30" t="n"/>
      <c r="I732" s="31" t="n"/>
      <c r="J732" s="30" t="n"/>
      <c r="K732" s="30" t="n"/>
      <c r="L732" s="30" t="n"/>
      <c r="M732" s="30" t="n"/>
      <c r="N732" s="32" t="n"/>
      <c r="O732" s="30" t="n"/>
      <c r="P732" s="32" t="n"/>
      <c r="Q732" s="30" t="n"/>
      <c r="R732" s="32" t="n"/>
      <c r="S732" s="30" t="n"/>
      <c r="T732" s="30" t="n"/>
      <c r="U732" s="30" t="n"/>
      <c r="V732" s="30" t="n"/>
      <c r="W732" s="29">
        <f>IF(H732="","",IF(H732="Kenya","Yes","No"))</f>
        <v/>
      </c>
      <c r="X732" s="29">
        <f>IF(B732="","",IF(COUNTIF($B$5:$B$3004,B732)&gt;1,"DUPLICATE","OK"))</f>
        <v/>
      </c>
      <c r="Y732" s="29">
        <f>IF(OR(U732="",V732="",V732="Excluded"),"",IF(COUNTIFS($U$5:$U$3004,U732,$V$5:$V$3004,"&lt;&gt;"&amp;V732,$V$5:$V$3004,"&lt;&gt;",$V$5:$V$3004,"&lt;&gt;Excluded")&gt;0,"LEAK RISK","OK"))</f>
        <v/>
      </c>
      <c r="Z732" s="30" t="n"/>
    </row>
    <row r="733">
      <c r="A733" s="30" t="n"/>
      <c r="B733" s="30" t="n"/>
      <c r="C733" s="30" t="n"/>
      <c r="D733" s="30" t="n"/>
      <c r="E733" s="30" t="n"/>
      <c r="F733" s="30" t="n"/>
      <c r="G733" s="30" t="n"/>
      <c r="H733" s="30" t="n"/>
      <c r="I733" s="31" t="n"/>
      <c r="J733" s="30" t="n"/>
      <c r="K733" s="30" t="n"/>
      <c r="L733" s="30" t="n"/>
      <c r="M733" s="30" t="n"/>
      <c r="N733" s="32" t="n"/>
      <c r="O733" s="30" t="n"/>
      <c r="P733" s="32" t="n"/>
      <c r="Q733" s="30" t="n"/>
      <c r="R733" s="32" t="n"/>
      <c r="S733" s="30" t="n"/>
      <c r="T733" s="30" t="n"/>
      <c r="U733" s="30" t="n"/>
      <c r="V733" s="30" t="n"/>
      <c r="W733" s="29">
        <f>IF(H733="","",IF(H733="Kenya","Yes","No"))</f>
        <v/>
      </c>
      <c r="X733" s="29">
        <f>IF(B733="","",IF(COUNTIF($B$5:$B$3004,B733)&gt;1,"DUPLICATE","OK"))</f>
        <v/>
      </c>
      <c r="Y733" s="29">
        <f>IF(OR(U733="",V733="",V733="Excluded"),"",IF(COUNTIFS($U$5:$U$3004,U733,$V$5:$V$3004,"&lt;&gt;"&amp;V733,$V$5:$V$3004,"&lt;&gt;",$V$5:$V$3004,"&lt;&gt;Excluded")&gt;0,"LEAK RISK","OK"))</f>
        <v/>
      </c>
      <c r="Z733" s="30" t="n"/>
    </row>
    <row r="734">
      <c r="A734" s="30" t="n"/>
      <c r="B734" s="30" t="n"/>
      <c r="C734" s="30" t="n"/>
      <c r="D734" s="30" t="n"/>
      <c r="E734" s="30" t="n"/>
      <c r="F734" s="30" t="n"/>
      <c r="G734" s="30" t="n"/>
      <c r="H734" s="30" t="n"/>
      <c r="I734" s="31" t="n"/>
      <c r="J734" s="30" t="n"/>
      <c r="K734" s="30" t="n"/>
      <c r="L734" s="30" t="n"/>
      <c r="M734" s="30" t="n"/>
      <c r="N734" s="32" t="n"/>
      <c r="O734" s="30" t="n"/>
      <c r="P734" s="32" t="n"/>
      <c r="Q734" s="30" t="n"/>
      <c r="R734" s="32" t="n"/>
      <c r="S734" s="30" t="n"/>
      <c r="T734" s="30" t="n"/>
      <c r="U734" s="30" t="n"/>
      <c r="V734" s="30" t="n"/>
      <c r="W734" s="29">
        <f>IF(H734="","",IF(H734="Kenya","Yes","No"))</f>
        <v/>
      </c>
      <c r="X734" s="29">
        <f>IF(B734="","",IF(COUNTIF($B$5:$B$3004,B734)&gt;1,"DUPLICATE","OK"))</f>
        <v/>
      </c>
      <c r="Y734" s="29">
        <f>IF(OR(U734="",V734="",V734="Excluded"),"",IF(COUNTIFS($U$5:$U$3004,U734,$V$5:$V$3004,"&lt;&gt;"&amp;V734,$V$5:$V$3004,"&lt;&gt;",$V$5:$V$3004,"&lt;&gt;Excluded")&gt;0,"LEAK RISK","OK"))</f>
        <v/>
      </c>
      <c r="Z734" s="30" t="n"/>
    </row>
    <row r="735">
      <c r="A735" s="30" t="n"/>
      <c r="B735" s="30" t="n"/>
      <c r="C735" s="30" t="n"/>
      <c r="D735" s="30" t="n"/>
      <c r="E735" s="30" t="n"/>
      <c r="F735" s="30" t="n"/>
      <c r="G735" s="30" t="n"/>
      <c r="H735" s="30" t="n"/>
      <c r="I735" s="31" t="n"/>
      <c r="J735" s="30" t="n"/>
      <c r="K735" s="30" t="n"/>
      <c r="L735" s="30" t="n"/>
      <c r="M735" s="30" t="n"/>
      <c r="N735" s="32" t="n"/>
      <c r="O735" s="30" t="n"/>
      <c r="P735" s="32" t="n"/>
      <c r="Q735" s="30" t="n"/>
      <c r="R735" s="32" t="n"/>
      <c r="S735" s="30" t="n"/>
      <c r="T735" s="30" t="n"/>
      <c r="U735" s="30" t="n"/>
      <c r="V735" s="30" t="n"/>
      <c r="W735" s="29">
        <f>IF(H735="","",IF(H735="Kenya","Yes","No"))</f>
        <v/>
      </c>
      <c r="X735" s="29">
        <f>IF(B735="","",IF(COUNTIF($B$5:$B$3004,B735)&gt;1,"DUPLICATE","OK"))</f>
        <v/>
      </c>
      <c r="Y735" s="29">
        <f>IF(OR(U735="",V735="",V735="Excluded"),"",IF(COUNTIFS($U$5:$U$3004,U735,$V$5:$V$3004,"&lt;&gt;"&amp;V735,$V$5:$V$3004,"&lt;&gt;",$V$5:$V$3004,"&lt;&gt;Excluded")&gt;0,"LEAK RISK","OK"))</f>
        <v/>
      </c>
      <c r="Z735" s="30" t="n"/>
    </row>
    <row r="736">
      <c r="A736" s="30" t="n"/>
      <c r="B736" s="30" t="n"/>
      <c r="C736" s="30" t="n"/>
      <c r="D736" s="30" t="n"/>
      <c r="E736" s="30" t="n"/>
      <c r="F736" s="30" t="n"/>
      <c r="G736" s="30" t="n"/>
      <c r="H736" s="30" t="n"/>
      <c r="I736" s="31" t="n"/>
      <c r="J736" s="30" t="n"/>
      <c r="K736" s="30" t="n"/>
      <c r="L736" s="30" t="n"/>
      <c r="M736" s="30" t="n"/>
      <c r="N736" s="32" t="n"/>
      <c r="O736" s="30" t="n"/>
      <c r="P736" s="32" t="n"/>
      <c r="Q736" s="30" t="n"/>
      <c r="R736" s="32" t="n"/>
      <c r="S736" s="30" t="n"/>
      <c r="T736" s="30" t="n"/>
      <c r="U736" s="30" t="n"/>
      <c r="V736" s="30" t="n"/>
      <c r="W736" s="29">
        <f>IF(H736="","",IF(H736="Kenya","Yes","No"))</f>
        <v/>
      </c>
      <c r="X736" s="29">
        <f>IF(B736="","",IF(COUNTIF($B$5:$B$3004,B736)&gt;1,"DUPLICATE","OK"))</f>
        <v/>
      </c>
      <c r="Y736" s="29">
        <f>IF(OR(U736="",V736="",V736="Excluded"),"",IF(COUNTIFS($U$5:$U$3004,U736,$V$5:$V$3004,"&lt;&gt;"&amp;V736,$V$5:$V$3004,"&lt;&gt;",$V$5:$V$3004,"&lt;&gt;Excluded")&gt;0,"LEAK RISK","OK"))</f>
        <v/>
      </c>
      <c r="Z736" s="30" t="n"/>
    </row>
    <row r="737">
      <c r="A737" s="30" t="n"/>
      <c r="B737" s="30" t="n"/>
      <c r="C737" s="30" t="n"/>
      <c r="D737" s="30" t="n"/>
      <c r="E737" s="30" t="n"/>
      <c r="F737" s="30" t="n"/>
      <c r="G737" s="30" t="n"/>
      <c r="H737" s="30" t="n"/>
      <c r="I737" s="31" t="n"/>
      <c r="J737" s="30" t="n"/>
      <c r="K737" s="30" t="n"/>
      <c r="L737" s="30" t="n"/>
      <c r="M737" s="30" t="n"/>
      <c r="N737" s="32" t="n"/>
      <c r="O737" s="30" t="n"/>
      <c r="P737" s="32" t="n"/>
      <c r="Q737" s="30" t="n"/>
      <c r="R737" s="32" t="n"/>
      <c r="S737" s="30" t="n"/>
      <c r="T737" s="30" t="n"/>
      <c r="U737" s="30" t="n"/>
      <c r="V737" s="30" t="n"/>
      <c r="W737" s="29">
        <f>IF(H737="","",IF(H737="Kenya","Yes","No"))</f>
        <v/>
      </c>
      <c r="X737" s="29">
        <f>IF(B737="","",IF(COUNTIF($B$5:$B$3004,B737)&gt;1,"DUPLICATE","OK"))</f>
        <v/>
      </c>
      <c r="Y737" s="29">
        <f>IF(OR(U737="",V737="",V737="Excluded"),"",IF(COUNTIFS($U$5:$U$3004,U737,$V$5:$V$3004,"&lt;&gt;"&amp;V737,$V$5:$V$3004,"&lt;&gt;",$V$5:$V$3004,"&lt;&gt;Excluded")&gt;0,"LEAK RISK","OK"))</f>
        <v/>
      </c>
      <c r="Z737" s="30" t="n"/>
    </row>
    <row r="738">
      <c r="A738" s="30" t="n"/>
      <c r="B738" s="30" t="n"/>
      <c r="C738" s="30" t="n"/>
      <c r="D738" s="30" t="n"/>
      <c r="E738" s="30" t="n"/>
      <c r="F738" s="30" t="n"/>
      <c r="G738" s="30" t="n"/>
      <c r="H738" s="30" t="n"/>
      <c r="I738" s="31" t="n"/>
      <c r="J738" s="30" t="n"/>
      <c r="K738" s="30" t="n"/>
      <c r="L738" s="30" t="n"/>
      <c r="M738" s="30" t="n"/>
      <c r="N738" s="32" t="n"/>
      <c r="O738" s="30" t="n"/>
      <c r="P738" s="32" t="n"/>
      <c r="Q738" s="30" t="n"/>
      <c r="R738" s="32" t="n"/>
      <c r="S738" s="30" t="n"/>
      <c r="T738" s="30" t="n"/>
      <c r="U738" s="30" t="n"/>
      <c r="V738" s="30" t="n"/>
      <c r="W738" s="29">
        <f>IF(H738="","",IF(H738="Kenya","Yes","No"))</f>
        <v/>
      </c>
      <c r="X738" s="29">
        <f>IF(B738="","",IF(COUNTIF($B$5:$B$3004,B738)&gt;1,"DUPLICATE","OK"))</f>
        <v/>
      </c>
      <c r="Y738" s="29">
        <f>IF(OR(U738="",V738="",V738="Excluded"),"",IF(COUNTIFS($U$5:$U$3004,U738,$V$5:$V$3004,"&lt;&gt;"&amp;V738,$V$5:$V$3004,"&lt;&gt;",$V$5:$V$3004,"&lt;&gt;Excluded")&gt;0,"LEAK RISK","OK"))</f>
        <v/>
      </c>
      <c r="Z738" s="30" t="n"/>
    </row>
    <row r="739">
      <c r="A739" s="30" t="n"/>
      <c r="B739" s="30" t="n"/>
      <c r="C739" s="30" t="n"/>
      <c r="D739" s="30" t="n"/>
      <c r="E739" s="30" t="n"/>
      <c r="F739" s="30" t="n"/>
      <c r="G739" s="30" t="n"/>
      <c r="H739" s="30" t="n"/>
      <c r="I739" s="31" t="n"/>
      <c r="J739" s="30" t="n"/>
      <c r="K739" s="30" t="n"/>
      <c r="L739" s="30" t="n"/>
      <c r="M739" s="30" t="n"/>
      <c r="N739" s="32" t="n"/>
      <c r="O739" s="30" t="n"/>
      <c r="P739" s="32" t="n"/>
      <c r="Q739" s="30" t="n"/>
      <c r="R739" s="32" t="n"/>
      <c r="S739" s="30" t="n"/>
      <c r="T739" s="30" t="n"/>
      <c r="U739" s="30" t="n"/>
      <c r="V739" s="30" t="n"/>
      <c r="W739" s="29">
        <f>IF(H739="","",IF(H739="Kenya","Yes","No"))</f>
        <v/>
      </c>
      <c r="X739" s="29">
        <f>IF(B739="","",IF(COUNTIF($B$5:$B$3004,B739)&gt;1,"DUPLICATE","OK"))</f>
        <v/>
      </c>
      <c r="Y739" s="29">
        <f>IF(OR(U739="",V739="",V739="Excluded"),"",IF(COUNTIFS($U$5:$U$3004,U739,$V$5:$V$3004,"&lt;&gt;"&amp;V739,$V$5:$V$3004,"&lt;&gt;",$V$5:$V$3004,"&lt;&gt;Excluded")&gt;0,"LEAK RISK","OK"))</f>
        <v/>
      </c>
      <c r="Z739" s="30" t="n"/>
    </row>
    <row r="740">
      <c r="A740" s="30" t="n"/>
      <c r="B740" s="30" t="n"/>
      <c r="C740" s="30" t="n"/>
      <c r="D740" s="30" t="n"/>
      <c r="E740" s="30" t="n"/>
      <c r="F740" s="30" t="n"/>
      <c r="G740" s="30" t="n"/>
      <c r="H740" s="30" t="n"/>
      <c r="I740" s="31" t="n"/>
      <c r="J740" s="30" t="n"/>
      <c r="K740" s="30" t="n"/>
      <c r="L740" s="30" t="n"/>
      <c r="M740" s="30" t="n"/>
      <c r="N740" s="32" t="n"/>
      <c r="O740" s="30" t="n"/>
      <c r="P740" s="32" t="n"/>
      <c r="Q740" s="30" t="n"/>
      <c r="R740" s="32" t="n"/>
      <c r="S740" s="30" t="n"/>
      <c r="T740" s="30" t="n"/>
      <c r="U740" s="30" t="n"/>
      <c r="V740" s="30" t="n"/>
      <c r="W740" s="29">
        <f>IF(H740="","",IF(H740="Kenya","Yes","No"))</f>
        <v/>
      </c>
      <c r="X740" s="29">
        <f>IF(B740="","",IF(COUNTIF($B$5:$B$3004,B740)&gt;1,"DUPLICATE","OK"))</f>
        <v/>
      </c>
      <c r="Y740" s="29">
        <f>IF(OR(U740="",V740="",V740="Excluded"),"",IF(COUNTIFS($U$5:$U$3004,U740,$V$5:$V$3004,"&lt;&gt;"&amp;V740,$V$5:$V$3004,"&lt;&gt;",$V$5:$V$3004,"&lt;&gt;Excluded")&gt;0,"LEAK RISK","OK"))</f>
        <v/>
      </c>
      <c r="Z740" s="30" t="n"/>
    </row>
    <row r="741">
      <c r="A741" s="30" t="n"/>
      <c r="B741" s="30" t="n"/>
      <c r="C741" s="30" t="n"/>
      <c r="D741" s="30" t="n"/>
      <c r="E741" s="30" t="n"/>
      <c r="F741" s="30" t="n"/>
      <c r="G741" s="30" t="n"/>
      <c r="H741" s="30" t="n"/>
      <c r="I741" s="31" t="n"/>
      <c r="J741" s="30" t="n"/>
      <c r="K741" s="30" t="n"/>
      <c r="L741" s="30" t="n"/>
      <c r="M741" s="30" t="n"/>
      <c r="N741" s="32" t="n"/>
      <c r="O741" s="30" t="n"/>
      <c r="P741" s="32" t="n"/>
      <c r="Q741" s="30" t="n"/>
      <c r="R741" s="32" t="n"/>
      <c r="S741" s="30" t="n"/>
      <c r="T741" s="30" t="n"/>
      <c r="U741" s="30" t="n"/>
      <c r="V741" s="30" t="n"/>
      <c r="W741" s="29">
        <f>IF(H741="","",IF(H741="Kenya","Yes","No"))</f>
        <v/>
      </c>
      <c r="X741" s="29">
        <f>IF(B741="","",IF(COUNTIF($B$5:$B$3004,B741)&gt;1,"DUPLICATE","OK"))</f>
        <v/>
      </c>
      <c r="Y741" s="29">
        <f>IF(OR(U741="",V741="",V741="Excluded"),"",IF(COUNTIFS($U$5:$U$3004,U741,$V$5:$V$3004,"&lt;&gt;"&amp;V741,$V$5:$V$3004,"&lt;&gt;",$V$5:$V$3004,"&lt;&gt;Excluded")&gt;0,"LEAK RISK","OK"))</f>
        <v/>
      </c>
      <c r="Z741" s="30" t="n"/>
    </row>
    <row r="742">
      <c r="A742" s="30" t="n"/>
      <c r="B742" s="30" t="n"/>
      <c r="C742" s="30" t="n"/>
      <c r="D742" s="30" t="n"/>
      <c r="E742" s="30" t="n"/>
      <c r="F742" s="30" t="n"/>
      <c r="G742" s="30" t="n"/>
      <c r="H742" s="30" t="n"/>
      <c r="I742" s="31" t="n"/>
      <c r="J742" s="30" t="n"/>
      <c r="K742" s="30" t="n"/>
      <c r="L742" s="30" t="n"/>
      <c r="M742" s="30" t="n"/>
      <c r="N742" s="32" t="n"/>
      <c r="O742" s="30" t="n"/>
      <c r="P742" s="32" t="n"/>
      <c r="Q742" s="30" t="n"/>
      <c r="R742" s="32" t="n"/>
      <c r="S742" s="30" t="n"/>
      <c r="T742" s="30" t="n"/>
      <c r="U742" s="30" t="n"/>
      <c r="V742" s="30" t="n"/>
      <c r="W742" s="29">
        <f>IF(H742="","",IF(H742="Kenya","Yes","No"))</f>
        <v/>
      </c>
      <c r="X742" s="29">
        <f>IF(B742="","",IF(COUNTIF($B$5:$B$3004,B742)&gt;1,"DUPLICATE","OK"))</f>
        <v/>
      </c>
      <c r="Y742" s="29">
        <f>IF(OR(U742="",V742="",V742="Excluded"),"",IF(COUNTIFS($U$5:$U$3004,U742,$V$5:$V$3004,"&lt;&gt;"&amp;V742,$V$5:$V$3004,"&lt;&gt;",$V$5:$V$3004,"&lt;&gt;Excluded")&gt;0,"LEAK RISK","OK"))</f>
        <v/>
      </c>
      <c r="Z742" s="30" t="n"/>
    </row>
    <row r="743">
      <c r="A743" s="30" t="n"/>
      <c r="B743" s="30" t="n"/>
      <c r="C743" s="30" t="n"/>
      <c r="D743" s="30" t="n"/>
      <c r="E743" s="30" t="n"/>
      <c r="F743" s="30" t="n"/>
      <c r="G743" s="30" t="n"/>
      <c r="H743" s="30" t="n"/>
      <c r="I743" s="31" t="n"/>
      <c r="J743" s="30" t="n"/>
      <c r="K743" s="30" t="n"/>
      <c r="L743" s="30" t="n"/>
      <c r="M743" s="30" t="n"/>
      <c r="N743" s="32" t="n"/>
      <c r="O743" s="30" t="n"/>
      <c r="P743" s="32" t="n"/>
      <c r="Q743" s="30" t="n"/>
      <c r="R743" s="32" t="n"/>
      <c r="S743" s="30" t="n"/>
      <c r="T743" s="30" t="n"/>
      <c r="U743" s="30" t="n"/>
      <c r="V743" s="30" t="n"/>
      <c r="W743" s="29">
        <f>IF(H743="","",IF(H743="Kenya","Yes","No"))</f>
        <v/>
      </c>
      <c r="X743" s="29">
        <f>IF(B743="","",IF(COUNTIF($B$5:$B$3004,B743)&gt;1,"DUPLICATE","OK"))</f>
        <v/>
      </c>
      <c r="Y743" s="29">
        <f>IF(OR(U743="",V743="",V743="Excluded"),"",IF(COUNTIFS($U$5:$U$3004,U743,$V$5:$V$3004,"&lt;&gt;"&amp;V743,$V$5:$V$3004,"&lt;&gt;",$V$5:$V$3004,"&lt;&gt;Excluded")&gt;0,"LEAK RISK","OK"))</f>
        <v/>
      </c>
      <c r="Z743" s="30" t="n"/>
    </row>
    <row r="744">
      <c r="A744" s="30" t="n"/>
      <c r="B744" s="30" t="n"/>
      <c r="C744" s="30" t="n"/>
      <c r="D744" s="30" t="n"/>
      <c r="E744" s="30" t="n"/>
      <c r="F744" s="30" t="n"/>
      <c r="G744" s="30" t="n"/>
      <c r="H744" s="30" t="n"/>
      <c r="I744" s="31" t="n"/>
      <c r="J744" s="30" t="n"/>
      <c r="K744" s="30" t="n"/>
      <c r="L744" s="30" t="n"/>
      <c r="M744" s="30" t="n"/>
      <c r="N744" s="32" t="n"/>
      <c r="O744" s="30" t="n"/>
      <c r="P744" s="32" t="n"/>
      <c r="Q744" s="30" t="n"/>
      <c r="R744" s="32" t="n"/>
      <c r="S744" s="30" t="n"/>
      <c r="T744" s="30" t="n"/>
      <c r="U744" s="30" t="n"/>
      <c r="V744" s="30" t="n"/>
      <c r="W744" s="29">
        <f>IF(H744="","",IF(H744="Kenya","Yes","No"))</f>
        <v/>
      </c>
      <c r="X744" s="29">
        <f>IF(B744="","",IF(COUNTIF($B$5:$B$3004,B744)&gt;1,"DUPLICATE","OK"))</f>
        <v/>
      </c>
      <c r="Y744" s="29">
        <f>IF(OR(U744="",V744="",V744="Excluded"),"",IF(COUNTIFS($U$5:$U$3004,U744,$V$5:$V$3004,"&lt;&gt;"&amp;V744,$V$5:$V$3004,"&lt;&gt;",$V$5:$V$3004,"&lt;&gt;Excluded")&gt;0,"LEAK RISK","OK"))</f>
        <v/>
      </c>
      <c r="Z744" s="30" t="n"/>
    </row>
    <row r="745">
      <c r="A745" s="30" t="n"/>
      <c r="B745" s="30" t="n"/>
      <c r="C745" s="30" t="n"/>
      <c r="D745" s="30" t="n"/>
      <c r="E745" s="30" t="n"/>
      <c r="F745" s="30" t="n"/>
      <c r="G745" s="30" t="n"/>
      <c r="H745" s="30" t="n"/>
      <c r="I745" s="31" t="n"/>
      <c r="J745" s="30" t="n"/>
      <c r="K745" s="30" t="n"/>
      <c r="L745" s="30" t="n"/>
      <c r="M745" s="30" t="n"/>
      <c r="N745" s="32" t="n"/>
      <c r="O745" s="30" t="n"/>
      <c r="P745" s="32" t="n"/>
      <c r="Q745" s="30" t="n"/>
      <c r="R745" s="32" t="n"/>
      <c r="S745" s="30" t="n"/>
      <c r="T745" s="30" t="n"/>
      <c r="U745" s="30" t="n"/>
      <c r="V745" s="30" t="n"/>
      <c r="W745" s="29">
        <f>IF(H745="","",IF(H745="Kenya","Yes","No"))</f>
        <v/>
      </c>
      <c r="X745" s="29">
        <f>IF(B745="","",IF(COUNTIF($B$5:$B$3004,B745)&gt;1,"DUPLICATE","OK"))</f>
        <v/>
      </c>
      <c r="Y745" s="29">
        <f>IF(OR(U745="",V745="",V745="Excluded"),"",IF(COUNTIFS($U$5:$U$3004,U745,$V$5:$V$3004,"&lt;&gt;"&amp;V745,$V$5:$V$3004,"&lt;&gt;",$V$5:$V$3004,"&lt;&gt;Excluded")&gt;0,"LEAK RISK","OK"))</f>
        <v/>
      </c>
      <c r="Z745" s="30" t="n"/>
    </row>
    <row r="746">
      <c r="A746" s="30" t="n"/>
      <c r="B746" s="30" t="n"/>
      <c r="C746" s="30" t="n"/>
      <c r="D746" s="30" t="n"/>
      <c r="E746" s="30" t="n"/>
      <c r="F746" s="30" t="n"/>
      <c r="G746" s="30" t="n"/>
      <c r="H746" s="30" t="n"/>
      <c r="I746" s="31" t="n"/>
      <c r="J746" s="30" t="n"/>
      <c r="K746" s="30" t="n"/>
      <c r="L746" s="30" t="n"/>
      <c r="M746" s="30" t="n"/>
      <c r="N746" s="32" t="n"/>
      <c r="O746" s="30" t="n"/>
      <c r="P746" s="32" t="n"/>
      <c r="Q746" s="30" t="n"/>
      <c r="R746" s="32" t="n"/>
      <c r="S746" s="30" t="n"/>
      <c r="T746" s="30" t="n"/>
      <c r="U746" s="30" t="n"/>
      <c r="V746" s="30" t="n"/>
      <c r="W746" s="29">
        <f>IF(H746="","",IF(H746="Kenya","Yes","No"))</f>
        <v/>
      </c>
      <c r="X746" s="29">
        <f>IF(B746="","",IF(COUNTIF($B$5:$B$3004,B746)&gt;1,"DUPLICATE","OK"))</f>
        <v/>
      </c>
      <c r="Y746" s="29">
        <f>IF(OR(U746="",V746="",V746="Excluded"),"",IF(COUNTIFS($U$5:$U$3004,U746,$V$5:$V$3004,"&lt;&gt;"&amp;V746,$V$5:$V$3004,"&lt;&gt;",$V$5:$V$3004,"&lt;&gt;Excluded")&gt;0,"LEAK RISK","OK"))</f>
        <v/>
      </c>
      <c r="Z746" s="30" t="n"/>
    </row>
    <row r="747">
      <c r="A747" s="30" t="n"/>
      <c r="B747" s="30" t="n"/>
      <c r="C747" s="30" t="n"/>
      <c r="D747" s="30" t="n"/>
      <c r="E747" s="30" t="n"/>
      <c r="F747" s="30" t="n"/>
      <c r="G747" s="30" t="n"/>
      <c r="H747" s="30" t="n"/>
      <c r="I747" s="31" t="n"/>
      <c r="J747" s="30" t="n"/>
      <c r="K747" s="30" t="n"/>
      <c r="L747" s="30" t="n"/>
      <c r="M747" s="30" t="n"/>
      <c r="N747" s="32" t="n"/>
      <c r="O747" s="30" t="n"/>
      <c r="P747" s="32" t="n"/>
      <c r="Q747" s="30" t="n"/>
      <c r="R747" s="32" t="n"/>
      <c r="S747" s="30" t="n"/>
      <c r="T747" s="30" t="n"/>
      <c r="U747" s="30" t="n"/>
      <c r="V747" s="30" t="n"/>
      <c r="W747" s="29">
        <f>IF(H747="","",IF(H747="Kenya","Yes","No"))</f>
        <v/>
      </c>
      <c r="X747" s="29">
        <f>IF(B747="","",IF(COUNTIF($B$5:$B$3004,B747)&gt;1,"DUPLICATE","OK"))</f>
        <v/>
      </c>
      <c r="Y747" s="29">
        <f>IF(OR(U747="",V747="",V747="Excluded"),"",IF(COUNTIFS($U$5:$U$3004,U747,$V$5:$V$3004,"&lt;&gt;"&amp;V747,$V$5:$V$3004,"&lt;&gt;",$V$5:$V$3004,"&lt;&gt;Excluded")&gt;0,"LEAK RISK","OK"))</f>
        <v/>
      </c>
      <c r="Z747" s="30" t="n"/>
    </row>
    <row r="748">
      <c r="A748" s="30" t="n"/>
      <c r="B748" s="30" t="n"/>
      <c r="C748" s="30" t="n"/>
      <c r="D748" s="30" t="n"/>
      <c r="E748" s="30" t="n"/>
      <c r="F748" s="30" t="n"/>
      <c r="G748" s="30" t="n"/>
      <c r="H748" s="30" t="n"/>
      <c r="I748" s="31" t="n"/>
      <c r="J748" s="30" t="n"/>
      <c r="K748" s="30" t="n"/>
      <c r="L748" s="30" t="n"/>
      <c r="M748" s="30" t="n"/>
      <c r="N748" s="32" t="n"/>
      <c r="O748" s="30" t="n"/>
      <c r="P748" s="32" t="n"/>
      <c r="Q748" s="30" t="n"/>
      <c r="R748" s="32" t="n"/>
      <c r="S748" s="30" t="n"/>
      <c r="T748" s="30" t="n"/>
      <c r="U748" s="30" t="n"/>
      <c r="V748" s="30" t="n"/>
      <c r="W748" s="29">
        <f>IF(H748="","",IF(H748="Kenya","Yes","No"))</f>
        <v/>
      </c>
      <c r="X748" s="29">
        <f>IF(B748="","",IF(COUNTIF($B$5:$B$3004,B748)&gt;1,"DUPLICATE","OK"))</f>
        <v/>
      </c>
      <c r="Y748" s="29">
        <f>IF(OR(U748="",V748="",V748="Excluded"),"",IF(COUNTIFS($U$5:$U$3004,U748,$V$5:$V$3004,"&lt;&gt;"&amp;V748,$V$5:$V$3004,"&lt;&gt;",$V$5:$V$3004,"&lt;&gt;Excluded")&gt;0,"LEAK RISK","OK"))</f>
        <v/>
      </c>
      <c r="Z748" s="30" t="n"/>
    </row>
    <row r="749">
      <c r="A749" s="30" t="n"/>
      <c r="B749" s="30" t="n"/>
      <c r="C749" s="30" t="n"/>
      <c r="D749" s="30" t="n"/>
      <c r="E749" s="30" t="n"/>
      <c r="F749" s="30" t="n"/>
      <c r="G749" s="30" t="n"/>
      <c r="H749" s="30" t="n"/>
      <c r="I749" s="31" t="n"/>
      <c r="J749" s="30" t="n"/>
      <c r="K749" s="30" t="n"/>
      <c r="L749" s="30" t="n"/>
      <c r="M749" s="30" t="n"/>
      <c r="N749" s="32" t="n"/>
      <c r="O749" s="30" t="n"/>
      <c r="P749" s="32" t="n"/>
      <c r="Q749" s="30" t="n"/>
      <c r="R749" s="32" t="n"/>
      <c r="S749" s="30" t="n"/>
      <c r="T749" s="30" t="n"/>
      <c r="U749" s="30" t="n"/>
      <c r="V749" s="30" t="n"/>
      <c r="W749" s="29">
        <f>IF(H749="","",IF(H749="Kenya","Yes","No"))</f>
        <v/>
      </c>
      <c r="X749" s="29">
        <f>IF(B749="","",IF(COUNTIF($B$5:$B$3004,B749)&gt;1,"DUPLICATE","OK"))</f>
        <v/>
      </c>
      <c r="Y749" s="29">
        <f>IF(OR(U749="",V749="",V749="Excluded"),"",IF(COUNTIFS($U$5:$U$3004,U749,$V$5:$V$3004,"&lt;&gt;"&amp;V749,$V$5:$V$3004,"&lt;&gt;",$V$5:$V$3004,"&lt;&gt;Excluded")&gt;0,"LEAK RISK","OK"))</f>
        <v/>
      </c>
      <c r="Z749" s="30" t="n"/>
    </row>
    <row r="750">
      <c r="A750" s="30" t="n"/>
      <c r="B750" s="30" t="n"/>
      <c r="C750" s="30" t="n"/>
      <c r="D750" s="30" t="n"/>
      <c r="E750" s="30" t="n"/>
      <c r="F750" s="30" t="n"/>
      <c r="G750" s="30" t="n"/>
      <c r="H750" s="30" t="n"/>
      <c r="I750" s="31" t="n"/>
      <c r="J750" s="30" t="n"/>
      <c r="K750" s="30" t="n"/>
      <c r="L750" s="30" t="n"/>
      <c r="M750" s="30" t="n"/>
      <c r="N750" s="32" t="n"/>
      <c r="O750" s="30" t="n"/>
      <c r="P750" s="32" t="n"/>
      <c r="Q750" s="30" t="n"/>
      <c r="R750" s="32" t="n"/>
      <c r="S750" s="30" t="n"/>
      <c r="T750" s="30" t="n"/>
      <c r="U750" s="30" t="n"/>
      <c r="V750" s="30" t="n"/>
      <c r="W750" s="29">
        <f>IF(H750="","",IF(H750="Kenya","Yes","No"))</f>
        <v/>
      </c>
      <c r="X750" s="29">
        <f>IF(B750="","",IF(COUNTIF($B$5:$B$3004,B750)&gt;1,"DUPLICATE","OK"))</f>
        <v/>
      </c>
      <c r="Y750" s="29">
        <f>IF(OR(U750="",V750="",V750="Excluded"),"",IF(COUNTIFS($U$5:$U$3004,U750,$V$5:$V$3004,"&lt;&gt;"&amp;V750,$V$5:$V$3004,"&lt;&gt;",$V$5:$V$3004,"&lt;&gt;Excluded")&gt;0,"LEAK RISK","OK"))</f>
        <v/>
      </c>
      <c r="Z750" s="30" t="n"/>
    </row>
    <row r="751">
      <c r="A751" s="30" t="n"/>
      <c r="B751" s="30" t="n"/>
      <c r="C751" s="30" t="n"/>
      <c r="D751" s="30" t="n"/>
      <c r="E751" s="30" t="n"/>
      <c r="F751" s="30" t="n"/>
      <c r="G751" s="30" t="n"/>
      <c r="H751" s="30" t="n"/>
      <c r="I751" s="31" t="n"/>
      <c r="J751" s="30" t="n"/>
      <c r="K751" s="30" t="n"/>
      <c r="L751" s="30" t="n"/>
      <c r="M751" s="30" t="n"/>
      <c r="N751" s="32" t="n"/>
      <c r="O751" s="30" t="n"/>
      <c r="P751" s="32" t="n"/>
      <c r="Q751" s="30" t="n"/>
      <c r="R751" s="32" t="n"/>
      <c r="S751" s="30" t="n"/>
      <c r="T751" s="30" t="n"/>
      <c r="U751" s="30" t="n"/>
      <c r="V751" s="30" t="n"/>
      <c r="W751" s="29">
        <f>IF(H751="","",IF(H751="Kenya","Yes","No"))</f>
        <v/>
      </c>
      <c r="X751" s="29">
        <f>IF(B751="","",IF(COUNTIF($B$5:$B$3004,B751)&gt;1,"DUPLICATE","OK"))</f>
        <v/>
      </c>
      <c r="Y751" s="29">
        <f>IF(OR(U751="",V751="",V751="Excluded"),"",IF(COUNTIFS($U$5:$U$3004,U751,$V$5:$V$3004,"&lt;&gt;"&amp;V751,$V$5:$V$3004,"&lt;&gt;",$V$5:$V$3004,"&lt;&gt;Excluded")&gt;0,"LEAK RISK","OK"))</f>
        <v/>
      </c>
      <c r="Z751" s="30" t="n"/>
    </row>
    <row r="752">
      <c r="A752" s="30" t="n"/>
      <c r="B752" s="30" t="n"/>
      <c r="C752" s="30" t="n"/>
      <c r="D752" s="30" t="n"/>
      <c r="E752" s="30" t="n"/>
      <c r="F752" s="30" t="n"/>
      <c r="G752" s="30" t="n"/>
      <c r="H752" s="30" t="n"/>
      <c r="I752" s="31" t="n"/>
      <c r="J752" s="30" t="n"/>
      <c r="K752" s="30" t="n"/>
      <c r="L752" s="30" t="n"/>
      <c r="M752" s="30" t="n"/>
      <c r="N752" s="32" t="n"/>
      <c r="O752" s="30" t="n"/>
      <c r="P752" s="32" t="n"/>
      <c r="Q752" s="30" t="n"/>
      <c r="R752" s="32" t="n"/>
      <c r="S752" s="30" t="n"/>
      <c r="T752" s="30" t="n"/>
      <c r="U752" s="30" t="n"/>
      <c r="V752" s="30" t="n"/>
      <c r="W752" s="29">
        <f>IF(H752="","",IF(H752="Kenya","Yes","No"))</f>
        <v/>
      </c>
      <c r="X752" s="29">
        <f>IF(B752="","",IF(COUNTIF($B$5:$B$3004,B752)&gt;1,"DUPLICATE","OK"))</f>
        <v/>
      </c>
      <c r="Y752" s="29">
        <f>IF(OR(U752="",V752="",V752="Excluded"),"",IF(COUNTIFS($U$5:$U$3004,U752,$V$5:$V$3004,"&lt;&gt;"&amp;V752,$V$5:$V$3004,"&lt;&gt;",$V$5:$V$3004,"&lt;&gt;Excluded")&gt;0,"LEAK RISK","OK"))</f>
        <v/>
      </c>
      <c r="Z752" s="30" t="n"/>
    </row>
    <row r="753">
      <c r="A753" s="30" t="n"/>
      <c r="B753" s="30" t="n"/>
      <c r="C753" s="30" t="n"/>
      <c r="D753" s="30" t="n"/>
      <c r="E753" s="30" t="n"/>
      <c r="F753" s="30" t="n"/>
      <c r="G753" s="30" t="n"/>
      <c r="H753" s="30" t="n"/>
      <c r="I753" s="31" t="n"/>
      <c r="J753" s="30" t="n"/>
      <c r="K753" s="30" t="n"/>
      <c r="L753" s="30" t="n"/>
      <c r="M753" s="30" t="n"/>
      <c r="N753" s="32" t="n"/>
      <c r="O753" s="30" t="n"/>
      <c r="P753" s="32" t="n"/>
      <c r="Q753" s="30" t="n"/>
      <c r="R753" s="32" t="n"/>
      <c r="S753" s="30" t="n"/>
      <c r="T753" s="30" t="n"/>
      <c r="U753" s="30" t="n"/>
      <c r="V753" s="30" t="n"/>
      <c r="W753" s="29">
        <f>IF(H753="","",IF(H753="Kenya","Yes","No"))</f>
        <v/>
      </c>
      <c r="X753" s="29">
        <f>IF(B753="","",IF(COUNTIF($B$5:$B$3004,B753)&gt;1,"DUPLICATE","OK"))</f>
        <v/>
      </c>
      <c r="Y753" s="29">
        <f>IF(OR(U753="",V753="",V753="Excluded"),"",IF(COUNTIFS($U$5:$U$3004,U753,$V$5:$V$3004,"&lt;&gt;"&amp;V753,$V$5:$V$3004,"&lt;&gt;",$V$5:$V$3004,"&lt;&gt;Excluded")&gt;0,"LEAK RISK","OK"))</f>
        <v/>
      </c>
      <c r="Z753" s="30" t="n"/>
    </row>
    <row r="754">
      <c r="A754" s="30" t="n"/>
      <c r="B754" s="30" t="n"/>
      <c r="C754" s="30" t="n"/>
      <c r="D754" s="30" t="n"/>
      <c r="E754" s="30" t="n"/>
      <c r="F754" s="30" t="n"/>
      <c r="G754" s="30" t="n"/>
      <c r="H754" s="30" t="n"/>
      <c r="I754" s="31" t="n"/>
      <c r="J754" s="30" t="n"/>
      <c r="K754" s="30" t="n"/>
      <c r="L754" s="30" t="n"/>
      <c r="M754" s="30" t="n"/>
      <c r="N754" s="32" t="n"/>
      <c r="O754" s="30" t="n"/>
      <c r="P754" s="32" t="n"/>
      <c r="Q754" s="30" t="n"/>
      <c r="R754" s="32" t="n"/>
      <c r="S754" s="30" t="n"/>
      <c r="T754" s="30" t="n"/>
      <c r="U754" s="30" t="n"/>
      <c r="V754" s="30" t="n"/>
      <c r="W754" s="29">
        <f>IF(H754="","",IF(H754="Kenya","Yes","No"))</f>
        <v/>
      </c>
      <c r="X754" s="29">
        <f>IF(B754="","",IF(COUNTIF($B$5:$B$3004,B754)&gt;1,"DUPLICATE","OK"))</f>
        <v/>
      </c>
      <c r="Y754" s="29">
        <f>IF(OR(U754="",V754="",V754="Excluded"),"",IF(COUNTIFS($U$5:$U$3004,U754,$V$5:$V$3004,"&lt;&gt;"&amp;V754,$V$5:$V$3004,"&lt;&gt;",$V$5:$V$3004,"&lt;&gt;Excluded")&gt;0,"LEAK RISK","OK"))</f>
        <v/>
      </c>
      <c r="Z754" s="30" t="n"/>
    </row>
    <row r="755">
      <c r="A755" s="30" t="n"/>
      <c r="B755" s="30" t="n"/>
      <c r="C755" s="30" t="n"/>
      <c r="D755" s="30" t="n"/>
      <c r="E755" s="30" t="n"/>
      <c r="F755" s="30" t="n"/>
      <c r="G755" s="30" t="n"/>
      <c r="H755" s="30" t="n"/>
      <c r="I755" s="31" t="n"/>
      <c r="J755" s="30" t="n"/>
      <c r="K755" s="30" t="n"/>
      <c r="L755" s="30" t="n"/>
      <c r="M755" s="30" t="n"/>
      <c r="N755" s="32" t="n"/>
      <c r="O755" s="30" t="n"/>
      <c r="P755" s="32" t="n"/>
      <c r="Q755" s="30" t="n"/>
      <c r="R755" s="32" t="n"/>
      <c r="S755" s="30" t="n"/>
      <c r="T755" s="30" t="n"/>
      <c r="U755" s="30" t="n"/>
      <c r="V755" s="30" t="n"/>
      <c r="W755" s="29">
        <f>IF(H755="","",IF(H755="Kenya","Yes","No"))</f>
        <v/>
      </c>
      <c r="X755" s="29">
        <f>IF(B755="","",IF(COUNTIF($B$5:$B$3004,B755)&gt;1,"DUPLICATE","OK"))</f>
        <v/>
      </c>
      <c r="Y755" s="29">
        <f>IF(OR(U755="",V755="",V755="Excluded"),"",IF(COUNTIFS($U$5:$U$3004,U755,$V$5:$V$3004,"&lt;&gt;"&amp;V755,$V$5:$V$3004,"&lt;&gt;",$V$5:$V$3004,"&lt;&gt;Excluded")&gt;0,"LEAK RISK","OK"))</f>
        <v/>
      </c>
      <c r="Z755" s="30" t="n"/>
    </row>
    <row r="756">
      <c r="A756" s="30" t="n"/>
      <c r="B756" s="30" t="n"/>
      <c r="C756" s="30" t="n"/>
      <c r="D756" s="30" t="n"/>
      <c r="E756" s="30" t="n"/>
      <c r="F756" s="30" t="n"/>
      <c r="G756" s="30" t="n"/>
      <c r="H756" s="30" t="n"/>
      <c r="I756" s="31" t="n"/>
      <c r="J756" s="30" t="n"/>
      <c r="K756" s="30" t="n"/>
      <c r="L756" s="30" t="n"/>
      <c r="M756" s="30" t="n"/>
      <c r="N756" s="32" t="n"/>
      <c r="O756" s="30" t="n"/>
      <c r="P756" s="32" t="n"/>
      <c r="Q756" s="30" t="n"/>
      <c r="R756" s="32" t="n"/>
      <c r="S756" s="30" t="n"/>
      <c r="T756" s="30" t="n"/>
      <c r="U756" s="30" t="n"/>
      <c r="V756" s="30" t="n"/>
      <c r="W756" s="29">
        <f>IF(H756="","",IF(H756="Kenya","Yes","No"))</f>
        <v/>
      </c>
      <c r="X756" s="29">
        <f>IF(B756="","",IF(COUNTIF($B$5:$B$3004,B756)&gt;1,"DUPLICATE","OK"))</f>
        <v/>
      </c>
      <c r="Y756" s="29">
        <f>IF(OR(U756="",V756="",V756="Excluded"),"",IF(COUNTIFS($U$5:$U$3004,U756,$V$5:$V$3004,"&lt;&gt;"&amp;V756,$V$5:$V$3004,"&lt;&gt;",$V$5:$V$3004,"&lt;&gt;Excluded")&gt;0,"LEAK RISK","OK"))</f>
        <v/>
      </c>
      <c r="Z756" s="30" t="n"/>
    </row>
    <row r="757">
      <c r="A757" s="30" t="n"/>
      <c r="B757" s="30" t="n"/>
      <c r="C757" s="30" t="n"/>
      <c r="D757" s="30" t="n"/>
      <c r="E757" s="30" t="n"/>
      <c r="F757" s="30" t="n"/>
      <c r="G757" s="30" t="n"/>
      <c r="H757" s="30" t="n"/>
      <c r="I757" s="31" t="n"/>
      <c r="J757" s="30" t="n"/>
      <c r="K757" s="30" t="n"/>
      <c r="L757" s="30" t="n"/>
      <c r="M757" s="30" t="n"/>
      <c r="N757" s="32" t="n"/>
      <c r="O757" s="30" t="n"/>
      <c r="P757" s="32" t="n"/>
      <c r="Q757" s="30" t="n"/>
      <c r="R757" s="32" t="n"/>
      <c r="S757" s="30" t="n"/>
      <c r="T757" s="30" t="n"/>
      <c r="U757" s="30" t="n"/>
      <c r="V757" s="30" t="n"/>
      <c r="W757" s="29">
        <f>IF(H757="","",IF(H757="Kenya","Yes","No"))</f>
        <v/>
      </c>
      <c r="X757" s="29">
        <f>IF(B757="","",IF(COUNTIF($B$5:$B$3004,B757)&gt;1,"DUPLICATE","OK"))</f>
        <v/>
      </c>
      <c r="Y757" s="29">
        <f>IF(OR(U757="",V757="",V757="Excluded"),"",IF(COUNTIFS($U$5:$U$3004,U757,$V$5:$V$3004,"&lt;&gt;"&amp;V757,$V$5:$V$3004,"&lt;&gt;",$V$5:$V$3004,"&lt;&gt;Excluded")&gt;0,"LEAK RISK","OK"))</f>
        <v/>
      </c>
      <c r="Z757" s="30" t="n"/>
    </row>
    <row r="758">
      <c r="A758" s="30" t="n"/>
      <c r="B758" s="30" t="n"/>
      <c r="C758" s="30" t="n"/>
      <c r="D758" s="30" t="n"/>
      <c r="E758" s="30" t="n"/>
      <c r="F758" s="30" t="n"/>
      <c r="G758" s="30" t="n"/>
      <c r="H758" s="30" t="n"/>
      <c r="I758" s="31" t="n"/>
      <c r="J758" s="30" t="n"/>
      <c r="K758" s="30" t="n"/>
      <c r="L758" s="30" t="n"/>
      <c r="M758" s="30" t="n"/>
      <c r="N758" s="32" t="n"/>
      <c r="O758" s="30" t="n"/>
      <c r="P758" s="32" t="n"/>
      <c r="Q758" s="30" t="n"/>
      <c r="R758" s="32" t="n"/>
      <c r="S758" s="30" t="n"/>
      <c r="T758" s="30" t="n"/>
      <c r="U758" s="30" t="n"/>
      <c r="V758" s="30" t="n"/>
      <c r="W758" s="29">
        <f>IF(H758="","",IF(H758="Kenya","Yes","No"))</f>
        <v/>
      </c>
      <c r="X758" s="29">
        <f>IF(B758="","",IF(COUNTIF($B$5:$B$3004,B758)&gt;1,"DUPLICATE","OK"))</f>
        <v/>
      </c>
      <c r="Y758" s="29">
        <f>IF(OR(U758="",V758="",V758="Excluded"),"",IF(COUNTIFS($U$5:$U$3004,U758,$V$5:$V$3004,"&lt;&gt;"&amp;V758,$V$5:$V$3004,"&lt;&gt;",$V$5:$V$3004,"&lt;&gt;Excluded")&gt;0,"LEAK RISK","OK"))</f>
        <v/>
      </c>
      <c r="Z758" s="30" t="n"/>
    </row>
    <row r="759">
      <c r="A759" s="30" t="n"/>
      <c r="B759" s="30" t="n"/>
      <c r="C759" s="30" t="n"/>
      <c r="D759" s="30" t="n"/>
      <c r="E759" s="30" t="n"/>
      <c r="F759" s="30" t="n"/>
      <c r="G759" s="30" t="n"/>
      <c r="H759" s="30" t="n"/>
      <c r="I759" s="31" t="n"/>
      <c r="J759" s="30" t="n"/>
      <c r="K759" s="30" t="n"/>
      <c r="L759" s="30" t="n"/>
      <c r="M759" s="30" t="n"/>
      <c r="N759" s="32" t="n"/>
      <c r="O759" s="30" t="n"/>
      <c r="P759" s="32" t="n"/>
      <c r="Q759" s="30" t="n"/>
      <c r="R759" s="32" t="n"/>
      <c r="S759" s="30" t="n"/>
      <c r="T759" s="30" t="n"/>
      <c r="U759" s="30" t="n"/>
      <c r="V759" s="30" t="n"/>
      <c r="W759" s="29">
        <f>IF(H759="","",IF(H759="Kenya","Yes","No"))</f>
        <v/>
      </c>
      <c r="X759" s="29">
        <f>IF(B759="","",IF(COUNTIF($B$5:$B$3004,B759)&gt;1,"DUPLICATE","OK"))</f>
        <v/>
      </c>
      <c r="Y759" s="29">
        <f>IF(OR(U759="",V759="",V759="Excluded"),"",IF(COUNTIFS($U$5:$U$3004,U759,$V$5:$V$3004,"&lt;&gt;"&amp;V759,$V$5:$V$3004,"&lt;&gt;",$V$5:$V$3004,"&lt;&gt;Excluded")&gt;0,"LEAK RISK","OK"))</f>
        <v/>
      </c>
      <c r="Z759" s="30" t="n"/>
    </row>
    <row r="760">
      <c r="A760" s="30" t="n"/>
      <c r="B760" s="30" t="n"/>
      <c r="C760" s="30" t="n"/>
      <c r="D760" s="30" t="n"/>
      <c r="E760" s="30" t="n"/>
      <c r="F760" s="30" t="n"/>
      <c r="G760" s="30" t="n"/>
      <c r="H760" s="30" t="n"/>
      <c r="I760" s="31" t="n"/>
      <c r="J760" s="30" t="n"/>
      <c r="K760" s="30" t="n"/>
      <c r="L760" s="30" t="n"/>
      <c r="M760" s="30" t="n"/>
      <c r="N760" s="32" t="n"/>
      <c r="O760" s="30" t="n"/>
      <c r="P760" s="32" t="n"/>
      <c r="Q760" s="30" t="n"/>
      <c r="R760" s="32" t="n"/>
      <c r="S760" s="30" t="n"/>
      <c r="T760" s="30" t="n"/>
      <c r="U760" s="30" t="n"/>
      <c r="V760" s="30" t="n"/>
      <c r="W760" s="29">
        <f>IF(H760="","",IF(H760="Kenya","Yes","No"))</f>
        <v/>
      </c>
      <c r="X760" s="29">
        <f>IF(B760="","",IF(COUNTIF($B$5:$B$3004,B760)&gt;1,"DUPLICATE","OK"))</f>
        <v/>
      </c>
      <c r="Y760" s="29">
        <f>IF(OR(U760="",V760="",V760="Excluded"),"",IF(COUNTIFS($U$5:$U$3004,U760,$V$5:$V$3004,"&lt;&gt;"&amp;V760,$V$5:$V$3004,"&lt;&gt;",$V$5:$V$3004,"&lt;&gt;Excluded")&gt;0,"LEAK RISK","OK"))</f>
        <v/>
      </c>
      <c r="Z760" s="30" t="n"/>
    </row>
    <row r="761">
      <c r="A761" s="30" t="n"/>
      <c r="B761" s="30" t="n"/>
      <c r="C761" s="30" t="n"/>
      <c r="D761" s="30" t="n"/>
      <c r="E761" s="30" t="n"/>
      <c r="F761" s="30" t="n"/>
      <c r="G761" s="30" t="n"/>
      <c r="H761" s="30" t="n"/>
      <c r="I761" s="31" t="n"/>
      <c r="J761" s="30" t="n"/>
      <c r="K761" s="30" t="n"/>
      <c r="L761" s="30" t="n"/>
      <c r="M761" s="30" t="n"/>
      <c r="N761" s="32" t="n"/>
      <c r="O761" s="30" t="n"/>
      <c r="P761" s="32" t="n"/>
      <c r="Q761" s="30" t="n"/>
      <c r="R761" s="32" t="n"/>
      <c r="S761" s="30" t="n"/>
      <c r="T761" s="30" t="n"/>
      <c r="U761" s="30" t="n"/>
      <c r="V761" s="30" t="n"/>
      <c r="W761" s="29">
        <f>IF(H761="","",IF(H761="Kenya","Yes","No"))</f>
        <v/>
      </c>
      <c r="X761" s="29">
        <f>IF(B761="","",IF(COUNTIF($B$5:$B$3004,B761)&gt;1,"DUPLICATE","OK"))</f>
        <v/>
      </c>
      <c r="Y761" s="29">
        <f>IF(OR(U761="",V761="",V761="Excluded"),"",IF(COUNTIFS($U$5:$U$3004,U761,$V$5:$V$3004,"&lt;&gt;"&amp;V761,$V$5:$V$3004,"&lt;&gt;",$V$5:$V$3004,"&lt;&gt;Excluded")&gt;0,"LEAK RISK","OK"))</f>
        <v/>
      </c>
      <c r="Z761" s="30" t="n"/>
    </row>
    <row r="762">
      <c r="A762" s="30" t="n"/>
      <c r="B762" s="30" t="n"/>
      <c r="C762" s="30" t="n"/>
      <c r="D762" s="30" t="n"/>
      <c r="E762" s="30" t="n"/>
      <c r="F762" s="30" t="n"/>
      <c r="G762" s="30" t="n"/>
      <c r="H762" s="30" t="n"/>
      <c r="I762" s="31" t="n"/>
      <c r="J762" s="30" t="n"/>
      <c r="K762" s="30" t="n"/>
      <c r="L762" s="30" t="n"/>
      <c r="M762" s="30" t="n"/>
      <c r="N762" s="32" t="n"/>
      <c r="O762" s="30" t="n"/>
      <c r="P762" s="32" t="n"/>
      <c r="Q762" s="30" t="n"/>
      <c r="R762" s="32" t="n"/>
      <c r="S762" s="30" t="n"/>
      <c r="T762" s="30" t="n"/>
      <c r="U762" s="30" t="n"/>
      <c r="V762" s="30" t="n"/>
      <c r="W762" s="29">
        <f>IF(H762="","",IF(H762="Kenya","Yes","No"))</f>
        <v/>
      </c>
      <c r="X762" s="29">
        <f>IF(B762="","",IF(COUNTIF($B$5:$B$3004,B762)&gt;1,"DUPLICATE","OK"))</f>
        <v/>
      </c>
      <c r="Y762" s="29">
        <f>IF(OR(U762="",V762="",V762="Excluded"),"",IF(COUNTIFS($U$5:$U$3004,U762,$V$5:$V$3004,"&lt;&gt;"&amp;V762,$V$5:$V$3004,"&lt;&gt;",$V$5:$V$3004,"&lt;&gt;Excluded")&gt;0,"LEAK RISK","OK"))</f>
        <v/>
      </c>
      <c r="Z762" s="30" t="n"/>
    </row>
    <row r="763">
      <c r="A763" s="30" t="n"/>
      <c r="B763" s="30" t="n"/>
      <c r="C763" s="30" t="n"/>
      <c r="D763" s="30" t="n"/>
      <c r="E763" s="30" t="n"/>
      <c r="F763" s="30" t="n"/>
      <c r="G763" s="30" t="n"/>
      <c r="H763" s="30" t="n"/>
      <c r="I763" s="31" t="n"/>
      <c r="J763" s="30" t="n"/>
      <c r="K763" s="30" t="n"/>
      <c r="L763" s="30" t="n"/>
      <c r="M763" s="30" t="n"/>
      <c r="N763" s="32" t="n"/>
      <c r="O763" s="30" t="n"/>
      <c r="P763" s="32" t="n"/>
      <c r="Q763" s="30" t="n"/>
      <c r="R763" s="32" t="n"/>
      <c r="S763" s="30" t="n"/>
      <c r="T763" s="30" t="n"/>
      <c r="U763" s="30" t="n"/>
      <c r="V763" s="30" t="n"/>
      <c r="W763" s="29">
        <f>IF(H763="","",IF(H763="Kenya","Yes","No"))</f>
        <v/>
      </c>
      <c r="X763" s="29">
        <f>IF(B763="","",IF(COUNTIF($B$5:$B$3004,B763)&gt;1,"DUPLICATE","OK"))</f>
        <v/>
      </c>
      <c r="Y763" s="29">
        <f>IF(OR(U763="",V763="",V763="Excluded"),"",IF(COUNTIFS($U$5:$U$3004,U763,$V$5:$V$3004,"&lt;&gt;"&amp;V763,$V$5:$V$3004,"&lt;&gt;",$V$5:$V$3004,"&lt;&gt;Excluded")&gt;0,"LEAK RISK","OK"))</f>
        <v/>
      </c>
      <c r="Z763" s="30" t="n"/>
    </row>
    <row r="764">
      <c r="A764" s="30" t="n"/>
      <c r="B764" s="30" t="n"/>
      <c r="C764" s="30" t="n"/>
      <c r="D764" s="30" t="n"/>
      <c r="E764" s="30" t="n"/>
      <c r="F764" s="30" t="n"/>
      <c r="G764" s="30" t="n"/>
      <c r="H764" s="30" t="n"/>
      <c r="I764" s="31" t="n"/>
      <c r="J764" s="30" t="n"/>
      <c r="K764" s="30" t="n"/>
      <c r="L764" s="30" t="n"/>
      <c r="M764" s="30" t="n"/>
      <c r="N764" s="32" t="n"/>
      <c r="O764" s="30" t="n"/>
      <c r="P764" s="32" t="n"/>
      <c r="Q764" s="30" t="n"/>
      <c r="R764" s="32" t="n"/>
      <c r="S764" s="30" t="n"/>
      <c r="T764" s="30" t="n"/>
      <c r="U764" s="30" t="n"/>
      <c r="V764" s="30" t="n"/>
      <c r="W764" s="29">
        <f>IF(H764="","",IF(H764="Kenya","Yes","No"))</f>
        <v/>
      </c>
      <c r="X764" s="29">
        <f>IF(B764="","",IF(COUNTIF($B$5:$B$3004,B764)&gt;1,"DUPLICATE","OK"))</f>
        <v/>
      </c>
      <c r="Y764" s="29">
        <f>IF(OR(U764="",V764="",V764="Excluded"),"",IF(COUNTIFS($U$5:$U$3004,U764,$V$5:$V$3004,"&lt;&gt;"&amp;V764,$V$5:$V$3004,"&lt;&gt;",$V$5:$V$3004,"&lt;&gt;Excluded")&gt;0,"LEAK RISK","OK"))</f>
        <v/>
      </c>
      <c r="Z764" s="30" t="n"/>
    </row>
    <row r="765">
      <c r="A765" s="30" t="n"/>
      <c r="B765" s="30" t="n"/>
      <c r="C765" s="30" t="n"/>
      <c r="D765" s="30" t="n"/>
      <c r="E765" s="30" t="n"/>
      <c r="F765" s="30" t="n"/>
      <c r="G765" s="30" t="n"/>
      <c r="H765" s="30" t="n"/>
      <c r="I765" s="31" t="n"/>
      <c r="J765" s="30" t="n"/>
      <c r="K765" s="30" t="n"/>
      <c r="L765" s="30" t="n"/>
      <c r="M765" s="30" t="n"/>
      <c r="N765" s="32" t="n"/>
      <c r="O765" s="30" t="n"/>
      <c r="P765" s="32" t="n"/>
      <c r="Q765" s="30" t="n"/>
      <c r="R765" s="32" t="n"/>
      <c r="S765" s="30" t="n"/>
      <c r="T765" s="30" t="n"/>
      <c r="U765" s="30" t="n"/>
      <c r="V765" s="30" t="n"/>
      <c r="W765" s="29">
        <f>IF(H765="","",IF(H765="Kenya","Yes","No"))</f>
        <v/>
      </c>
      <c r="X765" s="29">
        <f>IF(B765="","",IF(COUNTIF($B$5:$B$3004,B765)&gt;1,"DUPLICATE","OK"))</f>
        <v/>
      </c>
      <c r="Y765" s="29">
        <f>IF(OR(U765="",V765="",V765="Excluded"),"",IF(COUNTIFS($U$5:$U$3004,U765,$V$5:$V$3004,"&lt;&gt;"&amp;V765,$V$5:$V$3004,"&lt;&gt;",$V$5:$V$3004,"&lt;&gt;Excluded")&gt;0,"LEAK RISK","OK"))</f>
        <v/>
      </c>
      <c r="Z765" s="30" t="n"/>
    </row>
    <row r="766">
      <c r="A766" s="30" t="n"/>
      <c r="B766" s="30" t="n"/>
      <c r="C766" s="30" t="n"/>
      <c r="D766" s="30" t="n"/>
      <c r="E766" s="30" t="n"/>
      <c r="F766" s="30" t="n"/>
      <c r="G766" s="30" t="n"/>
      <c r="H766" s="30" t="n"/>
      <c r="I766" s="31" t="n"/>
      <c r="J766" s="30" t="n"/>
      <c r="K766" s="30" t="n"/>
      <c r="L766" s="30" t="n"/>
      <c r="M766" s="30" t="n"/>
      <c r="N766" s="32" t="n"/>
      <c r="O766" s="30" t="n"/>
      <c r="P766" s="32" t="n"/>
      <c r="Q766" s="30" t="n"/>
      <c r="R766" s="32" t="n"/>
      <c r="S766" s="30" t="n"/>
      <c r="T766" s="30" t="n"/>
      <c r="U766" s="30" t="n"/>
      <c r="V766" s="30" t="n"/>
      <c r="W766" s="29">
        <f>IF(H766="","",IF(H766="Kenya","Yes","No"))</f>
        <v/>
      </c>
      <c r="X766" s="29">
        <f>IF(B766="","",IF(COUNTIF($B$5:$B$3004,B766)&gt;1,"DUPLICATE","OK"))</f>
        <v/>
      </c>
      <c r="Y766" s="29">
        <f>IF(OR(U766="",V766="",V766="Excluded"),"",IF(COUNTIFS($U$5:$U$3004,U766,$V$5:$V$3004,"&lt;&gt;"&amp;V766,$V$5:$V$3004,"&lt;&gt;",$V$5:$V$3004,"&lt;&gt;Excluded")&gt;0,"LEAK RISK","OK"))</f>
        <v/>
      </c>
      <c r="Z766" s="30" t="n"/>
    </row>
    <row r="767">
      <c r="A767" s="30" t="n"/>
      <c r="B767" s="30" t="n"/>
      <c r="C767" s="30" t="n"/>
      <c r="D767" s="30" t="n"/>
      <c r="E767" s="30" t="n"/>
      <c r="F767" s="30" t="n"/>
      <c r="G767" s="30" t="n"/>
      <c r="H767" s="30" t="n"/>
      <c r="I767" s="31" t="n"/>
      <c r="J767" s="30" t="n"/>
      <c r="K767" s="30" t="n"/>
      <c r="L767" s="30" t="n"/>
      <c r="M767" s="30" t="n"/>
      <c r="N767" s="32" t="n"/>
      <c r="O767" s="30" t="n"/>
      <c r="P767" s="32" t="n"/>
      <c r="Q767" s="30" t="n"/>
      <c r="R767" s="32" t="n"/>
      <c r="S767" s="30" t="n"/>
      <c r="T767" s="30" t="n"/>
      <c r="U767" s="30" t="n"/>
      <c r="V767" s="30" t="n"/>
      <c r="W767" s="29">
        <f>IF(H767="","",IF(H767="Kenya","Yes","No"))</f>
        <v/>
      </c>
      <c r="X767" s="29">
        <f>IF(B767="","",IF(COUNTIF($B$5:$B$3004,B767)&gt;1,"DUPLICATE","OK"))</f>
        <v/>
      </c>
      <c r="Y767" s="29">
        <f>IF(OR(U767="",V767="",V767="Excluded"),"",IF(COUNTIFS($U$5:$U$3004,U767,$V$5:$V$3004,"&lt;&gt;"&amp;V767,$V$5:$V$3004,"&lt;&gt;",$V$5:$V$3004,"&lt;&gt;Excluded")&gt;0,"LEAK RISK","OK"))</f>
        <v/>
      </c>
      <c r="Z767" s="30" t="n"/>
    </row>
    <row r="768">
      <c r="A768" s="30" t="n"/>
      <c r="B768" s="30" t="n"/>
      <c r="C768" s="30" t="n"/>
      <c r="D768" s="30" t="n"/>
      <c r="E768" s="30" t="n"/>
      <c r="F768" s="30" t="n"/>
      <c r="G768" s="30" t="n"/>
      <c r="H768" s="30" t="n"/>
      <c r="I768" s="31" t="n"/>
      <c r="J768" s="30" t="n"/>
      <c r="K768" s="30" t="n"/>
      <c r="L768" s="30" t="n"/>
      <c r="M768" s="30" t="n"/>
      <c r="N768" s="32" t="n"/>
      <c r="O768" s="30" t="n"/>
      <c r="P768" s="32" t="n"/>
      <c r="Q768" s="30" t="n"/>
      <c r="R768" s="32" t="n"/>
      <c r="S768" s="30" t="n"/>
      <c r="T768" s="30" t="n"/>
      <c r="U768" s="30" t="n"/>
      <c r="V768" s="30" t="n"/>
      <c r="W768" s="29">
        <f>IF(H768="","",IF(H768="Kenya","Yes","No"))</f>
        <v/>
      </c>
      <c r="X768" s="29">
        <f>IF(B768="","",IF(COUNTIF($B$5:$B$3004,B768)&gt;1,"DUPLICATE","OK"))</f>
        <v/>
      </c>
      <c r="Y768" s="29">
        <f>IF(OR(U768="",V768="",V768="Excluded"),"",IF(COUNTIFS($U$5:$U$3004,U768,$V$5:$V$3004,"&lt;&gt;"&amp;V768,$V$5:$V$3004,"&lt;&gt;",$V$5:$V$3004,"&lt;&gt;Excluded")&gt;0,"LEAK RISK","OK"))</f>
        <v/>
      </c>
      <c r="Z768" s="30" t="n"/>
    </row>
    <row r="769">
      <c r="A769" s="30" t="n"/>
      <c r="B769" s="30" t="n"/>
      <c r="C769" s="30" t="n"/>
      <c r="D769" s="30" t="n"/>
      <c r="E769" s="30" t="n"/>
      <c r="F769" s="30" t="n"/>
      <c r="G769" s="30" t="n"/>
      <c r="H769" s="30" t="n"/>
      <c r="I769" s="31" t="n"/>
      <c r="J769" s="30" t="n"/>
      <c r="K769" s="30" t="n"/>
      <c r="L769" s="30" t="n"/>
      <c r="M769" s="30" t="n"/>
      <c r="N769" s="32" t="n"/>
      <c r="O769" s="30" t="n"/>
      <c r="P769" s="32" t="n"/>
      <c r="Q769" s="30" t="n"/>
      <c r="R769" s="32" t="n"/>
      <c r="S769" s="30" t="n"/>
      <c r="T769" s="30" t="n"/>
      <c r="U769" s="30" t="n"/>
      <c r="V769" s="30" t="n"/>
      <c r="W769" s="29">
        <f>IF(H769="","",IF(H769="Kenya","Yes","No"))</f>
        <v/>
      </c>
      <c r="X769" s="29">
        <f>IF(B769="","",IF(COUNTIF($B$5:$B$3004,B769)&gt;1,"DUPLICATE","OK"))</f>
        <v/>
      </c>
      <c r="Y769" s="29">
        <f>IF(OR(U769="",V769="",V769="Excluded"),"",IF(COUNTIFS($U$5:$U$3004,U769,$V$5:$V$3004,"&lt;&gt;"&amp;V769,$V$5:$V$3004,"&lt;&gt;",$V$5:$V$3004,"&lt;&gt;Excluded")&gt;0,"LEAK RISK","OK"))</f>
        <v/>
      </c>
      <c r="Z769" s="30" t="n"/>
    </row>
    <row r="770">
      <c r="A770" s="30" t="n"/>
      <c r="B770" s="30" t="n"/>
      <c r="C770" s="30" t="n"/>
      <c r="D770" s="30" t="n"/>
      <c r="E770" s="30" t="n"/>
      <c r="F770" s="30" t="n"/>
      <c r="G770" s="30" t="n"/>
      <c r="H770" s="30" t="n"/>
      <c r="I770" s="31" t="n"/>
      <c r="J770" s="30" t="n"/>
      <c r="K770" s="30" t="n"/>
      <c r="L770" s="30" t="n"/>
      <c r="M770" s="30" t="n"/>
      <c r="N770" s="32" t="n"/>
      <c r="O770" s="30" t="n"/>
      <c r="P770" s="32" t="n"/>
      <c r="Q770" s="30" t="n"/>
      <c r="R770" s="32" t="n"/>
      <c r="S770" s="30" t="n"/>
      <c r="T770" s="30" t="n"/>
      <c r="U770" s="30" t="n"/>
      <c r="V770" s="30" t="n"/>
      <c r="W770" s="29">
        <f>IF(H770="","",IF(H770="Kenya","Yes","No"))</f>
        <v/>
      </c>
      <c r="X770" s="29">
        <f>IF(B770="","",IF(COUNTIF($B$5:$B$3004,B770)&gt;1,"DUPLICATE","OK"))</f>
        <v/>
      </c>
      <c r="Y770" s="29">
        <f>IF(OR(U770="",V770="",V770="Excluded"),"",IF(COUNTIFS($U$5:$U$3004,U770,$V$5:$V$3004,"&lt;&gt;"&amp;V770,$V$5:$V$3004,"&lt;&gt;",$V$5:$V$3004,"&lt;&gt;Excluded")&gt;0,"LEAK RISK","OK"))</f>
        <v/>
      </c>
      <c r="Z770" s="30" t="n"/>
    </row>
    <row r="771">
      <c r="A771" s="30" t="n"/>
      <c r="B771" s="30" t="n"/>
      <c r="C771" s="30" t="n"/>
      <c r="D771" s="30" t="n"/>
      <c r="E771" s="30" t="n"/>
      <c r="F771" s="30" t="n"/>
      <c r="G771" s="30" t="n"/>
      <c r="H771" s="30" t="n"/>
      <c r="I771" s="31" t="n"/>
      <c r="J771" s="30" t="n"/>
      <c r="K771" s="30" t="n"/>
      <c r="L771" s="30" t="n"/>
      <c r="M771" s="30" t="n"/>
      <c r="N771" s="32" t="n"/>
      <c r="O771" s="30" t="n"/>
      <c r="P771" s="32" t="n"/>
      <c r="Q771" s="30" t="n"/>
      <c r="R771" s="32" t="n"/>
      <c r="S771" s="30" t="n"/>
      <c r="T771" s="30" t="n"/>
      <c r="U771" s="30" t="n"/>
      <c r="V771" s="30" t="n"/>
      <c r="W771" s="29">
        <f>IF(H771="","",IF(H771="Kenya","Yes","No"))</f>
        <v/>
      </c>
      <c r="X771" s="29">
        <f>IF(B771="","",IF(COUNTIF($B$5:$B$3004,B771)&gt;1,"DUPLICATE","OK"))</f>
        <v/>
      </c>
      <c r="Y771" s="29">
        <f>IF(OR(U771="",V771="",V771="Excluded"),"",IF(COUNTIFS($U$5:$U$3004,U771,$V$5:$V$3004,"&lt;&gt;"&amp;V771,$V$5:$V$3004,"&lt;&gt;",$V$5:$V$3004,"&lt;&gt;Excluded")&gt;0,"LEAK RISK","OK"))</f>
        <v/>
      </c>
      <c r="Z771" s="30" t="n"/>
    </row>
    <row r="772">
      <c r="A772" s="30" t="n"/>
      <c r="B772" s="30" t="n"/>
      <c r="C772" s="30" t="n"/>
      <c r="D772" s="30" t="n"/>
      <c r="E772" s="30" t="n"/>
      <c r="F772" s="30" t="n"/>
      <c r="G772" s="30" t="n"/>
      <c r="H772" s="30" t="n"/>
      <c r="I772" s="31" t="n"/>
      <c r="J772" s="30" t="n"/>
      <c r="K772" s="30" t="n"/>
      <c r="L772" s="30" t="n"/>
      <c r="M772" s="30" t="n"/>
      <c r="N772" s="32" t="n"/>
      <c r="O772" s="30" t="n"/>
      <c r="P772" s="32" t="n"/>
      <c r="Q772" s="30" t="n"/>
      <c r="R772" s="32" t="n"/>
      <c r="S772" s="30" t="n"/>
      <c r="T772" s="30" t="n"/>
      <c r="U772" s="30" t="n"/>
      <c r="V772" s="30" t="n"/>
      <c r="W772" s="29">
        <f>IF(H772="","",IF(H772="Kenya","Yes","No"))</f>
        <v/>
      </c>
      <c r="X772" s="29">
        <f>IF(B772="","",IF(COUNTIF($B$5:$B$3004,B772)&gt;1,"DUPLICATE","OK"))</f>
        <v/>
      </c>
      <c r="Y772" s="29">
        <f>IF(OR(U772="",V772="",V772="Excluded"),"",IF(COUNTIFS($U$5:$U$3004,U772,$V$5:$V$3004,"&lt;&gt;"&amp;V772,$V$5:$V$3004,"&lt;&gt;",$V$5:$V$3004,"&lt;&gt;Excluded")&gt;0,"LEAK RISK","OK"))</f>
        <v/>
      </c>
      <c r="Z772" s="30" t="n"/>
    </row>
    <row r="773">
      <c r="A773" s="30" t="n"/>
      <c r="B773" s="30" t="n"/>
      <c r="C773" s="30" t="n"/>
      <c r="D773" s="30" t="n"/>
      <c r="E773" s="30" t="n"/>
      <c r="F773" s="30" t="n"/>
      <c r="G773" s="30" t="n"/>
      <c r="H773" s="30" t="n"/>
      <c r="I773" s="31" t="n"/>
      <c r="J773" s="30" t="n"/>
      <c r="K773" s="30" t="n"/>
      <c r="L773" s="30" t="n"/>
      <c r="M773" s="30" t="n"/>
      <c r="N773" s="32" t="n"/>
      <c r="O773" s="30" t="n"/>
      <c r="P773" s="32" t="n"/>
      <c r="Q773" s="30" t="n"/>
      <c r="R773" s="32" t="n"/>
      <c r="S773" s="30" t="n"/>
      <c r="T773" s="30" t="n"/>
      <c r="U773" s="30" t="n"/>
      <c r="V773" s="30" t="n"/>
      <c r="W773" s="29">
        <f>IF(H773="","",IF(H773="Kenya","Yes","No"))</f>
        <v/>
      </c>
      <c r="X773" s="29">
        <f>IF(B773="","",IF(COUNTIF($B$5:$B$3004,B773)&gt;1,"DUPLICATE","OK"))</f>
        <v/>
      </c>
      <c r="Y773" s="29">
        <f>IF(OR(U773="",V773="",V773="Excluded"),"",IF(COUNTIFS($U$5:$U$3004,U773,$V$5:$V$3004,"&lt;&gt;"&amp;V773,$V$5:$V$3004,"&lt;&gt;",$V$5:$V$3004,"&lt;&gt;Excluded")&gt;0,"LEAK RISK","OK"))</f>
        <v/>
      </c>
      <c r="Z773" s="30" t="n"/>
    </row>
    <row r="774">
      <c r="A774" s="30" t="n"/>
      <c r="B774" s="30" t="n"/>
      <c r="C774" s="30" t="n"/>
      <c r="D774" s="30" t="n"/>
      <c r="E774" s="30" t="n"/>
      <c r="F774" s="30" t="n"/>
      <c r="G774" s="30" t="n"/>
      <c r="H774" s="30" t="n"/>
      <c r="I774" s="31" t="n"/>
      <c r="J774" s="30" t="n"/>
      <c r="K774" s="30" t="n"/>
      <c r="L774" s="30" t="n"/>
      <c r="M774" s="30" t="n"/>
      <c r="N774" s="32" t="n"/>
      <c r="O774" s="30" t="n"/>
      <c r="P774" s="32" t="n"/>
      <c r="Q774" s="30" t="n"/>
      <c r="R774" s="32" t="n"/>
      <c r="S774" s="30" t="n"/>
      <c r="T774" s="30" t="n"/>
      <c r="U774" s="30" t="n"/>
      <c r="V774" s="30" t="n"/>
      <c r="W774" s="29">
        <f>IF(H774="","",IF(H774="Kenya","Yes","No"))</f>
        <v/>
      </c>
      <c r="X774" s="29">
        <f>IF(B774="","",IF(COUNTIF($B$5:$B$3004,B774)&gt;1,"DUPLICATE","OK"))</f>
        <v/>
      </c>
      <c r="Y774" s="29">
        <f>IF(OR(U774="",V774="",V774="Excluded"),"",IF(COUNTIFS($U$5:$U$3004,U774,$V$5:$V$3004,"&lt;&gt;"&amp;V774,$V$5:$V$3004,"&lt;&gt;",$V$5:$V$3004,"&lt;&gt;Excluded")&gt;0,"LEAK RISK","OK"))</f>
        <v/>
      </c>
      <c r="Z774" s="30" t="n"/>
    </row>
    <row r="775">
      <c r="A775" s="30" t="n"/>
      <c r="B775" s="30" t="n"/>
      <c r="C775" s="30" t="n"/>
      <c r="D775" s="30" t="n"/>
      <c r="E775" s="30" t="n"/>
      <c r="F775" s="30" t="n"/>
      <c r="G775" s="30" t="n"/>
      <c r="H775" s="30" t="n"/>
      <c r="I775" s="31" t="n"/>
      <c r="J775" s="30" t="n"/>
      <c r="K775" s="30" t="n"/>
      <c r="L775" s="30" t="n"/>
      <c r="M775" s="30" t="n"/>
      <c r="N775" s="32" t="n"/>
      <c r="O775" s="30" t="n"/>
      <c r="P775" s="32" t="n"/>
      <c r="Q775" s="30" t="n"/>
      <c r="R775" s="32" t="n"/>
      <c r="S775" s="30" t="n"/>
      <c r="T775" s="30" t="n"/>
      <c r="U775" s="30" t="n"/>
      <c r="V775" s="30" t="n"/>
      <c r="W775" s="29">
        <f>IF(H775="","",IF(H775="Kenya","Yes","No"))</f>
        <v/>
      </c>
      <c r="X775" s="29">
        <f>IF(B775="","",IF(COUNTIF($B$5:$B$3004,B775)&gt;1,"DUPLICATE","OK"))</f>
        <v/>
      </c>
      <c r="Y775" s="29">
        <f>IF(OR(U775="",V775="",V775="Excluded"),"",IF(COUNTIFS($U$5:$U$3004,U775,$V$5:$V$3004,"&lt;&gt;"&amp;V775,$V$5:$V$3004,"&lt;&gt;",$V$5:$V$3004,"&lt;&gt;Excluded")&gt;0,"LEAK RISK","OK"))</f>
        <v/>
      </c>
      <c r="Z775" s="30" t="n"/>
    </row>
    <row r="776">
      <c r="A776" s="30" t="n"/>
      <c r="B776" s="30" t="n"/>
      <c r="C776" s="30" t="n"/>
      <c r="D776" s="30" t="n"/>
      <c r="E776" s="30" t="n"/>
      <c r="F776" s="30" t="n"/>
      <c r="G776" s="30" t="n"/>
      <c r="H776" s="30" t="n"/>
      <c r="I776" s="31" t="n"/>
      <c r="J776" s="30" t="n"/>
      <c r="K776" s="30" t="n"/>
      <c r="L776" s="30" t="n"/>
      <c r="M776" s="30" t="n"/>
      <c r="N776" s="32" t="n"/>
      <c r="O776" s="30" t="n"/>
      <c r="P776" s="32" t="n"/>
      <c r="Q776" s="30" t="n"/>
      <c r="R776" s="32" t="n"/>
      <c r="S776" s="30" t="n"/>
      <c r="T776" s="30" t="n"/>
      <c r="U776" s="30" t="n"/>
      <c r="V776" s="30" t="n"/>
      <c r="W776" s="29">
        <f>IF(H776="","",IF(H776="Kenya","Yes","No"))</f>
        <v/>
      </c>
      <c r="X776" s="29">
        <f>IF(B776="","",IF(COUNTIF($B$5:$B$3004,B776)&gt;1,"DUPLICATE","OK"))</f>
        <v/>
      </c>
      <c r="Y776" s="29">
        <f>IF(OR(U776="",V776="",V776="Excluded"),"",IF(COUNTIFS($U$5:$U$3004,U776,$V$5:$V$3004,"&lt;&gt;"&amp;V776,$V$5:$V$3004,"&lt;&gt;",$V$5:$V$3004,"&lt;&gt;Excluded")&gt;0,"LEAK RISK","OK"))</f>
        <v/>
      </c>
      <c r="Z776" s="30" t="n"/>
    </row>
    <row r="777">
      <c r="A777" s="30" t="n"/>
      <c r="B777" s="30" t="n"/>
      <c r="C777" s="30" t="n"/>
      <c r="D777" s="30" t="n"/>
      <c r="E777" s="30" t="n"/>
      <c r="F777" s="30" t="n"/>
      <c r="G777" s="30" t="n"/>
      <c r="H777" s="30" t="n"/>
      <c r="I777" s="31" t="n"/>
      <c r="J777" s="30" t="n"/>
      <c r="K777" s="30" t="n"/>
      <c r="L777" s="30" t="n"/>
      <c r="M777" s="30" t="n"/>
      <c r="N777" s="32" t="n"/>
      <c r="O777" s="30" t="n"/>
      <c r="P777" s="32" t="n"/>
      <c r="Q777" s="30" t="n"/>
      <c r="R777" s="32" t="n"/>
      <c r="S777" s="30" t="n"/>
      <c r="T777" s="30" t="n"/>
      <c r="U777" s="30" t="n"/>
      <c r="V777" s="30" t="n"/>
      <c r="W777" s="29">
        <f>IF(H777="","",IF(H777="Kenya","Yes","No"))</f>
        <v/>
      </c>
      <c r="X777" s="29">
        <f>IF(B777="","",IF(COUNTIF($B$5:$B$3004,B777)&gt;1,"DUPLICATE","OK"))</f>
        <v/>
      </c>
      <c r="Y777" s="29">
        <f>IF(OR(U777="",V777="",V777="Excluded"),"",IF(COUNTIFS($U$5:$U$3004,U777,$V$5:$V$3004,"&lt;&gt;"&amp;V777,$V$5:$V$3004,"&lt;&gt;",$V$5:$V$3004,"&lt;&gt;Excluded")&gt;0,"LEAK RISK","OK"))</f>
        <v/>
      </c>
      <c r="Z777" s="30" t="n"/>
    </row>
    <row r="778">
      <c r="A778" s="30" t="n"/>
      <c r="B778" s="30" t="n"/>
      <c r="C778" s="30" t="n"/>
      <c r="D778" s="30" t="n"/>
      <c r="E778" s="30" t="n"/>
      <c r="F778" s="30" t="n"/>
      <c r="G778" s="30" t="n"/>
      <c r="H778" s="30" t="n"/>
      <c r="I778" s="31" t="n"/>
      <c r="J778" s="30" t="n"/>
      <c r="K778" s="30" t="n"/>
      <c r="L778" s="30" t="n"/>
      <c r="M778" s="30" t="n"/>
      <c r="N778" s="32" t="n"/>
      <c r="O778" s="30" t="n"/>
      <c r="P778" s="32" t="n"/>
      <c r="Q778" s="30" t="n"/>
      <c r="R778" s="32" t="n"/>
      <c r="S778" s="30" t="n"/>
      <c r="T778" s="30" t="n"/>
      <c r="U778" s="30" t="n"/>
      <c r="V778" s="30" t="n"/>
      <c r="W778" s="29">
        <f>IF(H778="","",IF(H778="Kenya","Yes","No"))</f>
        <v/>
      </c>
      <c r="X778" s="29">
        <f>IF(B778="","",IF(COUNTIF($B$5:$B$3004,B778)&gt;1,"DUPLICATE","OK"))</f>
        <v/>
      </c>
      <c r="Y778" s="29">
        <f>IF(OR(U778="",V778="",V778="Excluded"),"",IF(COUNTIFS($U$5:$U$3004,U778,$V$5:$V$3004,"&lt;&gt;"&amp;V778,$V$5:$V$3004,"&lt;&gt;",$V$5:$V$3004,"&lt;&gt;Excluded")&gt;0,"LEAK RISK","OK"))</f>
        <v/>
      </c>
      <c r="Z778" s="30" t="n"/>
    </row>
    <row r="779">
      <c r="A779" s="30" t="n"/>
      <c r="B779" s="30" t="n"/>
      <c r="C779" s="30" t="n"/>
      <c r="D779" s="30" t="n"/>
      <c r="E779" s="30" t="n"/>
      <c r="F779" s="30" t="n"/>
      <c r="G779" s="30" t="n"/>
      <c r="H779" s="30" t="n"/>
      <c r="I779" s="31" t="n"/>
      <c r="J779" s="30" t="n"/>
      <c r="K779" s="30" t="n"/>
      <c r="L779" s="30" t="n"/>
      <c r="M779" s="30" t="n"/>
      <c r="N779" s="32" t="n"/>
      <c r="O779" s="30" t="n"/>
      <c r="P779" s="32" t="n"/>
      <c r="Q779" s="30" t="n"/>
      <c r="R779" s="32" t="n"/>
      <c r="S779" s="30" t="n"/>
      <c r="T779" s="30" t="n"/>
      <c r="U779" s="30" t="n"/>
      <c r="V779" s="30" t="n"/>
      <c r="W779" s="29">
        <f>IF(H779="","",IF(H779="Kenya","Yes","No"))</f>
        <v/>
      </c>
      <c r="X779" s="29">
        <f>IF(B779="","",IF(COUNTIF($B$5:$B$3004,B779)&gt;1,"DUPLICATE","OK"))</f>
        <v/>
      </c>
      <c r="Y779" s="29">
        <f>IF(OR(U779="",V779="",V779="Excluded"),"",IF(COUNTIFS($U$5:$U$3004,U779,$V$5:$V$3004,"&lt;&gt;"&amp;V779,$V$5:$V$3004,"&lt;&gt;",$V$5:$V$3004,"&lt;&gt;Excluded")&gt;0,"LEAK RISK","OK"))</f>
        <v/>
      </c>
      <c r="Z779" s="30" t="n"/>
    </row>
    <row r="780">
      <c r="A780" s="30" t="n"/>
      <c r="B780" s="30" t="n"/>
      <c r="C780" s="30" t="n"/>
      <c r="D780" s="30" t="n"/>
      <c r="E780" s="30" t="n"/>
      <c r="F780" s="30" t="n"/>
      <c r="G780" s="30" t="n"/>
      <c r="H780" s="30" t="n"/>
      <c r="I780" s="31" t="n"/>
      <c r="J780" s="30" t="n"/>
      <c r="K780" s="30" t="n"/>
      <c r="L780" s="30" t="n"/>
      <c r="M780" s="30" t="n"/>
      <c r="N780" s="32" t="n"/>
      <c r="O780" s="30" t="n"/>
      <c r="P780" s="32" t="n"/>
      <c r="Q780" s="30" t="n"/>
      <c r="R780" s="32" t="n"/>
      <c r="S780" s="30" t="n"/>
      <c r="T780" s="30" t="n"/>
      <c r="U780" s="30" t="n"/>
      <c r="V780" s="30" t="n"/>
      <c r="W780" s="29">
        <f>IF(H780="","",IF(H780="Kenya","Yes","No"))</f>
        <v/>
      </c>
      <c r="X780" s="29">
        <f>IF(B780="","",IF(COUNTIF($B$5:$B$3004,B780)&gt;1,"DUPLICATE","OK"))</f>
        <v/>
      </c>
      <c r="Y780" s="29">
        <f>IF(OR(U780="",V780="",V780="Excluded"),"",IF(COUNTIFS($U$5:$U$3004,U780,$V$5:$V$3004,"&lt;&gt;"&amp;V780,$V$5:$V$3004,"&lt;&gt;",$V$5:$V$3004,"&lt;&gt;Excluded")&gt;0,"LEAK RISK","OK"))</f>
        <v/>
      </c>
      <c r="Z780" s="30" t="n"/>
    </row>
    <row r="781">
      <c r="A781" s="30" t="n"/>
      <c r="B781" s="30" t="n"/>
      <c r="C781" s="30" t="n"/>
      <c r="D781" s="30" t="n"/>
      <c r="E781" s="30" t="n"/>
      <c r="F781" s="30" t="n"/>
      <c r="G781" s="30" t="n"/>
      <c r="H781" s="30" t="n"/>
      <c r="I781" s="31" t="n"/>
      <c r="J781" s="30" t="n"/>
      <c r="K781" s="30" t="n"/>
      <c r="L781" s="30" t="n"/>
      <c r="M781" s="30" t="n"/>
      <c r="N781" s="32" t="n"/>
      <c r="O781" s="30" t="n"/>
      <c r="P781" s="32" t="n"/>
      <c r="Q781" s="30" t="n"/>
      <c r="R781" s="32" t="n"/>
      <c r="S781" s="30" t="n"/>
      <c r="T781" s="30" t="n"/>
      <c r="U781" s="30" t="n"/>
      <c r="V781" s="30" t="n"/>
      <c r="W781" s="29">
        <f>IF(H781="","",IF(H781="Kenya","Yes","No"))</f>
        <v/>
      </c>
      <c r="X781" s="29">
        <f>IF(B781="","",IF(COUNTIF($B$5:$B$3004,B781)&gt;1,"DUPLICATE","OK"))</f>
        <v/>
      </c>
      <c r="Y781" s="29">
        <f>IF(OR(U781="",V781="",V781="Excluded"),"",IF(COUNTIFS($U$5:$U$3004,U781,$V$5:$V$3004,"&lt;&gt;"&amp;V781,$V$5:$V$3004,"&lt;&gt;",$V$5:$V$3004,"&lt;&gt;Excluded")&gt;0,"LEAK RISK","OK"))</f>
        <v/>
      </c>
      <c r="Z781" s="30" t="n"/>
    </row>
    <row r="782">
      <c r="A782" s="30" t="n"/>
      <c r="B782" s="30" t="n"/>
      <c r="C782" s="30" t="n"/>
      <c r="D782" s="30" t="n"/>
      <c r="E782" s="30" t="n"/>
      <c r="F782" s="30" t="n"/>
      <c r="G782" s="30" t="n"/>
      <c r="H782" s="30" t="n"/>
      <c r="I782" s="31" t="n"/>
      <c r="J782" s="30" t="n"/>
      <c r="K782" s="30" t="n"/>
      <c r="L782" s="30" t="n"/>
      <c r="M782" s="30" t="n"/>
      <c r="N782" s="32" t="n"/>
      <c r="O782" s="30" t="n"/>
      <c r="P782" s="32" t="n"/>
      <c r="Q782" s="30" t="n"/>
      <c r="R782" s="32" t="n"/>
      <c r="S782" s="30" t="n"/>
      <c r="T782" s="30" t="n"/>
      <c r="U782" s="30" t="n"/>
      <c r="V782" s="30" t="n"/>
      <c r="W782" s="29">
        <f>IF(H782="","",IF(H782="Kenya","Yes","No"))</f>
        <v/>
      </c>
      <c r="X782" s="29">
        <f>IF(B782="","",IF(COUNTIF($B$5:$B$3004,B782)&gt;1,"DUPLICATE","OK"))</f>
        <v/>
      </c>
      <c r="Y782" s="29">
        <f>IF(OR(U782="",V782="",V782="Excluded"),"",IF(COUNTIFS($U$5:$U$3004,U782,$V$5:$V$3004,"&lt;&gt;"&amp;V782,$V$5:$V$3004,"&lt;&gt;",$V$5:$V$3004,"&lt;&gt;Excluded")&gt;0,"LEAK RISK","OK"))</f>
        <v/>
      </c>
      <c r="Z782" s="30" t="n"/>
    </row>
    <row r="783">
      <c r="A783" s="30" t="n"/>
      <c r="B783" s="30" t="n"/>
      <c r="C783" s="30" t="n"/>
      <c r="D783" s="30" t="n"/>
      <c r="E783" s="30" t="n"/>
      <c r="F783" s="30" t="n"/>
      <c r="G783" s="30" t="n"/>
      <c r="H783" s="30" t="n"/>
      <c r="I783" s="31" t="n"/>
      <c r="J783" s="30" t="n"/>
      <c r="K783" s="30" t="n"/>
      <c r="L783" s="30" t="n"/>
      <c r="M783" s="30" t="n"/>
      <c r="N783" s="32" t="n"/>
      <c r="O783" s="30" t="n"/>
      <c r="P783" s="32" t="n"/>
      <c r="Q783" s="30" t="n"/>
      <c r="R783" s="32" t="n"/>
      <c r="S783" s="30" t="n"/>
      <c r="T783" s="30" t="n"/>
      <c r="U783" s="30" t="n"/>
      <c r="V783" s="30" t="n"/>
      <c r="W783" s="29">
        <f>IF(H783="","",IF(H783="Kenya","Yes","No"))</f>
        <v/>
      </c>
      <c r="X783" s="29">
        <f>IF(B783="","",IF(COUNTIF($B$5:$B$3004,B783)&gt;1,"DUPLICATE","OK"))</f>
        <v/>
      </c>
      <c r="Y783" s="29">
        <f>IF(OR(U783="",V783="",V783="Excluded"),"",IF(COUNTIFS($U$5:$U$3004,U783,$V$5:$V$3004,"&lt;&gt;"&amp;V783,$V$5:$V$3004,"&lt;&gt;",$V$5:$V$3004,"&lt;&gt;Excluded")&gt;0,"LEAK RISK","OK"))</f>
        <v/>
      </c>
      <c r="Z783" s="30" t="n"/>
    </row>
    <row r="784">
      <c r="A784" s="30" t="n"/>
      <c r="B784" s="30" t="n"/>
      <c r="C784" s="30" t="n"/>
      <c r="D784" s="30" t="n"/>
      <c r="E784" s="30" t="n"/>
      <c r="F784" s="30" t="n"/>
      <c r="G784" s="30" t="n"/>
      <c r="H784" s="30" t="n"/>
      <c r="I784" s="31" t="n"/>
      <c r="J784" s="30" t="n"/>
      <c r="K784" s="30" t="n"/>
      <c r="L784" s="30" t="n"/>
      <c r="M784" s="30" t="n"/>
      <c r="N784" s="32" t="n"/>
      <c r="O784" s="30" t="n"/>
      <c r="P784" s="32" t="n"/>
      <c r="Q784" s="30" t="n"/>
      <c r="R784" s="32" t="n"/>
      <c r="S784" s="30" t="n"/>
      <c r="T784" s="30" t="n"/>
      <c r="U784" s="30" t="n"/>
      <c r="V784" s="30" t="n"/>
      <c r="W784" s="29">
        <f>IF(H784="","",IF(H784="Kenya","Yes","No"))</f>
        <v/>
      </c>
      <c r="X784" s="29">
        <f>IF(B784="","",IF(COUNTIF($B$5:$B$3004,B784)&gt;1,"DUPLICATE","OK"))</f>
        <v/>
      </c>
      <c r="Y784" s="29">
        <f>IF(OR(U784="",V784="",V784="Excluded"),"",IF(COUNTIFS($U$5:$U$3004,U784,$V$5:$V$3004,"&lt;&gt;"&amp;V784,$V$5:$V$3004,"&lt;&gt;",$V$5:$V$3004,"&lt;&gt;Excluded")&gt;0,"LEAK RISK","OK"))</f>
        <v/>
      </c>
      <c r="Z784" s="30" t="n"/>
    </row>
    <row r="785">
      <c r="A785" s="30" t="n"/>
      <c r="B785" s="30" t="n"/>
      <c r="C785" s="30" t="n"/>
      <c r="D785" s="30" t="n"/>
      <c r="E785" s="30" t="n"/>
      <c r="F785" s="30" t="n"/>
      <c r="G785" s="30" t="n"/>
      <c r="H785" s="30" t="n"/>
      <c r="I785" s="31" t="n"/>
      <c r="J785" s="30" t="n"/>
      <c r="K785" s="30" t="n"/>
      <c r="L785" s="30" t="n"/>
      <c r="M785" s="30" t="n"/>
      <c r="N785" s="32" t="n"/>
      <c r="O785" s="30" t="n"/>
      <c r="P785" s="32" t="n"/>
      <c r="Q785" s="30" t="n"/>
      <c r="R785" s="32" t="n"/>
      <c r="S785" s="30" t="n"/>
      <c r="T785" s="30" t="n"/>
      <c r="U785" s="30" t="n"/>
      <c r="V785" s="30" t="n"/>
      <c r="W785" s="29">
        <f>IF(H785="","",IF(H785="Kenya","Yes","No"))</f>
        <v/>
      </c>
      <c r="X785" s="29">
        <f>IF(B785="","",IF(COUNTIF($B$5:$B$3004,B785)&gt;1,"DUPLICATE","OK"))</f>
        <v/>
      </c>
      <c r="Y785" s="29">
        <f>IF(OR(U785="",V785="",V785="Excluded"),"",IF(COUNTIFS($U$5:$U$3004,U785,$V$5:$V$3004,"&lt;&gt;"&amp;V785,$V$5:$V$3004,"&lt;&gt;",$V$5:$V$3004,"&lt;&gt;Excluded")&gt;0,"LEAK RISK","OK"))</f>
        <v/>
      </c>
      <c r="Z785" s="30" t="n"/>
    </row>
    <row r="786">
      <c r="A786" s="30" t="n"/>
      <c r="B786" s="30" t="n"/>
      <c r="C786" s="30" t="n"/>
      <c r="D786" s="30" t="n"/>
      <c r="E786" s="30" t="n"/>
      <c r="F786" s="30" t="n"/>
      <c r="G786" s="30" t="n"/>
      <c r="H786" s="30" t="n"/>
      <c r="I786" s="31" t="n"/>
      <c r="J786" s="30" t="n"/>
      <c r="K786" s="30" t="n"/>
      <c r="L786" s="30" t="n"/>
      <c r="M786" s="30" t="n"/>
      <c r="N786" s="32" t="n"/>
      <c r="O786" s="30" t="n"/>
      <c r="P786" s="32" t="n"/>
      <c r="Q786" s="30" t="n"/>
      <c r="R786" s="32" t="n"/>
      <c r="S786" s="30" t="n"/>
      <c r="T786" s="30" t="n"/>
      <c r="U786" s="30" t="n"/>
      <c r="V786" s="30" t="n"/>
      <c r="W786" s="29">
        <f>IF(H786="","",IF(H786="Kenya","Yes","No"))</f>
        <v/>
      </c>
      <c r="X786" s="29">
        <f>IF(B786="","",IF(COUNTIF($B$5:$B$3004,B786)&gt;1,"DUPLICATE","OK"))</f>
        <v/>
      </c>
      <c r="Y786" s="29">
        <f>IF(OR(U786="",V786="",V786="Excluded"),"",IF(COUNTIFS($U$5:$U$3004,U786,$V$5:$V$3004,"&lt;&gt;"&amp;V786,$V$5:$V$3004,"&lt;&gt;",$V$5:$V$3004,"&lt;&gt;Excluded")&gt;0,"LEAK RISK","OK"))</f>
        <v/>
      </c>
      <c r="Z786" s="30" t="n"/>
    </row>
    <row r="787">
      <c r="A787" s="30" t="n"/>
      <c r="B787" s="30" t="n"/>
      <c r="C787" s="30" t="n"/>
      <c r="D787" s="30" t="n"/>
      <c r="E787" s="30" t="n"/>
      <c r="F787" s="30" t="n"/>
      <c r="G787" s="30" t="n"/>
      <c r="H787" s="30" t="n"/>
      <c r="I787" s="31" t="n"/>
      <c r="J787" s="30" t="n"/>
      <c r="K787" s="30" t="n"/>
      <c r="L787" s="30" t="n"/>
      <c r="M787" s="30" t="n"/>
      <c r="N787" s="32" t="n"/>
      <c r="O787" s="30" t="n"/>
      <c r="P787" s="32" t="n"/>
      <c r="Q787" s="30" t="n"/>
      <c r="R787" s="32" t="n"/>
      <c r="S787" s="30" t="n"/>
      <c r="T787" s="30" t="n"/>
      <c r="U787" s="30" t="n"/>
      <c r="V787" s="30" t="n"/>
      <c r="W787" s="29">
        <f>IF(H787="","",IF(H787="Kenya","Yes","No"))</f>
        <v/>
      </c>
      <c r="X787" s="29">
        <f>IF(B787="","",IF(COUNTIF($B$5:$B$3004,B787)&gt;1,"DUPLICATE","OK"))</f>
        <v/>
      </c>
      <c r="Y787" s="29">
        <f>IF(OR(U787="",V787="",V787="Excluded"),"",IF(COUNTIFS($U$5:$U$3004,U787,$V$5:$V$3004,"&lt;&gt;"&amp;V787,$V$5:$V$3004,"&lt;&gt;",$V$5:$V$3004,"&lt;&gt;Excluded")&gt;0,"LEAK RISK","OK"))</f>
        <v/>
      </c>
      <c r="Z787" s="30" t="n"/>
    </row>
    <row r="788">
      <c r="A788" s="30" t="n"/>
      <c r="B788" s="30" t="n"/>
      <c r="C788" s="30" t="n"/>
      <c r="D788" s="30" t="n"/>
      <c r="E788" s="30" t="n"/>
      <c r="F788" s="30" t="n"/>
      <c r="G788" s="30" t="n"/>
      <c r="H788" s="30" t="n"/>
      <c r="I788" s="31" t="n"/>
      <c r="J788" s="30" t="n"/>
      <c r="K788" s="30" t="n"/>
      <c r="L788" s="30" t="n"/>
      <c r="M788" s="30" t="n"/>
      <c r="N788" s="32" t="n"/>
      <c r="O788" s="30" t="n"/>
      <c r="P788" s="32" t="n"/>
      <c r="Q788" s="30" t="n"/>
      <c r="R788" s="32" t="n"/>
      <c r="S788" s="30" t="n"/>
      <c r="T788" s="30" t="n"/>
      <c r="U788" s="30" t="n"/>
      <c r="V788" s="30" t="n"/>
      <c r="W788" s="29">
        <f>IF(H788="","",IF(H788="Kenya","Yes","No"))</f>
        <v/>
      </c>
      <c r="X788" s="29">
        <f>IF(B788="","",IF(COUNTIF($B$5:$B$3004,B788)&gt;1,"DUPLICATE","OK"))</f>
        <v/>
      </c>
      <c r="Y788" s="29">
        <f>IF(OR(U788="",V788="",V788="Excluded"),"",IF(COUNTIFS($U$5:$U$3004,U788,$V$5:$V$3004,"&lt;&gt;"&amp;V788,$V$5:$V$3004,"&lt;&gt;",$V$5:$V$3004,"&lt;&gt;Excluded")&gt;0,"LEAK RISK","OK"))</f>
        <v/>
      </c>
      <c r="Z788" s="30" t="n"/>
    </row>
    <row r="789">
      <c r="A789" s="30" t="n"/>
      <c r="B789" s="30" t="n"/>
      <c r="C789" s="30" t="n"/>
      <c r="D789" s="30" t="n"/>
      <c r="E789" s="30" t="n"/>
      <c r="F789" s="30" t="n"/>
      <c r="G789" s="30" t="n"/>
      <c r="H789" s="30" t="n"/>
      <c r="I789" s="31" t="n"/>
      <c r="J789" s="30" t="n"/>
      <c r="K789" s="30" t="n"/>
      <c r="L789" s="30" t="n"/>
      <c r="M789" s="30" t="n"/>
      <c r="N789" s="32" t="n"/>
      <c r="O789" s="30" t="n"/>
      <c r="P789" s="32" t="n"/>
      <c r="Q789" s="30" t="n"/>
      <c r="R789" s="32" t="n"/>
      <c r="S789" s="30" t="n"/>
      <c r="T789" s="30" t="n"/>
      <c r="U789" s="30" t="n"/>
      <c r="V789" s="30" t="n"/>
      <c r="W789" s="29">
        <f>IF(H789="","",IF(H789="Kenya","Yes","No"))</f>
        <v/>
      </c>
      <c r="X789" s="29">
        <f>IF(B789="","",IF(COUNTIF($B$5:$B$3004,B789)&gt;1,"DUPLICATE","OK"))</f>
        <v/>
      </c>
      <c r="Y789" s="29">
        <f>IF(OR(U789="",V789="",V789="Excluded"),"",IF(COUNTIFS($U$5:$U$3004,U789,$V$5:$V$3004,"&lt;&gt;"&amp;V789,$V$5:$V$3004,"&lt;&gt;",$V$5:$V$3004,"&lt;&gt;Excluded")&gt;0,"LEAK RISK","OK"))</f>
        <v/>
      </c>
      <c r="Z789" s="30" t="n"/>
    </row>
    <row r="790">
      <c r="A790" s="30" t="n"/>
      <c r="B790" s="30" t="n"/>
      <c r="C790" s="30" t="n"/>
      <c r="D790" s="30" t="n"/>
      <c r="E790" s="30" t="n"/>
      <c r="F790" s="30" t="n"/>
      <c r="G790" s="30" t="n"/>
      <c r="H790" s="30" t="n"/>
      <c r="I790" s="31" t="n"/>
      <c r="J790" s="30" t="n"/>
      <c r="K790" s="30" t="n"/>
      <c r="L790" s="30" t="n"/>
      <c r="M790" s="30" t="n"/>
      <c r="N790" s="32" t="n"/>
      <c r="O790" s="30" t="n"/>
      <c r="P790" s="32" t="n"/>
      <c r="Q790" s="30" t="n"/>
      <c r="R790" s="32" t="n"/>
      <c r="S790" s="30" t="n"/>
      <c r="T790" s="30" t="n"/>
      <c r="U790" s="30" t="n"/>
      <c r="V790" s="30" t="n"/>
      <c r="W790" s="29">
        <f>IF(H790="","",IF(H790="Kenya","Yes","No"))</f>
        <v/>
      </c>
      <c r="X790" s="29">
        <f>IF(B790="","",IF(COUNTIF($B$5:$B$3004,B790)&gt;1,"DUPLICATE","OK"))</f>
        <v/>
      </c>
      <c r="Y790" s="29">
        <f>IF(OR(U790="",V790="",V790="Excluded"),"",IF(COUNTIFS($U$5:$U$3004,U790,$V$5:$V$3004,"&lt;&gt;"&amp;V790,$V$5:$V$3004,"&lt;&gt;",$V$5:$V$3004,"&lt;&gt;Excluded")&gt;0,"LEAK RISK","OK"))</f>
        <v/>
      </c>
      <c r="Z790" s="30" t="n"/>
    </row>
    <row r="791">
      <c r="A791" s="30" t="n"/>
      <c r="B791" s="30" t="n"/>
      <c r="C791" s="30" t="n"/>
      <c r="D791" s="30" t="n"/>
      <c r="E791" s="30" t="n"/>
      <c r="F791" s="30" t="n"/>
      <c r="G791" s="30" t="n"/>
      <c r="H791" s="30" t="n"/>
      <c r="I791" s="31" t="n"/>
      <c r="J791" s="30" t="n"/>
      <c r="K791" s="30" t="n"/>
      <c r="L791" s="30" t="n"/>
      <c r="M791" s="30" t="n"/>
      <c r="N791" s="32" t="n"/>
      <c r="O791" s="30" t="n"/>
      <c r="P791" s="32" t="n"/>
      <c r="Q791" s="30" t="n"/>
      <c r="R791" s="32" t="n"/>
      <c r="S791" s="30" t="n"/>
      <c r="T791" s="30" t="n"/>
      <c r="U791" s="30" t="n"/>
      <c r="V791" s="30" t="n"/>
      <c r="W791" s="29">
        <f>IF(H791="","",IF(H791="Kenya","Yes","No"))</f>
        <v/>
      </c>
      <c r="X791" s="29">
        <f>IF(B791="","",IF(COUNTIF($B$5:$B$3004,B791)&gt;1,"DUPLICATE","OK"))</f>
        <v/>
      </c>
      <c r="Y791" s="29">
        <f>IF(OR(U791="",V791="",V791="Excluded"),"",IF(COUNTIFS($U$5:$U$3004,U791,$V$5:$V$3004,"&lt;&gt;"&amp;V791,$V$5:$V$3004,"&lt;&gt;",$V$5:$V$3004,"&lt;&gt;Excluded")&gt;0,"LEAK RISK","OK"))</f>
        <v/>
      </c>
      <c r="Z791" s="30" t="n"/>
    </row>
    <row r="792">
      <c r="A792" s="30" t="n"/>
      <c r="B792" s="30" t="n"/>
      <c r="C792" s="30" t="n"/>
      <c r="D792" s="30" t="n"/>
      <c r="E792" s="30" t="n"/>
      <c r="F792" s="30" t="n"/>
      <c r="G792" s="30" t="n"/>
      <c r="H792" s="30" t="n"/>
      <c r="I792" s="31" t="n"/>
      <c r="J792" s="30" t="n"/>
      <c r="K792" s="30" t="n"/>
      <c r="L792" s="30" t="n"/>
      <c r="M792" s="30" t="n"/>
      <c r="N792" s="32" t="n"/>
      <c r="O792" s="30" t="n"/>
      <c r="P792" s="32" t="n"/>
      <c r="Q792" s="30" t="n"/>
      <c r="R792" s="32" t="n"/>
      <c r="S792" s="30" t="n"/>
      <c r="T792" s="30" t="n"/>
      <c r="U792" s="30" t="n"/>
      <c r="V792" s="30" t="n"/>
      <c r="W792" s="29">
        <f>IF(H792="","",IF(H792="Kenya","Yes","No"))</f>
        <v/>
      </c>
      <c r="X792" s="29">
        <f>IF(B792="","",IF(COUNTIF($B$5:$B$3004,B792)&gt;1,"DUPLICATE","OK"))</f>
        <v/>
      </c>
      <c r="Y792" s="29">
        <f>IF(OR(U792="",V792="",V792="Excluded"),"",IF(COUNTIFS($U$5:$U$3004,U792,$V$5:$V$3004,"&lt;&gt;"&amp;V792,$V$5:$V$3004,"&lt;&gt;",$V$5:$V$3004,"&lt;&gt;Excluded")&gt;0,"LEAK RISK","OK"))</f>
        <v/>
      </c>
      <c r="Z792" s="30" t="n"/>
    </row>
    <row r="793">
      <c r="A793" s="30" t="n"/>
      <c r="B793" s="30" t="n"/>
      <c r="C793" s="30" t="n"/>
      <c r="D793" s="30" t="n"/>
      <c r="E793" s="30" t="n"/>
      <c r="F793" s="30" t="n"/>
      <c r="G793" s="30" t="n"/>
      <c r="H793" s="30" t="n"/>
      <c r="I793" s="31" t="n"/>
      <c r="J793" s="30" t="n"/>
      <c r="K793" s="30" t="n"/>
      <c r="L793" s="30" t="n"/>
      <c r="M793" s="30" t="n"/>
      <c r="N793" s="32" t="n"/>
      <c r="O793" s="30" t="n"/>
      <c r="P793" s="32" t="n"/>
      <c r="Q793" s="30" t="n"/>
      <c r="R793" s="32" t="n"/>
      <c r="S793" s="30" t="n"/>
      <c r="T793" s="30" t="n"/>
      <c r="U793" s="30" t="n"/>
      <c r="V793" s="30" t="n"/>
      <c r="W793" s="29">
        <f>IF(H793="","",IF(H793="Kenya","Yes","No"))</f>
        <v/>
      </c>
      <c r="X793" s="29">
        <f>IF(B793="","",IF(COUNTIF($B$5:$B$3004,B793)&gt;1,"DUPLICATE","OK"))</f>
        <v/>
      </c>
      <c r="Y793" s="29">
        <f>IF(OR(U793="",V793="",V793="Excluded"),"",IF(COUNTIFS($U$5:$U$3004,U793,$V$5:$V$3004,"&lt;&gt;"&amp;V793,$V$5:$V$3004,"&lt;&gt;",$V$5:$V$3004,"&lt;&gt;Excluded")&gt;0,"LEAK RISK","OK"))</f>
        <v/>
      </c>
      <c r="Z793" s="30" t="n"/>
    </row>
    <row r="794">
      <c r="A794" s="30" t="n"/>
      <c r="B794" s="30" t="n"/>
      <c r="C794" s="30" t="n"/>
      <c r="D794" s="30" t="n"/>
      <c r="E794" s="30" t="n"/>
      <c r="F794" s="30" t="n"/>
      <c r="G794" s="30" t="n"/>
      <c r="H794" s="30" t="n"/>
      <c r="I794" s="31" t="n"/>
      <c r="J794" s="30" t="n"/>
      <c r="K794" s="30" t="n"/>
      <c r="L794" s="30" t="n"/>
      <c r="M794" s="30" t="n"/>
      <c r="N794" s="32" t="n"/>
      <c r="O794" s="30" t="n"/>
      <c r="P794" s="32" t="n"/>
      <c r="Q794" s="30" t="n"/>
      <c r="R794" s="32" t="n"/>
      <c r="S794" s="30" t="n"/>
      <c r="T794" s="30" t="n"/>
      <c r="U794" s="30" t="n"/>
      <c r="V794" s="30" t="n"/>
      <c r="W794" s="29">
        <f>IF(H794="","",IF(H794="Kenya","Yes","No"))</f>
        <v/>
      </c>
      <c r="X794" s="29">
        <f>IF(B794="","",IF(COUNTIF($B$5:$B$3004,B794)&gt;1,"DUPLICATE","OK"))</f>
        <v/>
      </c>
      <c r="Y794" s="29">
        <f>IF(OR(U794="",V794="",V794="Excluded"),"",IF(COUNTIFS($U$5:$U$3004,U794,$V$5:$V$3004,"&lt;&gt;"&amp;V794,$V$5:$V$3004,"&lt;&gt;",$V$5:$V$3004,"&lt;&gt;Excluded")&gt;0,"LEAK RISK","OK"))</f>
        <v/>
      </c>
      <c r="Z794" s="30" t="n"/>
    </row>
    <row r="795">
      <c r="A795" s="30" t="n"/>
      <c r="B795" s="30" t="n"/>
      <c r="C795" s="30" t="n"/>
      <c r="D795" s="30" t="n"/>
      <c r="E795" s="30" t="n"/>
      <c r="F795" s="30" t="n"/>
      <c r="G795" s="30" t="n"/>
      <c r="H795" s="30" t="n"/>
      <c r="I795" s="31" t="n"/>
      <c r="J795" s="30" t="n"/>
      <c r="K795" s="30" t="n"/>
      <c r="L795" s="30" t="n"/>
      <c r="M795" s="30" t="n"/>
      <c r="N795" s="32" t="n"/>
      <c r="O795" s="30" t="n"/>
      <c r="P795" s="32" t="n"/>
      <c r="Q795" s="30" t="n"/>
      <c r="R795" s="32" t="n"/>
      <c r="S795" s="30" t="n"/>
      <c r="T795" s="30" t="n"/>
      <c r="U795" s="30" t="n"/>
      <c r="V795" s="30" t="n"/>
      <c r="W795" s="29">
        <f>IF(H795="","",IF(H795="Kenya","Yes","No"))</f>
        <v/>
      </c>
      <c r="X795" s="29">
        <f>IF(B795="","",IF(COUNTIF($B$5:$B$3004,B795)&gt;1,"DUPLICATE","OK"))</f>
        <v/>
      </c>
      <c r="Y795" s="29">
        <f>IF(OR(U795="",V795="",V795="Excluded"),"",IF(COUNTIFS($U$5:$U$3004,U795,$V$5:$V$3004,"&lt;&gt;"&amp;V795,$V$5:$V$3004,"&lt;&gt;",$V$5:$V$3004,"&lt;&gt;Excluded")&gt;0,"LEAK RISK","OK"))</f>
        <v/>
      </c>
      <c r="Z795" s="30" t="n"/>
    </row>
    <row r="796">
      <c r="A796" s="30" t="n"/>
      <c r="B796" s="30" t="n"/>
      <c r="C796" s="30" t="n"/>
      <c r="D796" s="30" t="n"/>
      <c r="E796" s="30" t="n"/>
      <c r="F796" s="30" t="n"/>
      <c r="G796" s="30" t="n"/>
      <c r="H796" s="30" t="n"/>
      <c r="I796" s="31" t="n"/>
      <c r="J796" s="30" t="n"/>
      <c r="K796" s="30" t="n"/>
      <c r="L796" s="30" t="n"/>
      <c r="M796" s="30" t="n"/>
      <c r="N796" s="32" t="n"/>
      <c r="O796" s="30" t="n"/>
      <c r="P796" s="32" t="n"/>
      <c r="Q796" s="30" t="n"/>
      <c r="R796" s="32" t="n"/>
      <c r="S796" s="30" t="n"/>
      <c r="T796" s="30" t="n"/>
      <c r="U796" s="30" t="n"/>
      <c r="V796" s="30" t="n"/>
      <c r="W796" s="29">
        <f>IF(H796="","",IF(H796="Kenya","Yes","No"))</f>
        <v/>
      </c>
      <c r="X796" s="29">
        <f>IF(B796="","",IF(COUNTIF($B$5:$B$3004,B796)&gt;1,"DUPLICATE","OK"))</f>
        <v/>
      </c>
      <c r="Y796" s="29">
        <f>IF(OR(U796="",V796="",V796="Excluded"),"",IF(COUNTIFS($U$5:$U$3004,U796,$V$5:$V$3004,"&lt;&gt;"&amp;V796,$V$5:$V$3004,"&lt;&gt;",$V$5:$V$3004,"&lt;&gt;Excluded")&gt;0,"LEAK RISK","OK"))</f>
        <v/>
      </c>
      <c r="Z796" s="30" t="n"/>
    </row>
    <row r="797">
      <c r="A797" s="30" t="n"/>
      <c r="B797" s="30" t="n"/>
      <c r="C797" s="30" t="n"/>
      <c r="D797" s="30" t="n"/>
      <c r="E797" s="30" t="n"/>
      <c r="F797" s="30" t="n"/>
      <c r="G797" s="30" t="n"/>
      <c r="H797" s="30" t="n"/>
      <c r="I797" s="31" t="n"/>
      <c r="J797" s="30" t="n"/>
      <c r="K797" s="30" t="n"/>
      <c r="L797" s="30" t="n"/>
      <c r="M797" s="30" t="n"/>
      <c r="N797" s="32" t="n"/>
      <c r="O797" s="30" t="n"/>
      <c r="P797" s="32" t="n"/>
      <c r="Q797" s="30" t="n"/>
      <c r="R797" s="32" t="n"/>
      <c r="S797" s="30" t="n"/>
      <c r="T797" s="30" t="n"/>
      <c r="U797" s="30" t="n"/>
      <c r="V797" s="30" t="n"/>
      <c r="W797" s="29">
        <f>IF(H797="","",IF(H797="Kenya","Yes","No"))</f>
        <v/>
      </c>
      <c r="X797" s="29">
        <f>IF(B797="","",IF(COUNTIF($B$5:$B$3004,B797)&gt;1,"DUPLICATE","OK"))</f>
        <v/>
      </c>
      <c r="Y797" s="29">
        <f>IF(OR(U797="",V797="",V797="Excluded"),"",IF(COUNTIFS($U$5:$U$3004,U797,$V$5:$V$3004,"&lt;&gt;"&amp;V797,$V$5:$V$3004,"&lt;&gt;",$V$5:$V$3004,"&lt;&gt;Excluded")&gt;0,"LEAK RISK","OK"))</f>
        <v/>
      </c>
      <c r="Z797" s="30" t="n"/>
    </row>
    <row r="798">
      <c r="A798" s="30" t="n"/>
      <c r="B798" s="30" t="n"/>
      <c r="C798" s="30" t="n"/>
      <c r="D798" s="30" t="n"/>
      <c r="E798" s="30" t="n"/>
      <c r="F798" s="30" t="n"/>
      <c r="G798" s="30" t="n"/>
      <c r="H798" s="30" t="n"/>
      <c r="I798" s="31" t="n"/>
      <c r="J798" s="30" t="n"/>
      <c r="K798" s="30" t="n"/>
      <c r="L798" s="30" t="n"/>
      <c r="M798" s="30" t="n"/>
      <c r="N798" s="32" t="n"/>
      <c r="O798" s="30" t="n"/>
      <c r="P798" s="32" t="n"/>
      <c r="Q798" s="30" t="n"/>
      <c r="R798" s="32" t="n"/>
      <c r="S798" s="30" t="n"/>
      <c r="T798" s="30" t="n"/>
      <c r="U798" s="30" t="n"/>
      <c r="V798" s="30" t="n"/>
      <c r="W798" s="29">
        <f>IF(H798="","",IF(H798="Kenya","Yes","No"))</f>
        <v/>
      </c>
      <c r="X798" s="29">
        <f>IF(B798="","",IF(COUNTIF($B$5:$B$3004,B798)&gt;1,"DUPLICATE","OK"))</f>
        <v/>
      </c>
      <c r="Y798" s="29">
        <f>IF(OR(U798="",V798="",V798="Excluded"),"",IF(COUNTIFS($U$5:$U$3004,U798,$V$5:$V$3004,"&lt;&gt;"&amp;V798,$V$5:$V$3004,"&lt;&gt;",$V$5:$V$3004,"&lt;&gt;Excluded")&gt;0,"LEAK RISK","OK"))</f>
        <v/>
      </c>
      <c r="Z798" s="30" t="n"/>
    </row>
    <row r="799">
      <c r="A799" s="30" t="n"/>
      <c r="B799" s="30" t="n"/>
      <c r="C799" s="30" t="n"/>
      <c r="D799" s="30" t="n"/>
      <c r="E799" s="30" t="n"/>
      <c r="F799" s="30" t="n"/>
      <c r="G799" s="30" t="n"/>
      <c r="H799" s="30" t="n"/>
      <c r="I799" s="31" t="n"/>
      <c r="J799" s="30" t="n"/>
      <c r="K799" s="30" t="n"/>
      <c r="L799" s="30" t="n"/>
      <c r="M799" s="30" t="n"/>
      <c r="N799" s="32" t="n"/>
      <c r="O799" s="30" t="n"/>
      <c r="P799" s="32" t="n"/>
      <c r="Q799" s="30" t="n"/>
      <c r="R799" s="32" t="n"/>
      <c r="S799" s="30" t="n"/>
      <c r="T799" s="30" t="n"/>
      <c r="U799" s="30" t="n"/>
      <c r="V799" s="30" t="n"/>
      <c r="W799" s="29">
        <f>IF(H799="","",IF(H799="Kenya","Yes","No"))</f>
        <v/>
      </c>
      <c r="X799" s="29">
        <f>IF(B799="","",IF(COUNTIF($B$5:$B$3004,B799)&gt;1,"DUPLICATE","OK"))</f>
        <v/>
      </c>
      <c r="Y799" s="29">
        <f>IF(OR(U799="",V799="",V799="Excluded"),"",IF(COUNTIFS($U$5:$U$3004,U799,$V$5:$V$3004,"&lt;&gt;"&amp;V799,$V$5:$V$3004,"&lt;&gt;",$V$5:$V$3004,"&lt;&gt;Excluded")&gt;0,"LEAK RISK","OK"))</f>
        <v/>
      </c>
      <c r="Z799" s="30" t="n"/>
    </row>
    <row r="800">
      <c r="A800" s="30" t="n"/>
      <c r="B800" s="30" t="n"/>
      <c r="C800" s="30" t="n"/>
      <c r="D800" s="30" t="n"/>
      <c r="E800" s="30" t="n"/>
      <c r="F800" s="30" t="n"/>
      <c r="G800" s="30" t="n"/>
      <c r="H800" s="30" t="n"/>
      <c r="I800" s="31" t="n"/>
      <c r="J800" s="30" t="n"/>
      <c r="K800" s="30" t="n"/>
      <c r="L800" s="30" t="n"/>
      <c r="M800" s="30" t="n"/>
      <c r="N800" s="32" t="n"/>
      <c r="O800" s="30" t="n"/>
      <c r="P800" s="32" t="n"/>
      <c r="Q800" s="30" t="n"/>
      <c r="R800" s="32" t="n"/>
      <c r="S800" s="30" t="n"/>
      <c r="T800" s="30" t="n"/>
      <c r="U800" s="30" t="n"/>
      <c r="V800" s="30" t="n"/>
      <c r="W800" s="29">
        <f>IF(H800="","",IF(H800="Kenya","Yes","No"))</f>
        <v/>
      </c>
      <c r="X800" s="29">
        <f>IF(B800="","",IF(COUNTIF($B$5:$B$3004,B800)&gt;1,"DUPLICATE","OK"))</f>
        <v/>
      </c>
      <c r="Y800" s="29">
        <f>IF(OR(U800="",V800="",V800="Excluded"),"",IF(COUNTIFS($U$5:$U$3004,U800,$V$5:$V$3004,"&lt;&gt;"&amp;V800,$V$5:$V$3004,"&lt;&gt;",$V$5:$V$3004,"&lt;&gt;Excluded")&gt;0,"LEAK RISK","OK"))</f>
        <v/>
      </c>
      <c r="Z800" s="30" t="n"/>
    </row>
    <row r="801">
      <c r="A801" s="30" t="n"/>
      <c r="B801" s="30" t="n"/>
      <c r="C801" s="30" t="n"/>
      <c r="D801" s="30" t="n"/>
      <c r="E801" s="30" t="n"/>
      <c r="F801" s="30" t="n"/>
      <c r="G801" s="30" t="n"/>
      <c r="H801" s="30" t="n"/>
      <c r="I801" s="31" t="n"/>
      <c r="J801" s="30" t="n"/>
      <c r="K801" s="30" t="n"/>
      <c r="L801" s="30" t="n"/>
      <c r="M801" s="30" t="n"/>
      <c r="N801" s="32" t="n"/>
      <c r="O801" s="30" t="n"/>
      <c r="P801" s="32" t="n"/>
      <c r="Q801" s="30" t="n"/>
      <c r="R801" s="32" t="n"/>
      <c r="S801" s="30" t="n"/>
      <c r="T801" s="30" t="n"/>
      <c r="U801" s="30" t="n"/>
      <c r="V801" s="30" t="n"/>
      <c r="W801" s="29">
        <f>IF(H801="","",IF(H801="Kenya","Yes","No"))</f>
        <v/>
      </c>
      <c r="X801" s="29">
        <f>IF(B801="","",IF(COUNTIF($B$5:$B$3004,B801)&gt;1,"DUPLICATE","OK"))</f>
        <v/>
      </c>
      <c r="Y801" s="29">
        <f>IF(OR(U801="",V801="",V801="Excluded"),"",IF(COUNTIFS($U$5:$U$3004,U801,$V$5:$V$3004,"&lt;&gt;"&amp;V801,$V$5:$V$3004,"&lt;&gt;",$V$5:$V$3004,"&lt;&gt;Excluded")&gt;0,"LEAK RISK","OK"))</f>
        <v/>
      </c>
      <c r="Z801" s="30" t="n"/>
    </row>
    <row r="802">
      <c r="A802" s="30" t="n"/>
      <c r="B802" s="30" t="n"/>
      <c r="C802" s="30" t="n"/>
      <c r="D802" s="30" t="n"/>
      <c r="E802" s="30" t="n"/>
      <c r="F802" s="30" t="n"/>
      <c r="G802" s="30" t="n"/>
      <c r="H802" s="30" t="n"/>
      <c r="I802" s="31" t="n"/>
      <c r="J802" s="30" t="n"/>
      <c r="K802" s="30" t="n"/>
      <c r="L802" s="30" t="n"/>
      <c r="M802" s="30" t="n"/>
      <c r="N802" s="32" t="n"/>
      <c r="O802" s="30" t="n"/>
      <c r="P802" s="32" t="n"/>
      <c r="Q802" s="30" t="n"/>
      <c r="R802" s="32" t="n"/>
      <c r="S802" s="30" t="n"/>
      <c r="T802" s="30" t="n"/>
      <c r="U802" s="30" t="n"/>
      <c r="V802" s="30" t="n"/>
      <c r="W802" s="29">
        <f>IF(H802="","",IF(H802="Kenya","Yes","No"))</f>
        <v/>
      </c>
      <c r="X802" s="29">
        <f>IF(B802="","",IF(COUNTIF($B$5:$B$3004,B802)&gt;1,"DUPLICATE","OK"))</f>
        <v/>
      </c>
      <c r="Y802" s="29">
        <f>IF(OR(U802="",V802="",V802="Excluded"),"",IF(COUNTIFS($U$5:$U$3004,U802,$V$5:$V$3004,"&lt;&gt;"&amp;V802,$V$5:$V$3004,"&lt;&gt;",$V$5:$V$3004,"&lt;&gt;Excluded")&gt;0,"LEAK RISK","OK"))</f>
        <v/>
      </c>
      <c r="Z802" s="30" t="n"/>
    </row>
    <row r="803">
      <c r="A803" s="30" t="n"/>
      <c r="B803" s="30" t="n"/>
      <c r="C803" s="30" t="n"/>
      <c r="D803" s="30" t="n"/>
      <c r="E803" s="30" t="n"/>
      <c r="F803" s="30" t="n"/>
      <c r="G803" s="30" t="n"/>
      <c r="H803" s="30" t="n"/>
      <c r="I803" s="31" t="n"/>
      <c r="J803" s="30" t="n"/>
      <c r="K803" s="30" t="n"/>
      <c r="L803" s="30" t="n"/>
      <c r="M803" s="30" t="n"/>
      <c r="N803" s="32" t="n"/>
      <c r="O803" s="30" t="n"/>
      <c r="P803" s="32" t="n"/>
      <c r="Q803" s="30" t="n"/>
      <c r="R803" s="32" t="n"/>
      <c r="S803" s="30" t="n"/>
      <c r="T803" s="30" t="n"/>
      <c r="U803" s="30" t="n"/>
      <c r="V803" s="30" t="n"/>
      <c r="W803" s="29">
        <f>IF(H803="","",IF(H803="Kenya","Yes","No"))</f>
        <v/>
      </c>
      <c r="X803" s="29">
        <f>IF(B803="","",IF(COUNTIF($B$5:$B$3004,B803)&gt;1,"DUPLICATE","OK"))</f>
        <v/>
      </c>
      <c r="Y803" s="29">
        <f>IF(OR(U803="",V803="",V803="Excluded"),"",IF(COUNTIFS($U$5:$U$3004,U803,$V$5:$V$3004,"&lt;&gt;"&amp;V803,$V$5:$V$3004,"&lt;&gt;",$V$5:$V$3004,"&lt;&gt;Excluded")&gt;0,"LEAK RISK","OK"))</f>
        <v/>
      </c>
      <c r="Z803" s="30" t="n"/>
    </row>
    <row r="804">
      <c r="A804" s="30" t="n"/>
      <c r="B804" s="30" t="n"/>
      <c r="C804" s="30" t="n"/>
      <c r="D804" s="30" t="n"/>
      <c r="E804" s="30" t="n"/>
      <c r="F804" s="30" t="n"/>
      <c r="G804" s="30" t="n"/>
      <c r="H804" s="30" t="n"/>
      <c r="I804" s="31" t="n"/>
      <c r="J804" s="30" t="n"/>
      <c r="K804" s="30" t="n"/>
      <c r="L804" s="30" t="n"/>
      <c r="M804" s="30" t="n"/>
      <c r="N804" s="32" t="n"/>
      <c r="O804" s="30" t="n"/>
      <c r="P804" s="32" t="n"/>
      <c r="Q804" s="30" t="n"/>
      <c r="R804" s="32" t="n"/>
      <c r="S804" s="30" t="n"/>
      <c r="T804" s="30" t="n"/>
      <c r="U804" s="30" t="n"/>
      <c r="V804" s="30" t="n"/>
      <c r="W804" s="29">
        <f>IF(H804="","",IF(H804="Kenya","Yes","No"))</f>
        <v/>
      </c>
      <c r="X804" s="29">
        <f>IF(B804="","",IF(COUNTIF($B$5:$B$3004,B804)&gt;1,"DUPLICATE","OK"))</f>
        <v/>
      </c>
      <c r="Y804" s="29">
        <f>IF(OR(U804="",V804="",V804="Excluded"),"",IF(COUNTIFS($U$5:$U$3004,U804,$V$5:$V$3004,"&lt;&gt;"&amp;V804,$V$5:$V$3004,"&lt;&gt;",$V$5:$V$3004,"&lt;&gt;Excluded")&gt;0,"LEAK RISK","OK"))</f>
        <v/>
      </c>
      <c r="Z804" s="30" t="n"/>
    </row>
    <row r="805">
      <c r="A805" s="30" t="n"/>
      <c r="B805" s="30" t="n"/>
      <c r="C805" s="30" t="n"/>
      <c r="D805" s="30" t="n"/>
      <c r="E805" s="30" t="n"/>
      <c r="F805" s="30" t="n"/>
      <c r="G805" s="30" t="n"/>
      <c r="H805" s="30" t="n"/>
      <c r="I805" s="31" t="n"/>
      <c r="J805" s="30" t="n"/>
      <c r="K805" s="30" t="n"/>
      <c r="L805" s="30" t="n"/>
      <c r="M805" s="30" t="n"/>
      <c r="N805" s="32" t="n"/>
      <c r="O805" s="30" t="n"/>
      <c r="P805" s="32" t="n"/>
      <c r="Q805" s="30" t="n"/>
      <c r="R805" s="32" t="n"/>
      <c r="S805" s="30" t="n"/>
      <c r="T805" s="30" t="n"/>
      <c r="U805" s="30" t="n"/>
      <c r="V805" s="30" t="n"/>
      <c r="W805" s="29">
        <f>IF(H805="","",IF(H805="Kenya","Yes","No"))</f>
        <v/>
      </c>
      <c r="X805" s="29">
        <f>IF(B805="","",IF(COUNTIF($B$5:$B$3004,B805)&gt;1,"DUPLICATE","OK"))</f>
        <v/>
      </c>
      <c r="Y805" s="29">
        <f>IF(OR(U805="",V805="",V805="Excluded"),"",IF(COUNTIFS($U$5:$U$3004,U805,$V$5:$V$3004,"&lt;&gt;"&amp;V805,$V$5:$V$3004,"&lt;&gt;",$V$5:$V$3004,"&lt;&gt;Excluded")&gt;0,"LEAK RISK","OK"))</f>
        <v/>
      </c>
      <c r="Z805" s="30" t="n"/>
    </row>
    <row r="806">
      <c r="A806" s="30" t="n"/>
      <c r="B806" s="30" t="n"/>
      <c r="C806" s="30" t="n"/>
      <c r="D806" s="30" t="n"/>
      <c r="E806" s="30" t="n"/>
      <c r="F806" s="30" t="n"/>
      <c r="G806" s="30" t="n"/>
      <c r="H806" s="30" t="n"/>
      <c r="I806" s="31" t="n"/>
      <c r="J806" s="30" t="n"/>
      <c r="K806" s="30" t="n"/>
      <c r="L806" s="30" t="n"/>
      <c r="M806" s="30" t="n"/>
      <c r="N806" s="32" t="n"/>
      <c r="O806" s="30" t="n"/>
      <c r="P806" s="32" t="n"/>
      <c r="Q806" s="30" t="n"/>
      <c r="R806" s="32" t="n"/>
      <c r="S806" s="30" t="n"/>
      <c r="T806" s="30" t="n"/>
      <c r="U806" s="30" t="n"/>
      <c r="V806" s="30" t="n"/>
      <c r="W806" s="29">
        <f>IF(H806="","",IF(H806="Kenya","Yes","No"))</f>
        <v/>
      </c>
      <c r="X806" s="29">
        <f>IF(B806="","",IF(COUNTIF($B$5:$B$3004,B806)&gt;1,"DUPLICATE","OK"))</f>
        <v/>
      </c>
      <c r="Y806" s="29">
        <f>IF(OR(U806="",V806="",V806="Excluded"),"",IF(COUNTIFS($U$5:$U$3004,U806,$V$5:$V$3004,"&lt;&gt;"&amp;V806,$V$5:$V$3004,"&lt;&gt;",$V$5:$V$3004,"&lt;&gt;Excluded")&gt;0,"LEAK RISK","OK"))</f>
        <v/>
      </c>
      <c r="Z806" s="30" t="n"/>
    </row>
    <row r="807">
      <c r="A807" s="30" t="n"/>
      <c r="B807" s="30" t="n"/>
      <c r="C807" s="30" t="n"/>
      <c r="D807" s="30" t="n"/>
      <c r="E807" s="30" t="n"/>
      <c r="F807" s="30" t="n"/>
      <c r="G807" s="30" t="n"/>
      <c r="H807" s="30" t="n"/>
      <c r="I807" s="31" t="n"/>
      <c r="J807" s="30" t="n"/>
      <c r="K807" s="30" t="n"/>
      <c r="L807" s="30" t="n"/>
      <c r="M807" s="30" t="n"/>
      <c r="N807" s="32" t="n"/>
      <c r="O807" s="30" t="n"/>
      <c r="P807" s="32" t="n"/>
      <c r="Q807" s="30" t="n"/>
      <c r="R807" s="32" t="n"/>
      <c r="S807" s="30" t="n"/>
      <c r="T807" s="30" t="n"/>
      <c r="U807" s="30" t="n"/>
      <c r="V807" s="30" t="n"/>
      <c r="W807" s="29">
        <f>IF(H807="","",IF(H807="Kenya","Yes","No"))</f>
        <v/>
      </c>
      <c r="X807" s="29">
        <f>IF(B807="","",IF(COUNTIF($B$5:$B$3004,B807)&gt;1,"DUPLICATE","OK"))</f>
        <v/>
      </c>
      <c r="Y807" s="29">
        <f>IF(OR(U807="",V807="",V807="Excluded"),"",IF(COUNTIFS($U$5:$U$3004,U807,$V$5:$V$3004,"&lt;&gt;"&amp;V807,$V$5:$V$3004,"&lt;&gt;",$V$5:$V$3004,"&lt;&gt;Excluded")&gt;0,"LEAK RISK","OK"))</f>
        <v/>
      </c>
      <c r="Z807" s="30" t="n"/>
    </row>
    <row r="808">
      <c r="A808" s="30" t="n"/>
      <c r="B808" s="30" t="n"/>
      <c r="C808" s="30" t="n"/>
      <c r="D808" s="30" t="n"/>
      <c r="E808" s="30" t="n"/>
      <c r="F808" s="30" t="n"/>
      <c r="G808" s="30" t="n"/>
      <c r="H808" s="30" t="n"/>
      <c r="I808" s="31" t="n"/>
      <c r="J808" s="30" t="n"/>
      <c r="K808" s="30" t="n"/>
      <c r="L808" s="30" t="n"/>
      <c r="M808" s="30" t="n"/>
      <c r="N808" s="32" t="n"/>
      <c r="O808" s="30" t="n"/>
      <c r="P808" s="32" t="n"/>
      <c r="Q808" s="30" t="n"/>
      <c r="R808" s="32" t="n"/>
      <c r="S808" s="30" t="n"/>
      <c r="T808" s="30" t="n"/>
      <c r="U808" s="30" t="n"/>
      <c r="V808" s="30" t="n"/>
      <c r="W808" s="29">
        <f>IF(H808="","",IF(H808="Kenya","Yes","No"))</f>
        <v/>
      </c>
      <c r="X808" s="29">
        <f>IF(B808="","",IF(COUNTIF($B$5:$B$3004,B808)&gt;1,"DUPLICATE","OK"))</f>
        <v/>
      </c>
      <c r="Y808" s="29">
        <f>IF(OR(U808="",V808="",V808="Excluded"),"",IF(COUNTIFS($U$5:$U$3004,U808,$V$5:$V$3004,"&lt;&gt;"&amp;V808,$V$5:$V$3004,"&lt;&gt;",$V$5:$V$3004,"&lt;&gt;Excluded")&gt;0,"LEAK RISK","OK"))</f>
        <v/>
      </c>
      <c r="Z808" s="30" t="n"/>
    </row>
    <row r="809">
      <c r="A809" s="30" t="n"/>
      <c r="B809" s="30" t="n"/>
      <c r="C809" s="30" t="n"/>
      <c r="D809" s="30" t="n"/>
      <c r="E809" s="30" t="n"/>
      <c r="F809" s="30" t="n"/>
      <c r="G809" s="30" t="n"/>
      <c r="H809" s="30" t="n"/>
      <c r="I809" s="31" t="n"/>
      <c r="J809" s="30" t="n"/>
      <c r="K809" s="30" t="n"/>
      <c r="L809" s="30" t="n"/>
      <c r="M809" s="30" t="n"/>
      <c r="N809" s="32" t="n"/>
      <c r="O809" s="30" t="n"/>
      <c r="P809" s="32" t="n"/>
      <c r="Q809" s="30" t="n"/>
      <c r="R809" s="32" t="n"/>
      <c r="S809" s="30" t="n"/>
      <c r="T809" s="30" t="n"/>
      <c r="U809" s="30" t="n"/>
      <c r="V809" s="30" t="n"/>
      <c r="W809" s="29">
        <f>IF(H809="","",IF(H809="Kenya","Yes","No"))</f>
        <v/>
      </c>
      <c r="X809" s="29">
        <f>IF(B809="","",IF(COUNTIF($B$5:$B$3004,B809)&gt;1,"DUPLICATE","OK"))</f>
        <v/>
      </c>
      <c r="Y809" s="29">
        <f>IF(OR(U809="",V809="",V809="Excluded"),"",IF(COUNTIFS($U$5:$U$3004,U809,$V$5:$V$3004,"&lt;&gt;"&amp;V809,$V$5:$V$3004,"&lt;&gt;",$V$5:$V$3004,"&lt;&gt;Excluded")&gt;0,"LEAK RISK","OK"))</f>
        <v/>
      </c>
      <c r="Z809" s="30" t="n"/>
    </row>
    <row r="810">
      <c r="A810" s="30" t="n"/>
      <c r="B810" s="30" t="n"/>
      <c r="C810" s="30" t="n"/>
      <c r="D810" s="30" t="n"/>
      <c r="E810" s="30" t="n"/>
      <c r="F810" s="30" t="n"/>
      <c r="G810" s="30" t="n"/>
      <c r="H810" s="30" t="n"/>
      <c r="I810" s="31" t="n"/>
      <c r="J810" s="30" t="n"/>
      <c r="K810" s="30" t="n"/>
      <c r="L810" s="30" t="n"/>
      <c r="M810" s="30" t="n"/>
      <c r="N810" s="32" t="n"/>
      <c r="O810" s="30" t="n"/>
      <c r="P810" s="32" t="n"/>
      <c r="Q810" s="30" t="n"/>
      <c r="R810" s="32" t="n"/>
      <c r="S810" s="30" t="n"/>
      <c r="T810" s="30" t="n"/>
      <c r="U810" s="30" t="n"/>
      <c r="V810" s="30" t="n"/>
      <c r="W810" s="29">
        <f>IF(H810="","",IF(H810="Kenya","Yes","No"))</f>
        <v/>
      </c>
      <c r="X810" s="29">
        <f>IF(B810="","",IF(COUNTIF($B$5:$B$3004,B810)&gt;1,"DUPLICATE","OK"))</f>
        <v/>
      </c>
      <c r="Y810" s="29">
        <f>IF(OR(U810="",V810="",V810="Excluded"),"",IF(COUNTIFS($U$5:$U$3004,U810,$V$5:$V$3004,"&lt;&gt;"&amp;V810,$V$5:$V$3004,"&lt;&gt;",$V$5:$V$3004,"&lt;&gt;Excluded")&gt;0,"LEAK RISK","OK"))</f>
        <v/>
      </c>
      <c r="Z810" s="30" t="n"/>
    </row>
    <row r="811">
      <c r="A811" s="30" t="n"/>
      <c r="B811" s="30" t="n"/>
      <c r="C811" s="30" t="n"/>
      <c r="D811" s="30" t="n"/>
      <c r="E811" s="30" t="n"/>
      <c r="F811" s="30" t="n"/>
      <c r="G811" s="30" t="n"/>
      <c r="H811" s="30" t="n"/>
      <c r="I811" s="31" t="n"/>
      <c r="J811" s="30" t="n"/>
      <c r="K811" s="30" t="n"/>
      <c r="L811" s="30" t="n"/>
      <c r="M811" s="30" t="n"/>
      <c r="N811" s="32" t="n"/>
      <c r="O811" s="30" t="n"/>
      <c r="P811" s="32" t="n"/>
      <c r="Q811" s="30" t="n"/>
      <c r="R811" s="32" t="n"/>
      <c r="S811" s="30" t="n"/>
      <c r="T811" s="30" t="n"/>
      <c r="U811" s="30" t="n"/>
      <c r="V811" s="30" t="n"/>
      <c r="W811" s="29">
        <f>IF(H811="","",IF(H811="Kenya","Yes","No"))</f>
        <v/>
      </c>
      <c r="X811" s="29">
        <f>IF(B811="","",IF(COUNTIF($B$5:$B$3004,B811)&gt;1,"DUPLICATE","OK"))</f>
        <v/>
      </c>
      <c r="Y811" s="29">
        <f>IF(OR(U811="",V811="",V811="Excluded"),"",IF(COUNTIFS($U$5:$U$3004,U811,$V$5:$V$3004,"&lt;&gt;"&amp;V811,$V$5:$V$3004,"&lt;&gt;",$V$5:$V$3004,"&lt;&gt;Excluded")&gt;0,"LEAK RISK","OK"))</f>
        <v/>
      </c>
      <c r="Z811" s="30" t="n"/>
    </row>
    <row r="812">
      <c r="A812" s="30" t="n"/>
      <c r="B812" s="30" t="n"/>
      <c r="C812" s="30" t="n"/>
      <c r="D812" s="30" t="n"/>
      <c r="E812" s="30" t="n"/>
      <c r="F812" s="30" t="n"/>
      <c r="G812" s="30" t="n"/>
      <c r="H812" s="30" t="n"/>
      <c r="I812" s="31" t="n"/>
      <c r="J812" s="30" t="n"/>
      <c r="K812" s="30" t="n"/>
      <c r="L812" s="30" t="n"/>
      <c r="M812" s="30" t="n"/>
      <c r="N812" s="32" t="n"/>
      <c r="O812" s="30" t="n"/>
      <c r="P812" s="32" t="n"/>
      <c r="Q812" s="30" t="n"/>
      <c r="R812" s="32" t="n"/>
      <c r="S812" s="30" t="n"/>
      <c r="T812" s="30" t="n"/>
      <c r="U812" s="30" t="n"/>
      <c r="V812" s="30" t="n"/>
      <c r="W812" s="29">
        <f>IF(H812="","",IF(H812="Kenya","Yes","No"))</f>
        <v/>
      </c>
      <c r="X812" s="29">
        <f>IF(B812="","",IF(COUNTIF($B$5:$B$3004,B812)&gt;1,"DUPLICATE","OK"))</f>
        <v/>
      </c>
      <c r="Y812" s="29">
        <f>IF(OR(U812="",V812="",V812="Excluded"),"",IF(COUNTIFS($U$5:$U$3004,U812,$V$5:$V$3004,"&lt;&gt;"&amp;V812,$V$5:$V$3004,"&lt;&gt;",$V$5:$V$3004,"&lt;&gt;Excluded")&gt;0,"LEAK RISK","OK"))</f>
        <v/>
      </c>
      <c r="Z812" s="30" t="n"/>
    </row>
    <row r="813">
      <c r="A813" s="30" t="n"/>
      <c r="B813" s="30" t="n"/>
      <c r="C813" s="30" t="n"/>
      <c r="D813" s="30" t="n"/>
      <c r="E813" s="30" t="n"/>
      <c r="F813" s="30" t="n"/>
      <c r="G813" s="30" t="n"/>
      <c r="H813" s="30" t="n"/>
      <c r="I813" s="31" t="n"/>
      <c r="J813" s="30" t="n"/>
      <c r="K813" s="30" t="n"/>
      <c r="L813" s="30" t="n"/>
      <c r="M813" s="30" t="n"/>
      <c r="N813" s="32" t="n"/>
      <c r="O813" s="30" t="n"/>
      <c r="P813" s="32" t="n"/>
      <c r="Q813" s="30" t="n"/>
      <c r="R813" s="32" t="n"/>
      <c r="S813" s="30" t="n"/>
      <c r="T813" s="30" t="n"/>
      <c r="U813" s="30" t="n"/>
      <c r="V813" s="30" t="n"/>
      <c r="W813" s="29">
        <f>IF(H813="","",IF(H813="Kenya","Yes","No"))</f>
        <v/>
      </c>
      <c r="X813" s="29">
        <f>IF(B813="","",IF(COUNTIF($B$5:$B$3004,B813)&gt;1,"DUPLICATE","OK"))</f>
        <v/>
      </c>
      <c r="Y813" s="29">
        <f>IF(OR(U813="",V813="",V813="Excluded"),"",IF(COUNTIFS($U$5:$U$3004,U813,$V$5:$V$3004,"&lt;&gt;"&amp;V813,$V$5:$V$3004,"&lt;&gt;",$V$5:$V$3004,"&lt;&gt;Excluded")&gt;0,"LEAK RISK","OK"))</f>
        <v/>
      </c>
      <c r="Z813" s="30" t="n"/>
    </row>
    <row r="814">
      <c r="A814" s="30" t="n"/>
      <c r="B814" s="30" t="n"/>
      <c r="C814" s="30" t="n"/>
      <c r="D814" s="30" t="n"/>
      <c r="E814" s="30" t="n"/>
      <c r="F814" s="30" t="n"/>
      <c r="G814" s="30" t="n"/>
      <c r="H814" s="30" t="n"/>
      <c r="I814" s="31" t="n"/>
      <c r="J814" s="30" t="n"/>
      <c r="K814" s="30" t="n"/>
      <c r="L814" s="30" t="n"/>
      <c r="M814" s="30" t="n"/>
      <c r="N814" s="32" t="n"/>
      <c r="O814" s="30" t="n"/>
      <c r="P814" s="32" t="n"/>
      <c r="Q814" s="30" t="n"/>
      <c r="R814" s="32" t="n"/>
      <c r="S814" s="30" t="n"/>
      <c r="T814" s="30" t="n"/>
      <c r="U814" s="30" t="n"/>
      <c r="V814" s="30" t="n"/>
      <c r="W814" s="29">
        <f>IF(H814="","",IF(H814="Kenya","Yes","No"))</f>
        <v/>
      </c>
      <c r="X814" s="29">
        <f>IF(B814="","",IF(COUNTIF($B$5:$B$3004,B814)&gt;1,"DUPLICATE","OK"))</f>
        <v/>
      </c>
      <c r="Y814" s="29">
        <f>IF(OR(U814="",V814="",V814="Excluded"),"",IF(COUNTIFS($U$5:$U$3004,U814,$V$5:$V$3004,"&lt;&gt;"&amp;V814,$V$5:$V$3004,"&lt;&gt;",$V$5:$V$3004,"&lt;&gt;Excluded")&gt;0,"LEAK RISK","OK"))</f>
        <v/>
      </c>
      <c r="Z814" s="30" t="n"/>
    </row>
    <row r="815">
      <c r="A815" s="30" t="n"/>
      <c r="B815" s="30" t="n"/>
      <c r="C815" s="30" t="n"/>
      <c r="D815" s="30" t="n"/>
      <c r="E815" s="30" t="n"/>
      <c r="F815" s="30" t="n"/>
      <c r="G815" s="30" t="n"/>
      <c r="H815" s="30" t="n"/>
      <c r="I815" s="31" t="n"/>
      <c r="J815" s="30" t="n"/>
      <c r="K815" s="30" t="n"/>
      <c r="L815" s="30" t="n"/>
      <c r="M815" s="30" t="n"/>
      <c r="N815" s="32" t="n"/>
      <c r="O815" s="30" t="n"/>
      <c r="P815" s="32" t="n"/>
      <c r="Q815" s="30" t="n"/>
      <c r="R815" s="32" t="n"/>
      <c r="S815" s="30" t="n"/>
      <c r="T815" s="30" t="n"/>
      <c r="U815" s="30" t="n"/>
      <c r="V815" s="30" t="n"/>
      <c r="W815" s="29">
        <f>IF(H815="","",IF(H815="Kenya","Yes","No"))</f>
        <v/>
      </c>
      <c r="X815" s="29">
        <f>IF(B815="","",IF(COUNTIF($B$5:$B$3004,B815)&gt;1,"DUPLICATE","OK"))</f>
        <v/>
      </c>
      <c r="Y815" s="29">
        <f>IF(OR(U815="",V815="",V815="Excluded"),"",IF(COUNTIFS($U$5:$U$3004,U815,$V$5:$V$3004,"&lt;&gt;"&amp;V815,$V$5:$V$3004,"&lt;&gt;",$V$5:$V$3004,"&lt;&gt;Excluded")&gt;0,"LEAK RISK","OK"))</f>
        <v/>
      </c>
      <c r="Z815" s="30" t="n"/>
    </row>
    <row r="816">
      <c r="A816" s="30" t="n"/>
      <c r="B816" s="30" t="n"/>
      <c r="C816" s="30" t="n"/>
      <c r="D816" s="30" t="n"/>
      <c r="E816" s="30" t="n"/>
      <c r="F816" s="30" t="n"/>
      <c r="G816" s="30" t="n"/>
      <c r="H816" s="30" t="n"/>
      <c r="I816" s="31" t="n"/>
      <c r="J816" s="30" t="n"/>
      <c r="K816" s="30" t="n"/>
      <c r="L816" s="30" t="n"/>
      <c r="M816" s="30" t="n"/>
      <c r="N816" s="32" t="n"/>
      <c r="O816" s="30" t="n"/>
      <c r="P816" s="32" t="n"/>
      <c r="Q816" s="30" t="n"/>
      <c r="R816" s="32" t="n"/>
      <c r="S816" s="30" t="n"/>
      <c r="T816" s="30" t="n"/>
      <c r="U816" s="30" t="n"/>
      <c r="V816" s="30" t="n"/>
      <c r="W816" s="29">
        <f>IF(H816="","",IF(H816="Kenya","Yes","No"))</f>
        <v/>
      </c>
      <c r="X816" s="29">
        <f>IF(B816="","",IF(COUNTIF($B$5:$B$3004,B816)&gt;1,"DUPLICATE","OK"))</f>
        <v/>
      </c>
      <c r="Y816" s="29">
        <f>IF(OR(U816="",V816="",V816="Excluded"),"",IF(COUNTIFS($U$5:$U$3004,U816,$V$5:$V$3004,"&lt;&gt;"&amp;V816,$V$5:$V$3004,"&lt;&gt;",$V$5:$V$3004,"&lt;&gt;Excluded")&gt;0,"LEAK RISK","OK"))</f>
        <v/>
      </c>
      <c r="Z816" s="30" t="n"/>
    </row>
    <row r="817">
      <c r="A817" s="30" t="n"/>
      <c r="B817" s="30" t="n"/>
      <c r="C817" s="30" t="n"/>
      <c r="D817" s="30" t="n"/>
      <c r="E817" s="30" t="n"/>
      <c r="F817" s="30" t="n"/>
      <c r="G817" s="30" t="n"/>
      <c r="H817" s="30" t="n"/>
      <c r="I817" s="31" t="n"/>
      <c r="J817" s="30" t="n"/>
      <c r="K817" s="30" t="n"/>
      <c r="L817" s="30" t="n"/>
      <c r="M817" s="30" t="n"/>
      <c r="N817" s="32" t="n"/>
      <c r="O817" s="30" t="n"/>
      <c r="P817" s="32" t="n"/>
      <c r="Q817" s="30" t="n"/>
      <c r="R817" s="32" t="n"/>
      <c r="S817" s="30" t="n"/>
      <c r="T817" s="30" t="n"/>
      <c r="U817" s="30" t="n"/>
      <c r="V817" s="30" t="n"/>
      <c r="W817" s="29">
        <f>IF(H817="","",IF(H817="Kenya","Yes","No"))</f>
        <v/>
      </c>
      <c r="X817" s="29">
        <f>IF(B817="","",IF(COUNTIF($B$5:$B$3004,B817)&gt;1,"DUPLICATE","OK"))</f>
        <v/>
      </c>
      <c r="Y817" s="29">
        <f>IF(OR(U817="",V817="",V817="Excluded"),"",IF(COUNTIFS($U$5:$U$3004,U817,$V$5:$V$3004,"&lt;&gt;"&amp;V817,$V$5:$V$3004,"&lt;&gt;",$V$5:$V$3004,"&lt;&gt;Excluded")&gt;0,"LEAK RISK","OK"))</f>
        <v/>
      </c>
      <c r="Z817" s="30" t="n"/>
    </row>
    <row r="818">
      <c r="A818" s="30" t="n"/>
      <c r="B818" s="30" t="n"/>
      <c r="C818" s="30" t="n"/>
      <c r="D818" s="30" t="n"/>
      <c r="E818" s="30" t="n"/>
      <c r="F818" s="30" t="n"/>
      <c r="G818" s="30" t="n"/>
      <c r="H818" s="30" t="n"/>
      <c r="I818" s="31" t="n"/>
      <c r="J818" s="30" t="n"/>
      <c r="K818" s="30" t="n"/>
      <c r="L818" s="30" t="n"/>
      <c r="M818" s="30" t="n"/>
      <c r="N818" s="32" t="n"/>
      <c r="O818" s="30" t="n"/>
      <c r="P818" s="32" t="n"/>
      <c r="Q818" s="30" t="n"/>
      <c r="R818" s="32" t="n"/>
      <c r="S818" s="30" t="n"/>
      <c r="T818" s="30" t="n"/>
      <c r="U818" s="30" t="n"/>
      <c r="V818" s="30" t="n"/>
      <c r="W818" s="29">
        <f>IF(H818="","",IF(H818="Kenya","Yes","No"))</f>
        <v/>
      </c>
      <c r="X818" s="29">
        <f>IF(B818="","",IF(COUNTIF($B$5:$B$3004,B818)&gt;1,"DUPLICATE","OK"))</f>
        <v/>
      </c>
      <c r="Y818" s="29">
        <f>IF(OR(U818="",V818="",V818="Excluded"),"",IF(COUNTIFS($U$5:$U$3004,U818,$V$5:$V$3004,"&lt;&gt;"&amp;V818,$V$5:$V$3004,"&lt;&gt;",$V$5:$V$3004,"&lt;&gt;Excluded")&gt;0,"LEAK RISK","OK"))</f>
        <v/>
      </c>
      <c r="Z818" s="30" t="n"/>
    </row>
    <row r="819">
      <c r="A819" s="30" t="n"/>
      <c r="B819" s="30" t="n"/>
      <c r="C819" s="30" t="n"/>
      <c r="D819" s="30" t="n"/>
      <c r="E819" s="30" t="n"/>
      <c r="F819" s="30" t="n"/>
      <c r="G819" s="30" t="n"/>
      <c r="H819" s="30" t="n"/>
      <c r="I819" s="31" t="n"/>
      <c r="J819" s="30" t="n"/>
      <c r="K819" s="30" t="n"/>
      <c r="L819" s="30" t="n"/>
      <c r="M819" s="30" t="n"/>
      <c r="N819" s="32" t="n"/>
      <c r="O819" s="30" t="n"/>
      <c r="P819" s="32" t="n"/>
      <c r="Q819" s="30" t="n"/>
      <c r="R819" s="32" t="n"/>
      <c r="S819" s="30" t="n"/>
      <c r="T819" s="30" t="n"/>
      <c r="U819" s="30" t="n"/>
      <c r="V819" s="30" t="n"/>
      <c r="W819" s="29">
        <f>IF(H819="","",IF(H819="Kenya","Yes","No"))</f>
        <v/>
      </c>
      <c r="X819" s="29">
        <f>IF(B819="","",IF(COUNTIF($B$5:$B$3004,B819)&gt;1,"DUPLICATE","OK"))</f>
        <v/>
      </c>
      <c r="Y819" s="29">
        <f>IF(OR(U819="",V819="",V819="Excluded"),"",IF(COUNTIFS($U$5:$U$3004,U819,$V$5:$V$3004,"&lt;&gt;"&amp;V819,$V$5:$V$3004,"&lt;&gt;",$V$5:$V$3004,"&lt;&gt;Excluded")&gt;0,"LEAK RISK","OK"))</f>
        <v/>
      </c>
      <c r="Z819" s="30" t="n"/>
    </row>
    <row r="820">
      <c r="A820" s="30" t="n"/>
      <c r="B820" s="30" t="n"/>
      <c r="C820" s="30" t="n"/>
      <c r="D820" s="30" t="n"/>
      <c r="E820" s="30" t="n"/>
      <c r="F820" s="30" t="n"/>
      <c r="G820" s="30" t="n"/>
      <c r="H820" s="30" t="n"/>
      <c r="I820" s="31" t="n"/>
      <c r="J820" s="30" t="n"/>
      <c r="K820" s="30" t="n"/>
      <c r="L820" s="30" t="n"/>
      <c r="M820" s="30" t="n"/>
      <c r="N820" s="32" t="n"/>
      <c r="O820" s="30" t="n"/>
      <c r="P820" s="32" t="n"/>
      <c r="Q820" s="30" t="n"/>
      <c r="R820" s="32" t="n"/>
      <c r="S820" s="30" t="n"/>
      <c r="T820" s="30" t="n"/>
      <c r="U820" s="30" t="n"/>
      <c r="V820" s="30" t="n"/>
      <c r="W820" s="29">
        <f>IF(H820="","",IF(H820="Kenya","Yes","No"))</f>
        <v/>
      </c>
      <c r="X820" s="29">
        <f>IF(B820="","",IF(COUNTIF($B$5:$B$3004,B820)&gt;1,"DUPLICATE","OK"))</f>
        <v/>
      </c>
      <c r="Y820" s="29">
        <f>IF(OR(U820="",V820="",V820="Excluded"),"",IF(COUNTIFS($U$5:$U$3004,U820,$V$5:$V$3004,"&lt;&gt;"&amp;V820,$V$5:$V$3004,"&lt;&gt;",$V$5:$V$3004,"&lt;&gt;Excluded")&gt;0,"LEAK RISK","OK"))</f>
        <v/>
      </c>
      <c r="Z820" s="30" t="n"/>
    </row>
    <row r="821">
      <c r="A821" s="30" t="n"/>
      <c r="B821" s="30" t="n"/>
      <c r="C821" s="30" t="n"/>
      <c r="D821" s="30" t="n"/>
      <c r="E821" s="30" t="n"/>
      <c r="F821" s="30" t="n"/>
      <c r="G821" s="30" t="n"/>
      <c r="H821" s="30" t="n"/>
      <c r="I821" s="31" t="n"/>
      <c r="J821" s="30" t="n"/>
      <c r="K821" s="30" t="n"/>
      <c r="L821" s="30" t="n"/>
      <c r="M821" s="30" t="n"/>
      <c r="N821" s="32" t="n"/>
      <c r="O821" s="30" t="n"/>
      <c r="P821" s="32" t="n"/>
      <c r="Q821" s="30" t="n"/>
      <c r="R821" s="32" t="n"/>
      <c r="S821" s="30" t="n"/>
      <c r="T821" s="30" t="n"/>
      <c r="U821" s="30" t="n"/>
      <c r="V821" s="30" t="n"/>
      <c r="W821" s="29">
        <f>IF(H821="","",IF(H821="Kenya","Yes","No"))</f>
        <v/>
      </c>
      <c r="X821" s="29">
        <f>IF(B821="","",IF(COUNTIF($B$5:$B$3004,B821)&gt;1,"DUPLICATE","OK"))</f>
        <v/>
      </c>
      <c r="Y821" s="29">
        <f>IF(OR(U821="",V821="",V821="Excluded"),"",IF(COUNTIFS($U$5:$U$3004,U821,$V$5:$V$3004,"&lt;&gt;"&amp;V821,$V$5:$V$3004,"&lt;&gt;",$V$5:$V$3004,"&lt;&gt;Excluded")&gt;0,"LEAK RISK","OK"))</f>
        <v/>
      </c>
      <c r="Z821" s="30" t="n"/>
    </row>
    <row r="822">
      <c r="A822" s="30" t="n"/>
      <c r="B822" s="30" t="n"/>
      <c r="C822" s="30" t="n"/>
      <c r="D822" s="30" t="n"/>
      <c r="E822" s="30" t="n"/>
      <c r="F822" s="30" t="n"/>
      <c r="G822" s="30" t="n"/>
      <c r="H822" s="30" t="n"/>
      <c r="I822" s="31" t="n"/>
      <c r="J822" s="30" t="n"/>
      <c r="K822" s="30" t="n"/>
      <c r="L822" s="30" t="n"/>
      <c r="M822" s="30" t="n"/>
      <c r="N822" s="32" t="n"/>
      <c r="O822" s="30" t="n"/>
      <c r="P822" s="32" t="n"/>
      <c r="Q822" s="30" t="n"/>
      <c r="R822" s="32" t="n"/>
      <c r="S822" s="30" t="n"/>
      <c r="T822" s="30" t="n"/>
      <c r="U822" s="30" t="n"/>
      <c r="V822" s="30" t="n"/>
      <c r="W822" s="29">
        <f>IF(H822="","",IF(H822="Kenya","Yes","No"))</f>
        <v/>
      </c>
      <c r="X822" s="29">
        <f>IF(B822="","",IF(COUNTIF($B$5:$B$3004,B822)&gt;1,"DUPLICATE","OK"))</f>
        <v/>
      </c>
      <c r="Y822" s="29">
        <f>IF(OR(U822="",V822="",V822="Excluded"),"",IF(COUNTIFS($U$5:$U$3004,U822,$V$5:$V$3004,"&lt;&gt;"&amp;V822,$V$5:$V$3004,"&lt;&gt;",$V$5:$V$3004,"&lt;&gt;Excluded")&gt;0,"LEAK RISK","OK"))</f>
        <v/>
      </c>
      <c r="Z822" s="30" t="n"/>
    </row>
    <row r="823">
      <c r="A823" s="30" t="n"/>
      <c r="B823" s="30" t="n"/>
      <c r="C823" s="30" t="n"/>
      <c r="D823" s="30" t="n"/>
      <c r="E823" s="30" t="n"/>
      <c r="F823" s="30" t="n"/>
      <c r="G823" s="30" t="n"/>
      <c r="H823" s="30" t="n"/>
      <c r="I823" s="31" t="n"/>
      <c r="J823" s="30" t="n"/>
      <c r="K823" s="30" t="n"/>
      <c r="L823" s="30" t="n"/>
      <c r="M823" s="30" t="n"/>
      <c r="N823" s="32" t="n"/>
      <c r="O823" s="30" t="n"/>
      <c r="P823" s="32" t="n"/>
      <c r="Q823" s="30" t="n"/>
      <c r="R823" s="32" t="n"/>
      <c r="S823" s="30" t="n"/>
      <c r="T823" s="30" t="n"/>
      <c r="U823" s="30" t="n"/>
      <c r="V823" s="30" t="n"/>
      <c r="W823" s="29">
        <f>IF(H823="","",IF(H823="Kenya","Yes","No"))</f>
        <v/>
      </c>
      <c r="X823" s="29">
        <f>IF(B823="","",IF(COUNTIF($B$5:$B$3004,B823)&gt;1,"DUPLICATE","OK"))</f>
        <v/>
      </c>
      <c r="Y823" s="29">
        <f>IF(OR(U823="",V823="",V823="Excluded"),"",IF(COUNTIFS($U$5:$U$3004,U823,$V$5:$V$3004,"&lt;&gt;"&amp;V823,$V$5:$V$3004,"&lt;&gt;",$V$5:$V$3004,"&lt;&gt;Excluded")&gt;0,"LEAK RISK","OK"))</f>
        <v/>
      </c>
      <c r="Z823" s="30" t="n"/>
    </row>
    <row r="824">
      <c r="A824" s="30" t="n"/>
      <c r="B824" s="30" t="n"/>
      <c r="C824" s="30" t="n"/>
      <c r="D824" s="30" t="n"/>
      <c r="E824" s="30" t="n"/>
      <c r="F824" s="30" t="n"/>
      <c r="G824" s="30" t="n"/>
      <c r="H824" s="30" t="n"/>
      <c r="I824" s="31" t="n"/>
      <c r="J824" s="30" t="n"/>
      <c r="K824" s="30" t="n"/>
      <c r="L824" s="30" t="n"/>
      <c r="M824" s="30" t="n"/>
      <c r="N824" s="32" t="n"/>
      <c r="O824" s="30" t="n"/>
      <c r="P824" s="32" t="n"/>
      <c r="Q824" s="30" t="n"/>
      <c r="R824" s="32" t="n"/>
      <c r="S824" s="30" t="n"/>
      <c r="T824" s="30" t="n"/>
      <c r="U824" s="30" t="n"/>
      <c r="V824" s="30" t="n"/>
      <c r="W824" s="29">
        <f>IF(H824="","",IF(H824="Kenya","Yes","No"))</f>
        <v/>
      </c>
      <c r="X824" s="29">
        <f>IF(B824="","",IF(COUNTIF($B$5:$B$3004,B824)&gt;1,"DUPLICATE","OK"))</f>
        <v/>
      </c>
      <c r="Y824" s="29">
        <f>IF(OR(U824="",V824="",V824="Excluded"),"",IF(COUNTIFS($U$5:$U$3004,U824,$V$5:$V$3004,"&lt;&gt;"&amp;V824,$V$5:$V$3004,"&lt;&gt;",$V$5:$V$3004,"&lt;&gt;Excluded")&gt;0,"LEAK RISK","OK"))</f>
        <v/>
      </c>
      <c r="Z824" s="30" t="n"/>
    </row>
    <row r="825">
      <c r="A825" s="30" t="n"/>
      <c r="B825" s="30" t="n"/>
      <c r="C825" s="30" t="n"/>
      <c r="D825" s="30" t="n"/>
      <c r="E825" s="30" t="n"/>
      <c r="F825" s="30" t="n"/>
      <c r="G825" s="30" t="n"/>
      <c r="H825" s="30" t="n"/>
      <c r="I825" s="31" t="n"/>
      <c r="J825" s="30" t="n"/>
      <c r="K825" s="30" t="n"/>
      <c r="L825" s="30" t="n"/>
      <c r="M825" s="30" t="n"/>
      <c r="N825" s="32" t="n"/>
      <c r="O825" s="30" t="n"/>
      <c r="P825" s="32" t="n"/>
      <c r="Q825" s="30" t="n"/>
      <c r="R825" s="32" t="n"/>
      <c r="S825" s="30" t="n"/>
      <c r="T825" s="30" t="n"/>
      <c r="U825" s="30" t="n"/>
      <c r="V825" s="30" t="n"/>
      <c r="W825" s="29">
        <f>IF(H825="","",IF(H825="Kenya","Yes","No"))</f>
        <v/>
      </c>
      <c r="X825" s="29">
        <f>IF(B825="","",IF(COUNTIF($B$5:$B$3004,B825)&gt;1,"DUPLICATE","OK"))</f>
        <v/>
      </c>
      <c r="Y825" s="29">
        <f>IF(OR(U825="",V825="",V825="Excluded"),"",IF(COUNTIFS($U$5:$U$3004,U825,$V$5:$V$3004,"&lt;&gt;"&amp;V825,$V$5:$V$3004,"&lt;&gt;",$V$5:$V$3004,"&lt;&gt;Excluded")&gt;0,"LEAK RISK","OK"))</f>
        <v/>
      </c>
      <c r="Z825" s="30" t="n"/>
    </row>
    <row r="826">
      <c r="A826" s="30" t="n"/>
      <c r="B826" s="30" t="n"/>
      <c r="C826" s="30" t="n"/>
      <c r="D826" s="30" t="n"/>
      <c r="E826" s="30" t="n"/>
      <c r="F826" s="30" t="n"/>
      <c r="G826" s="30" t="n"/>
      <c r="H826" s="30" t="n"/>
      <c r="I826" s="31" t="n"/>
      <c r="J826" s="30" t="n"/>
      <c r="K826" s="30" t="n"/>
      <c r="L826" s="30" t="n"/>
      <c r="M826" s="30" t="n"/>
      <c r="N826" s="32" t="n"/>
      <c r="O826" s="30" t="n"/>
      <c r="P826" s="32" t="n"/>
      <c r="Q826" s="30" t="n"/>
      <c r="R826" s="32" t="n"/>
      <c r="S826" s="30" t="n"/>
      <c r="T826" s="30" t="n"/>
      <c r="U826" s="30" t="n"/>
      <c r="V826" s="30" t="n"/>
      <c r="W826" s="29">
        <f>IF(H826="","",IF(H826="Kenya","Yes","No"))</f>
        <v/>
      </c>
      <c r="X826" s="29">
        <f>IF(B826="","",IF(COUNTIF($B$5:$B$3004,B826)&gt;1,"DUPLICATE","OK"))</f>
        <v/>
      </c>
      <c r="Y826" s="29">
        <f>IF(OR(U826="",V826="",V826="Excluded"),"",IF(COUNTIFS($U$5:$U$3004,U826,$V$5:$V$3004,"&lt;&gt;"&amp;V826,$V$5:$V$3004,"&lt;&gt;",$V$5:$V$3004,"&lt;&gt;Excluded")&gt;0,"LEAK RISK","OK"))</f>
        <v/>
      </c>
      <c r="Z826" s="30" t="n"/>
    </row>
    <row r="827">
      <c r="A827" s="30" t="n"/>
      <c r="B827" s="30" t="n"/>
      <c r="C827" s="30" t="n"/>
      <c r="D827" s="30" t="n"/>
      <c r="E827" s="30" t="n"/>
      <c r="F827" s="30" t="n"/>
      <c r="G827" s="30" t="n"/>
      <c r="H827" s="30" t="n"/>
      <c r="I827" s="31" t="n"/>
      <c r="J827" s="30" t="n"/>
      <c r="K827" s="30" t="n"/>
      <c r="L827" s="30" t="n"/>
      <c r="M827" s="30" t="n"/>
      <c r="N827" s="32" t="n"/>
      <c r="O827" s="30" t="n"/>
      <c r="P827" s="32" t="n"/>
      <c r="Q827" s="30" t="n"/>
      <c r="R827" s="32" t="n"/>
      <c r="S827" s="30" t="n"/>
      <c r="T827" s="30" t="n"/>
      <c r="U827" s="30" t="n"/>
      <c r="V827" s="30" t="n"/>
      <c r="W827" s="29">
        <f>IF(H827="","",IF(H827="Kenya","Yes","No"))</f>
        <v/>
      </c>
      <c r="X827" s="29">
        <f>IF(B827="","",IF(COUNTIF($B$5:$B$3004,B827)&gt;1,"DUPLICATE","OK"))</f>
        <v/>
      </c>
      <c r="Y827" s="29">
        <f>IF(OR(U827="",V827="",V827="Excluded"),"",IF(COUNTIFS($U$5:$U$3004,U827,$V$5:$V$3004,"&lt;&gt;"&amp;V827,$V$5:$V$3004,"&lt;&gt;",$V$5:$V$3004,"&lt;&gt;Excluded")&gt;0,"LEAK RISK","OK"))</f>
        <v/>
      </c>
      <c r="Z827" s="30" t="n"/>
    </row>
    <row r="828">
      <c r="A828" s="30" t="n"/>
      <c r="B828" s="30" t="n"/>
      <c r="C828" s="30" t="n"/>
      <c r="D828" s="30" t="n"/>
      <c r="E828" s="30" t="n"/>
      <c r="F828" s="30" t="n"/>
      <c r="G828" s="30" t="n"/>
      <c r="H828" s="30" t="n"/>
      <c r="I828" s="31" t="n"/>
      <c r="J828" s="30" t="n"/>
      <c r="K828" s="30" t="n"/>
      <c r="L828" s="30" t="n"/>
      <c r="M828" s="30" t="n"/>
      <c r="N828" s="32" t="n"/>
      <c r="O828" s="30" t="n"/>
      <c r="P828" s="32" t="n"/>
      <c r="Q828" s="30" t="n"/>
      <c r="R828" s="32" t="n"/>
      <c r="S828" s="30" t="n"/>
      <c r="T828" s="30" t="n"/>
      <c r="U828" s="30" t="n"/>
      <c r="V828" s="30" t="n"/>
      <c r="W828" s="29">
        <f>IF(H828="","",IF(H828="Kenya","Yes","No"))</f>
        <v/>
      </c>
      <c r="X828" s="29">
        <f>IF(B828="","",IF(COUNTIF($B$5:$B$3004,B828)&gt;1,"DUPLICATE","OK"))</f>
        <v/>
      </c>
      <c r="Y828" s="29">
        <f>IF(OR(U828="",V828="",V828="Excluded"),"",IF(COUNTIFS($U$5:$U$3004,U828,$V$5:$V$3004,"&lt;&gt;"&amp;V828,$V$5:$V$3004,"&lt;&gt;",$V$5:$V$3004,"&lt;&gt;Excluded")&gt;0,"LEAK RISK","OK"))</f>
        <v/>
      </c>
      <c r="Z828" s="30" t="n"/>
    </row>
    <row r="829">
      <c r="A829" s="30" t="n"/>
      <c r="B829" s="30" t="n"/>
      <c r="C829" s="30" t="n"/>
      <c r="D829" s="30" t="n"/>
      <c r="E829" s="30" t="n"/>
      <c r="F829" s="30" t="n"/>
      <c r="G829" s="30" t="n"/>
      <c r="H829" s="30" t="n"/>
      <c r="I829" s="31" t="n"/>
      <c r="J829" s="30" t="n"/>
      <c r="K829" s="30" t="n"/>
      <c r="L829" s="30" t="n"/>
      <c r="M829" s="30" t="n"/>
      <c r="N829" s="32" t="n"/>
      <c r="O829" s="30" t="n"/>
      <c r="P829" s="32" t="n"/>
      <c r="Q829" s="30" t="n"/>
      <c r="R829" s="32" t="n"/>
      <c r="S829" s="30" t="n"/>
      <c r="T829" s="30" t="n"/>
      <c r="U829" s="30" t="n"/>
      <c r="V829" s="30" t="n"/>
      <c r="W829" s="29">
        <f>IF(H829="","",IF(H829="Kenya","Yes","No"))</f>
        <v/>
      </c>
      <c r="X829" s="29">
        <f>IF(B829="","",IF(COUNTIF($B$5:$B$3004,B829)&gt;1,"DUPLICATE","OK"))</f>
        <v/>
      </c>
      <c r="Y829" s="29">
        <f>IF(OR(U829="",V829="",V829="Excluded"),"",IF(COUNTIFS($U$5:$U$3004,U829,$V$5:$V$3004,"&lt;&gt;"&amp;V829,$V$5:$V$3004,"&lt;&gt;",$V$5:$V$3004,"&lt;&gt;Excluded")&gt;0,"LEAK RISK","OK"))</f>
        <v/>
      </c>
      <c r="Z829" s="30" t="n"/>
    </row>
    <row r="830">
      <c r="A830" s="30" t="n"/>
      <c r="B830" s="30" t="n"/>
      <c r="C830" s="30" t="n"/>
      <c r="D830" s="30" t="n"/>
      <c r="E830" s="30" t="n"/>
      <c r="F830" s="30" t="n"/>
      <c r="G830" s="30" t="n"/>
      <c r="H830" s="30" t="n"/>
      <c r="I830" s="31" t="n"/>
      <c r="J830" s="30" t="n"/>
      <c r="K830" s="30" t="n"/>
      <c r="L830" s="30" t="n"/>
      <c r="M830" s="30" t="n"/>
      <c r="N830" s="32" t="n"/>
      <c r="O830" s="30" t="n"/>
      <c r="P830" s="32" t="n"/>
      <c r="Q830" s="30" t="n"/>
      <c r="R830" s="32" t="n"/>
      <c r="S830" s="30" t="n"/>
      <c r="T830" s="30" t="n"/>
      <c r="U830" s="30" t="n"/>
      <c r="V830" s="30" t="n"/>
      <c r="W830" s="29">
        <f>IF(H830="","",IF(H830="Kenya","Yes","No"))</f>
        <v/>
      </c>
      <c r="X830" s="29">
        <f>IF(B830="","",IF(COUNTIF($B$5:$B$3004,B830)&gt;1,"DUPLICATE","OK"))</f>
        <v/>
      </c>
      <c r="Y830" s="29">
        <f>IF(OR(U830="",V830="",V830="Excluded"),"",IF(COUNTIFS($U$5:$U$3004,U830,$V$5:$V$3004,"&lt;&gt;"&amp;V830,$V$5:$V$3004,"&lt;&gt;",$V$5:$V$3004,"&lt;&gt;Excluded")&gt;0,"LEAK RISK","OK"))</f>
        <v/>
      </c>
      <c r="Z830" s="30" t="n"/>
    </row>
    <row r="831">
      <c r="A831" s="30" t="n"/>
      <c r="B831" s="30" t="n"/>
      <c r="C831" s="30" t="n"/>
      <c r="D831" s="30" t="n"/>
      <c r="E831" s="30" t="n"/>
      <c r="F831" s="30" t="n"/>
      <c r="G831" s="30" t="n"/>
      <c r="H831" s="30" t="n"/>
      <c r="I831" s="31" t="n"/>
      <c r="J831" s="30" t="n"/>
      <c r="K831" s="30" t="n"/>
      <c r="L831" s="30" t="n"/>
      <c r="M831" s="30" t="n"/>
      <c r="N831" s="32" t="n"/>
      <c r="O831" s="30" t="n"/>
      <c r="P831" s="32" t="n"/>
      <c r="Q831" s="30" t="n"/>
      <c r="R831" s="32" t="n"/>
      <c r="S831" s="30" t="n"/>
      <c r="T831" s="30" t="n"/>
      <c r="U831" s="30" t="n"/>
      <c r="V831" s="30" t="n"/>
      <c r="W831" s="29">
        <f>IF(H831="","",IF(H831="Kenya","Yes","No"))</f>
        <v/>
      </c>
      <c r="X831" s="29">
        <f>IF(B831="","",IF(COUNTIF($B$5:$B$3004,B831)&gt;1,"DUPLICATE","OK"))</f>
        <v/>
      </c>
      <c r="Y831" s="29">
        <f>IF(OR(U831="",V831="",V831="Excluded"),"",IF(COUNTIFS($U$5:$U$3004,U831,$V$5:$V$3004,"&lt;&gt;"&amp;V831,$V$5:$V$3004,"&lt;&gt;",$V$5:$V$3004,"&lt;&gt;Excluded")&gt;0,"LEAK RISK","OK"))</f>
        <v/>
      </c>
      <c r="Z831" s="30" t="n"/>
    </row>
    <row r="832">
      <c r="A832" s="30" t="n"/>
      <c r="B832" s="30" t="n"/>
      <c r="C832" s="30" t="n"/>
      <c r="D832" s="30" t="n"/>
      <c r="E832" s="30" t="n"/>
      <c r="F832" s="30" t="n"/>
      <c r="G832" s="30" t="n"/>
      <c r="H832" s="30" t="n"/>
      <c r="I832" s="31" t="n"/>
      <c r="J832" s="30" t="n"/>
      <c r="K832" s="30" t="n"/>
      <c r="L832" s="30" t="n"/>
      <c r="M832" s="30" t="n"/>
      <c r="N832" s="32" t="n"/>
      <c r="O832" s="30" t="n"/>
      <c r="P832" s="32" t="n"/>
      <c r="Q832" s="30" t="n"/>
      <c r="R832" s="32" t="n"/>
      <c r="S832" s="30" t="n"/>
      <c r="T832" s="30" t="n"/>
      <c r="U832" s="30" t="n"/>
      <c r="V832" s="30" t="n"/>
      <c r="W832" s="29">
        <f>IF(H832="","",IF(H832="Kenya","Yes","No"))</f>
        <v/>
      </c>
      <c r="X832" s="29">
        <f>IF(B832="","",IF(COUNTIF($B$5:$B$3004,B832)&gt;1,"DUPLICATE","OK"))</f>
        <v/>
      </c>
      <c r="Y832" s="29">
        <f>IF(OR(U832="",V832="",V832="Excluded"),"",IF(COUNTIFS($U$5:$U$3004,U832,$V$5:$V$3004,"&lt;&gt;"&amp;V832,$V$5:$V$3004,"&lt;&gt;",$V$5:$V$3004,"&lt;&gt;Excluded")&gt;0,"LEAK RISK","OK"))</f>
        <v/>
      </c>
      <c r="Z832" s="30" t="n"/>
    </row>
    <row r="833">
      <c r="A833" s="30" t="n"/>
      <c r="B833" s="30" t="n"/>
      <c r="C833" s="30" t="n"/>
      <c r="D833" s="30" t="n"/>
      <c r="E833" s="30" t="n"/>
      <c r="F833" s="30" t="n"/>
      <c r="G833" s="30" t="n"/>
      <c r="H833" s="30" t="n"/>
      <c r="I833" s="31" t="n"/>
      <c r="J833" s="30" t="n"/>
      <c r="K833" s="30" t="n"/>
      <c r="L833" s="30" t="n"/>
      <c r="M833" s="30" t="n"/>
      <c r="N833" s="32" t="n"/>
      <c r="O833" s="30" t="n"/>
      <c r="P833" s="32" t="n"/>
      <c r="Q833" s="30" t="n"/>
      <c r="R833" s="32" t="n"/>
      <c r="S833" s="30" t="n"/>
      <c r="T833" s="30" t="n"/>
      <c r="U833" s="30" t="n"/>
      <c r="V833" s="30" t="n"/>
      <c r="W833" s="29">
        <f>IF(H833="","",IF(H833="Kenya","Yes","No"))</f>
        <v/>
      </c>
      <c r="X833" s="29">
        <f>IF(B833="","",IF(COUNTIF($B$5:$B$3004,B833)&gt;1,"DUPLICATE","OK"))</f>
        <v/>
      </c>
      <c r="Y833" s="29">
        <f>IF(OR(U833="",V833="",V833="Excluded"),"",IF(COUNTIFS($U$5:$U$3004,U833,$V$5:$V$3004,"&lt;&gt;"&amp;V833,$V$5:$V$3004,"&lt;&gt;",$V$5:$V$3004,"&lt;&gt;Excluded")&gt;0,"LEAK RISK","OK"))</f>
        <v/>
      </c>
      <c r="Z833" s="30" t="n"/>
    </row>
    <row r="834">
      <c r="A834" s="30" t="n"/>
      <c r="B834" s="30" t="n"/>
      <c r="C834" s="30" t="n"/>
      <c r="D834" s="30" t="n"/>
      <c r="E834" s="30" t="n"/>
      <c r="F834" s="30" t="n"/>
      <c r="G834" s="30" t="n"/>
      <c r="H834" s="30" t="n"/>
      <c r="I834" s="31" t="n"/>
      <c r="J834" s="30" t="n"/>
      <c r="K834" s="30" t="n"/>
      <c r="L834" s="30" t="n"/>
      <c r="M834" s="30" t="n"/>
      <c r="N834" s="32" t="n"/>
      <c r="O834" s="30" t="n"/>
      <c r="P834" s="32" t="n"/>
      <c r="Q834" s="30" t="n"/>
      <c r="R834" s="32" t="n"/>
      <c r="S834" s="30" t="n"/>
      <c r="T834" s="30" t="n"/>
      <c r="U834" s="30" t="n"/>
      <c r="V834" s="30" t="n"/>
      <c r="W834" s="29">
        <f>IF(H834="","",IF(H834="Kenya","Yes","No"))</f>
        <v/>
      </c>
      <c r="X834" s="29">
        <f>IF(B834="","",IF(COUNTIF($B$5:$B$3004,B834)&gt;1,"DUPLICATE","OK"))</f>
        <v/>
      </c>
      <c r="Y834" s="29">
        <f>IF(OR(U834="",V834="",V834="Excluded"),"",IF(COUNTIFS($U$5:$U$3004,U834,$V$5:$V$3004,"&lt;&gt;"&amp;V834,$V$5:$V$3004,"&lt;&gt;",$V$5:$V$3004,"&lt;&gt;Excluded")&gt;0,"LEAK RISK","OK"))</f>
        <v/>
      </c>
      <c r="Z834" s="30" t="n"/>
    </row>
    <row r="835">
      <c r="A835" s="30" t="n"/>
      <c r="B835" s="30" t="n"/>
      <c r="C835" s="30" t="n"/>
      <c r="D835" s="30" t="n"/>
      <c r="E835" s="30" t="n"/>
      <c r="F835" s="30" t="n"/>
      <c r="G835" s="30" t="n"/>
      <c r="H835" s="30" t="n"/>
      <c r="I835" s="31" t="n"/>
      <c r="J835" s="30" t="n"/>
      <c r="K835" s="30" t="n"/>
      <c r="L835" s="30" t="n"/>
      <c r="M835" s="30" t="n"/>
      <c r="N835" s="32" t="n"/>
      <c r="O835" s="30" t="n"/>
      <c r="P835" s="32" t="n"/>
      <c r="Q835" s="30" t="n"/>
      <c r="R835" s="32" t="n"/>
      <c r="S835" s="30" t="n"/>
      <c r="T835" s="30" t="n"/>
      <c r="U835" s="30" t="n"/>
      <c r="V835" s="30" t="n"/>
      <c r="W835" s="29">
        <f>IF(H835="","",IF(H835="Kenya","Yes","No"))</f>
        <v/>
      </c>
      <c r="X835" s="29">
        <f>IF(B835="","",IF(COUNTIF($B$5:$B$3004,B835)&gt;1,"DUPLICATE","OK"))</f>
        <v/>
      </c>
      <c r="Y835" s="29">
        <f>IF(OR(U835="",V835="",V835="Excluded"),"",IF(COUNTIFS($U$5:$U$3004,U835,$V$5:$V$3004,"&lt;&gt;"&amp;V835,$V$5:$V$3004,"&lt;&gt;",$V$5:$V$3004,"&lt;&gt;Excluded")&gt;0,"LEAK RISK","OK"))</f>
        <v/>
      </c>
      <c r="Z835" s="30" t="n"/>
    </row>
    <row r="836">
      <c r="A836" s="30" t="n"/>
      <c r="B836" s="30" t="n"/>
      <c r="C836" s="30" t="n"/>
      <c r="D836" s="30" t="n"/>
      <c r="E836" s="30" t="n"/>
      <c r="F836" s="30" t="n"/>
      <c r="G836" s="30" t="n"/>
      <c r="H836" s="30" t="n"/>
      <c r="I836" s="31" t="n"/>
      <c r="J836" s="30" t="n"/>
      <c r="K836" s="30" t="n"/>
      <c r="L836" s="30" t="n"/>
      <c r="M836" s="30" t="n"/>
      <c r="N836" s="32" t="n"/>
      <c r="O836" s="30" t="n"/>
      <c r="P836" s="32" t="n"/>
      <c r="Q836" s="30" t="n"/>
      <c r="R836" s="32" t="n"/>
      <c r="S836" s="30" t="n"/>
      <c r="T836" s="30" t="n"/>
      <c r="U836" s="30" t="n"/>
      <c r="V836" s="30" t="n"/>
      <c r="W836" s="29">
        <f>IF(H836="","",IF(H836="Kenya","Yes","No"))</f>
        <v/>
      </c>
      <c r="X836" s="29">
        <f>IF(B836="","",IF(COUNTIF($B$5:$B$3004,B836)&gt;1,"DUPLICATE","OK"))</f>
        <v/>
      </c>
      <c r="Y836" s="29">
        <f>IF(OR(U836="",V836="",V836="Excluded"),"",IF(COUNTIFS($U$5:$U$3004,U836,$V$5:$V$3004,"&lt;&gt;"&amp;V836,$V$5:$V$3004,"&lt;&gt;",$V$5:$V$3004,"&lt;&gt;Excluded")&gt;0,"LEAK RISK","OK"))</f>
        <v/>
      </c>
      <c r="Z836" s="30" t="n"/>
    </row>
    <row r="837">
      <c r="A837" s="30" t="n"/>
      <c r="B837" s="30" t="n"/>
      <c r="C837" s="30" t="n"/>
      <c r="D837" s="30" t="n"/>
      <c r="E837" s="30" t="n"/>
      <c r="F837" s="30" t="n"/>
      <c r="G837" s="30" t="n"/>
      <c r="H837" s="30" t="n"/>
      <c r="I837" s="31" t="n"/>
      <c r="J837" s="30" t="n"/>
      <c r="K837" s="30" t="n"/>
      <c r="L837" s="30" t="n"/>
      <c r="M837" s="30" t="n"/>
      <c r="N837" s="32" t="n"/>
      <c r="O837" s="30" t="n"/>
      <c r="P837" s="32" t="n"/>
      <c r="Q837" s="30" t="n"/>
      <c r="R837" s="32" t="n"/>
      <c r="S837" s="30" t="n"/>
      <c r="T837" s="30" t="n"/>
      <c r="U837" s="30" t="n"/>
      <c r="V837" s="30" t="n"/>
      <c r="W837" s="29">
        <f>IF(H837="","",IF(H837="Kenya","Yes","No"))</f>
        <v/>
      </c>
      <c r="X837" s="29">
        <f>IF(B837="","",IF(COUNTIF($B$5:$B$3004,B837)&gt;1,"DUPLICATE","OK"))</f>
        <v/>
      </c>
      <c r="Y837" s="29">
        <f>IF(OR(U837="",V837="",V837="Excluded"),"",IF(COUNTIFS($U$5:$U$3004,U837,$V$5:$V$3004,"&lt;&gt;"&amp;V837,$V$5:$V$3004,"&lt;&gt;",$V$5:$V$3004,"&lt;&gt;Excluded")&gt;0,"LEAK RISK","OK"))</f>
        <v/>
      </c>
      <c r="Z837" s="30" t="n"/>
    </row>
    <row r="838">
      <c r="A838" s="30" t="n"/>
      <c r="B838" s="30" t="n"/>
      <c r="C838" s="30" t="n"/>
      <c r="D838" s="30" t="n"/>
      <c r="E838" s="30" t="n"/>
      <c r="F838" s="30" t="n"/>
      <c r="G838" s="30" t="n"/>
      <c r="H838" s="30" t="n"/>
      <c r="I838" s="31" t="n"/>
      <c r="J838" s="30" t="n"/>
      <c r="K838" s="30" t="n"/>
      <c r="L838" s="30" t="n"/>
      <c r="M838" s="30" t="n"/>
      <c r="N838" s="32" t="n"/>
      <c r="O838" s="30" t="n"/>
      <c r="P838" s="32" t="n"/>
      <c r="Q838" s="30" t="n"/>
      <c r="R838" s="32" t="n"/>
      <c r="S838" s="30" t="n"/>
      <c r="T838" s="30" t="n"/>
      <c r="U838" s="30" t="n"/>
      <c r="V838" s="30" t="n"/>
      <c r="W838" s="29">
        <f>IF(H838="","",IF(H838="Kenya","Yes","No"))</f>
        <v/>
      </c>
      <c r="X838" s="29">
        <f>IF(B838="","",IF(COUNTIF($B$5:$B$3004,B838)&gt;1,"DUPLICATE","OK"))</f>
        <v/>
      </c>
      <c r="Y838" s="29">
        <f>IF(OR(U838="",V838="",V838="Excluded"),"",IF(COUNTIFS($U$5:$U$3004,U838,$V$5:$V$3004,"&lt;&gt;"&amp;V838,$V$5:$V$3004,"&lt;&gt;",$V$5:$V$3004,"&lt;&gt;Excluded")&gt;0,"LEAK RISK","OK"))</f>
        <v/>
      </c>
      <c r="Z838" s="30" t="n"/>
    </row>
    <row r="839">
      <c r="A839" s="30" t="n"/>
      <c r="B839" s="30" t="n"/>
      <c r="C839" s="30" t="n"/>
      <c r="D839" s="30" t="n"/>
      <c r="E839" s="30" t="n"/>
      <c r="F839" s="30" t="n"/>
      <c r="G839" s="30" t="n"/>
      <c r="H839" s="30" t="n"/>
      <c r="I839" s="31" t="n"/>
      <c r="J839" s="30" t="n"/>
      <c r="K839" s="30" t="n"/>
      <c r="L839" s="30" t="n"/>
      <c r="M839" s="30" t="n"/>
      <c r="N839" s="32" t="n"/>
      <c r="O839" s="30" t="n"/>
      <c r="P839" s="32" t="n"/>
      <c r="Q839" s="30" t="n"/>
      <c r="R839" s="32" t="n"/>
      <c r="S839" s="30" t="n"/>
      <c r="T839" s="30" t="n"/>
      <c r="U839" s="30" t="n"/>
      <c r="V839" s="30" t="n"/>
      <c r="W839" s="29">
        <f>IF(H839="","",IF(H839="Kenya","Yes","No"))</f>
        <v/>
      </c>
      <c r="X839" s="29">
        <f>IF(B839="","",IF(COUNTIF($B$5:$B$3004,B839)&gt;1,"DUPLICATE","OK"))</f>
        <v/>
      </c>
      <c r="Y839" s="29">
        <f>IF(OR(U839="",V839="",V839="Excluded"),"",IF(COUNTIFS($U$5:$U$3004,U839,$V$5:$V$3004,"&lt;&gt;"&amp;V839,$V$5:$V$3004,"&lt;&gt;",$V$5:$V$3004,"&lt;&gt;Excluded")&gt;0,"LEAK RISK","OK"))</f>
        <v/>
      </c>
      <c r="Z839" s="30" t="n"/>
    </row>
    <row r="840">
      <c r="A840" s="30" t="n"/>
      <c r="B840" s="30" t="n"/>
      <c r="C840" s="30" t="n"/>
      <c r="D840" s="30" t="n"/>
      <c r="E840" s="30" t="n"/>
      <c r="F840" s="30" t="n"/>
      <c r="G840" s="30" t="n"/>
      <c r="H840" s="30" t="n"/>
      <c r="I840" s="31" t="n"/>
      <c r="J840" s="30" t="n"/>
      <c r="K840" s="30" t="n"/>
      <c r="L840" s="30" t="n"/>
      <c r="M840" s="30" t="n"/>
      <c r="N840" s="32" t="n"/>
      <c r="O840" s="30" t="n"/>
      <c r="P840" s="32" t="n"/>
      <c r="Q840" s="30" t="n"/>
      <c r="R840" s="32" t="n"/>
      <c r="S840" s="30" t="n"/>
      <c r="T840" s="30" t="n"/>
      <c r="U840" s="30" t="n"/>
      <c r="V840" s="30" t="n"/>
      <c r="W840" s="29">
        <f>IF(H840="","",IF(H840="Kenya","Yes","No"))</f>
        <v/>
      </c>
      <c r="X840" s="29">
        <f>IF(B840="","",IF(COUNTIF($B$5:$B$3004,B840)&gt;1,"DUPLICATE","OK"))</f>
        <v/>
      </c>
      <c r="Y840" s="29">
        <f>IF(OR(U840="",V840="",V840="Excluded"),"",IF(COUNTIFS($U$5:$U$3004,U840,$V$5:$V$3004,"&lt;&gt;"&amp;V840,$V$5:$V$3004,"&lt;&gt;",$V$5:$V$3004,"&lt;&gt;Excluded")&gt;0,"LEAK RISK","OK"))</f>
        <v/>
      </c>
      <c r="Z840" s="30" t="n"/>
    </row>
    <row r="841">
      <c r="A841" s="30" t="n"/>
      <c r="B841" s="30" t="n"/>
      <c r="C841" s="30" t="n"/>
      <c r="D841" s="30" t="n"/>
      <c r="E841" s="30" t="n"/>
      <c r="F841" s="30" t="n"/>
      <c r="G841" s="30" t="n"/>
      <c r="H841" s="30" t="n"/>
      <c r="I841" s="31" t="n"/>
      <c r="J841" s="30" t="n"/>
      <c r="K841" s="30" t="n"/>
      <c r="L841" s="30" t="n"/>
      <c r="M841" s="30" t="n"/>
      <c r="N841" s="32" t="n"/>
      <c r="O841" s="30" t="n"/>
      <c r="P841" s="32" t="n"/>
      <c r="Q841" s="30" t="n"/>
      <c r="R841" s="32" t="n"/>
      <c r="S841" s="30" t="n"/>
      <c r="T841" s="30" t="n"/>
      <c r="U841" s="30" t="n"/>
      <c r="V841" s="30" t="n"/>
      <c r="W841" s="29">
        <f>IF(H841="","",IF(H841="Kenya","Yes","No"))</f>
        <v/>
      </c>
      <c r="X841" s="29">
        <f>IF(B841="","",IF(COUNTIF($B$5:$B$3004,B841)&gt;1,"DUPLICATE","OK"))</f>
        <v/>
      </c>
      <c r="Y841" s="29">
        <f>IF(OR(U841="",V841="",V841="Excluded"),"",IF(COUNTIFS($U$5:$U$3004,U841,$V$5:$V$3004,"&lt;&gt;"&amp;V841,$V$5:$V$3004,"&lt;&gt;",$V$5:$V$3004,"&lt;&gt;Excluded")&gt;0,"LEAK RISK","OK"))</f>
        <v/>
      </c>
      <c r="Z841" s="30" t="n"/>
    </row>
    <row r="842">
      <c r="A842" s="30" t="n"/>
      <c r="B842" s="30" t="n"/>
      <c r="C842" s="30" t="n"/>
      <c r="D842" s="30" t="n"/>
      <c r="E842" s="30" t="n"/>
      <c r="F842" s="30" t="n"/>
      <c r="G842" s="30" t="n"/>
      <c r="H842" s="30" t="n"/>
      <c r="I842" s="31" t="n"/>
      <c r="J842" s="30" t="n"/>
      <c r="K842" s="30" t="n"/>
      <c r="L842" s="30" t="n"/>
      <c r="M842" s="30" t="n"/>
      <c r="N842" s="32" t="n"/>
      <c r="O842" s="30" t="n"/>
      <c r="P842" s="32" t="n"/>
      <c r="Q842" s="30" t="n"/>
      <c r="R842" s="32" t="n"/>
      <c r="S842" s="30" t="n"/>
      <c r="T842" s="30" t="n"/>
      <c r="U842" s="30" t="n"/>
      <c r="V842" s="30" t="n"/>
      <c r="W842" s="29">
        <f>IF(H842="","",IF(H842="Kenya","Yes","No"))</f>
        <v/>
      </c>
      <c r="X842" s="29">
        <f>IF(B842="","",IF(COUNTIF($B$5:$B$3004,B842)&gt;1,"DUPLICATE","OK"))</f>
        <v/>
      </c>
      <c r="Y842" s="29">
        <f>IF(OR(U842="",V842="",V842="Excluded"),"",IF(COUNTIFS($U$5:$U$3004,U842,$V$5:$V$3004,"&lt;&gt;"&amp;V842,$V$5:$V$3004,"&lt;&gt;",$V$5:$V$3004,"&lt;&gt;Excluded")&gt;0,"LEAK RISK","OK"))</f>
        <v/>
      </c>
      <c r="Z842" s="30" t="n"/>
    </row>
    <row r="843">
      <c r="A843" s="30" t="n"/>
      <c r="B843" s="30" t="n"/>
      <c r="C843" s="30" t="n"/>
      <c r="D843" s="30" t="n"/>
      <c r="E843" s="30" t="n"/>
      <c r="F843" s="30" t="n"/>
      <c r="G843" s="30" t="n"/>
      <c r="H843" s="30" t="n"/>
      <c r="I843" s="31" t="n"/>
      <c r="J843" s="30" t="n"/>
      <c r="K843" s="30" t="n"/>
      <c r="L843" s="30" t="n"/>
      <c r="M843" s="30" t="n"/>
      <c r="N843" s="32" t="n"/>
      <c r="O843" s="30" t="n"/>
      <c r="P843" s="32" t="n"/>
      <c r="Q843" s="30" t="n"/>
      <c r="R843" s="32" t="n"/>
      <c r="S843" s="30" t="n"/>
      <c r="T843" s="30" t="n"/>
      <c r="U843" s="30" t="n"/>
      <c r="V843" s="30" t="n"/>
      <c r="W843" s="29">
        <f>IF(H843="","",IF(H843="Kenya","Yes","No"))</f>
        <v/>
      </c>
      <c r="X843" s="29">
        <f>IF(B843="","",IF(COUNTIF($B$5:$B$3004,B843)&gt;1,"DUPLICATE","OK"))</f>
        <v/>
      </c>
      <c r="Y843" s="29">
        <f>IF(OR(U843="",V843="",V843="Excluded"),"",IF(COUNTIFS($U$5:$U$3004,U843,$V$5:$V$3004,"&lt;&gt;"&amp;V843,$V$5:$V$3004,"&lt;&gt;",$V$5:$V$3004,"&lt;&gt;Excluded")&gt;0,"LEAK RISK","OK"))</f>
        <v/>
      </c>
      <c r="Z843" s="30" t="n"/>
    </row>
    <row r="844">
      <c r="A844" s="30" t="n"/>
      <c r="B844" s="30" t="n"/>
      <c r="C844" s="30" t="n"/>
      <c r="D844" s="30" t="n"/>
      <c r="E844" s="30" t="n"/>
      <c r="F844" s="30" t="n"/>
      <c r="G844" s="30" t="n"/>
      <c r="H844" s="30" t="n"/>
      <c r="I844" s="31" t="n"/>
      <c r="J844" s="30" t="n"/>
      <c r="K844" s="30" t="n"/>
      <c r="L844" s="30" t="n"/>
      <c r="M844" s="30" t="n"/>
      <c r="N844" s="32" t="n"/>
      <c r="O844" s="30" t="n"/>
      <c r="P844" s="32" t="n"/>
      <c r="Q844" s="30" t="n"/>
      <c r="R844" s="32" t="n"/>
      <c r="S844" s="30" t="n"/>
      <c r="T844" s="30" t="n"/>
      <c r="U844" s="30" t="n"/>
      <c r="V844" s="30" t="n"/>
      <c r="W844" s="29">
        <f>IF(H844="","",IF(H844="Kenya","Yes","No"))</f>
        <v/>
      </c>
      <c r="X844" s="29">
        <f>IF(B844="","",IF(COUNTIF($B$5:$B$3004,B844)&gt;1,"DUPLICATE","OK"))</f>
        <v/>
      </c>
      <c r="Y844" s="29">
        <f>IF(OR(U844="",V844="",V844="Excluded"),"",IF(COUNTIFS($U$5:$U$3004,U844,$V$5:$V$3004,"&lt;&gt;"&amp;V844,$V$5:$V$3004,"&lt;&gt;",$V$5:$V$3004,"&lt;&gt;Excluded")&gt;0,"LEAK RISK","OK"))</f>
        <v/>
      </c>
      <c r="Z844" s="30" t="n"/>
    </row>
    <row r="845">
      <c r="A845" s="30" t="n"/>
      <c r="B845" s="30" t="n"/>
      <c r="C845" s="30" t="n"/>
      <c r="D845" s="30" t="n"/>
      <c r="E845" s="30" t="n"/>
      <c r="F845" s="30" t="n"/>
      <c r="G845" s="30" t="n"/>
      <c r="H845" s="30" t="n"/>
      <c r="I845" s="31" t="n"/>
      <c r="J845" s="30" t="n"/>
      <c r="K845" s="30" t="n"/>
      <c r="L845" s="30" t="n"/>
      <c r="M845" s="30" t="n"/>
      <c r="N845" s="32" t="n"/>
      <c r="O845" s="30" t="n"/>
      <c r="P845" s="32" t="n"/>
      <c r="Q845" s="30" t="n"/>
      <c r="R845" s="32" t="n"/>
      <c r="S845" s="30" t="n"/>
      <c r="T845" s="30" t="n"/>
      <c r="U845" s="30" t="n"/>
      <c r="V845" s="30" t="n"/>
      <c r="W845" s="29">
        <f>IF(H845="","",IF(H845="Kenya","Yes","No"))</f>
        <v/>
      </c>
      <c r="X845" s="29">
        <f>IF(B845="","",IF(COUNTIF($B$5:$B$3004,B845)&gt;1,"DUPLICATE","OK"))</f>
        <v/>
      </c>
      <c r="Y845" s="29">
        <f>IF(OR(U845="",V845="",V845="Excluded"),"",IF(COUNTIFS($U$5:$U$3004,U845,$V$5:$V$3004,"&lt;&gt;"&amp;V845,$V$5:$V$3004,"&lt;&gt;",$V$5:$V$3004,"&lt;&gt;Excluded")&gt;0,"LEAK RISK","OK"))</f>
        <v/>
      </c>
      <c r="Z845" s="30" t="n"/>
    </row>
    <row r="846">
      <c r="A846" s="30" t="n"/>
      <c r="B846" s="30" t="n"/>
      <c r="C846" s="30" t="n"/>
      <c r="D846" s="30" t="n"/>
      <c r="E846" s="30" t="n"/>
      <c r="F846" s="30" t="n"/>
      <c r="G846" s="30" t="n"/>
      <c r="H846" s="30" t="n"/>
      <c r="I846" s="31" t="n"/>
      <c r="J846" s="30" t="n"/>
      <c r="K846" s="30" t="n"/>
      <c r="L846" s="30" t="n"/>
      <c r="M846" s="30" t="n"/>
      <c r="N846" s="32" t="n"/>
      <c r="O846" s="30" t="n"/>
      <c r="P846" s="32" t="n"/>
      <c r="Q846" s="30" t="n"/>
      <c r="R846" s="32" t="n"/>
      <c r="S846" s="30" t="n"/>
      <c r="T846" s="30" t="n"/>
      <c r="U846" s="30" t="n"/>
      <c r="V846" s="30" t="n"/>
      <c r="W846" s="29">
        <f>IF(H846="","",IF(H846="Kenya","Yes","No"))</f>
        <v/>
      </c>
      <c r="X846" s="29">
        <f>IF(B846="","",IF(COUNTIF($B$5:$B$3004,B846)&gt;1,"DUPLICATE","OK"))</f>
        <v/>
      </c>
      <c r="Y846" s="29">
        <f>IF(OR(U846="",V846="",V846="Excluded"),"",IF(COUNTIFS($U$5:$U$3004,U846,$V$5:$V$3004,"&lt;&gt;"&amp;V846,$V$5:$V$3004,"&lt;&gt;",$V$5:$V$3004,"&lt;&gt;Excluded")&gt;0,"LEAK RISK","OK"))</f>
        <v/>
      </c>
      <c r="Z846" s="30" t="n"/>
    </row>
    <row r="847">
      <c r="A847" s="30" t="n"/>
      <c r="B847" s="30" t="n"/>
      <c r="C847" s="30" t="n"/>
      <c r="D847" s="30" t="n"/>
      <c r="E847" s="30" t="n"/>
      <c r="F847" s="30" t="n"/>
      <c r="G847" s="30" t="n"/>
      <c r="H847" s="30" t="n"/>
      <c r="I847" s="31" t="n"/>
      <c r="J847" s="30" t="n"/>
      <c r="K847" s="30" t="n"/>
      <c r="L847" s="30" t="n"/>
      <c r="M847" s="30" t="n"/>
      <c r="N847" s="32" t="n"/>
      <c r="O847" s="30" t="n"/>
      <c r="P847" s="32" t="n"/>
      <c r="Q847" s="30" t="n"/>
      <c r="R847" s="32" t="n"/>
      <c r="S847" s="30" t="n"/>
      <c r="T847" s="30" t="n"/>
      <c r="U847" s="30" t="n"/>
      <c r="V847" s="30" t="n"/>
      <c r="W847" s="29">
        <f>IF(H847="","",IF(H847="Kenya","Yes","No"))</f>
        <v/>
      </c>
      <c r="X847" s="29">
        <f>IF(B847="","",IF(COUNTIF($B$5:$B$3004,B847)&gt;1,"DUPLICATE","OK"))</f>
        <v/>
      </c>
      <c r="Y847" s="29">
        <f>IF(OR(U847="",V847="",V847="Excluded"),"",IF(COUNTIFS($U$5:$U$3004,U847,$V$5:$V$3004,"&lt;&gt;"&amp;V847,$V$5:$V$3004,"&lt;&gt;",$V$5:$V$3004,"&lt;&gt;Excluded")&gt;0,"LEAK RISK","OK"))</f>
        <v/>
      </c>
      <c r="Z847" s="30" t="n"/>
    </row>
    <row r="848">
      <c r="A848" s="30" t="n"/>
      <c r="B848" s="30" t="n"/>
      <c r="C848" s="30" t="n"/>
      <c r="D848" s="30" t="n"/>
      <c r="E848" s="30" t="n"/>
      <c r="F848" s="30" t="n"/>
      <c r="G848" s="30" t="n"/>
      <c r="H848" s="30" t="n"/>
      <c r="I848" s="31" t="n"/>
      <c r="J848" s="30" t="n"/>
      <c r="K848" s="30" t="n"/>
      <c r="L848" s="30" t="n"/>
      <c r="M848" s="30" t="n"/>
      <c r="N848" s="32" t="n"/>
      <c r="O848" s="30" t="n"/>
      <c r="P848" s="32" t="n"/>
      <c r="Q848" s="30" t="n"/>
      <c r="R848" s="32" t="n"/>
      <c r="S848" s="30" t="n"/>
      <c r="T848" s="30" t="n"/>
      <c r="U848" s="30" t="n"/>
      <c r="V848" s="30" t="n"/>
      <c r="W848" s="29">
        <f>IF(H848="","",IF(H848="Kenya","Yes","No"))</f>
        <v/>
      </c>
      <c r="X848" s="29">
        <f>IF(B848="","",IF(COUNTIF($B$5:$B$3004,B848)&gt;1,"DUPLICATE","OK"))</f>
        <v/>
      </c>
      <c r="Y848" s="29">
        <f>IF(OR(U848="",V848="",V848="Excluded"),"",IF(COUNTIFS($U$5:$U$3004,U848,$V$5:$V$3004,"&lt;&gt;"&amp;V848,$V$5:$V$3004,"&lt;&gt;",$V$5:$V$3004,"&lt;&gt;Excluded")&gt;0,"LEAK RISK","OK"))</f>
        <v/>
      </c>
      <c r="Z848" s="30" t="n"/>
    </row>
    <row r="849">
      <c r="A849" s="30" t="n"/>
      <c r="B849" s="30" t="n"/>
      <c r="C849" s="30" t="n"/>
      <c r="D849" s="30" t="n"/>
      <c r="E849" s="30" t="n"/>
      <c r="F849" s="30" t="n"/>
      <c r="G849" s="30" t="n"/>
      <c r="H849" s="30" t="n"/>
      <c r="I849" s="31" t="n"/>
      <c r="J849" s="30" t="n"/>
      <c r="K849" s="30" t="n"/>
      <c r="L849" s="30" t="n"/>
      <c r="M849" s="30" t="n"/>
      <c r="N849" s="32" t="n"/>
      <c r="O849" s="30" t="n"/>
      <c r="P849" s="32" t="n"/>
      <c r="Q849" s="30" t="n"/>
      <c r="R849" s="32" t="n"/>
      <c r="S849" s="30" t="n"/>
      <c r="T849" s="30" t="n"/>
      <c r="U849" s="30" t="n"/>
      <c r="V849" s="30" t="n"/>
      <c r="W849" s="29">
        <f>IF(H849="","",IF(H849="Kenya","Yes","No"))</f>
        <v/>
      </c>
      <c r="X849" s="29">
        <f>IF(B849="","",IF(COUNTIF($B$5:$B$3004,B849)&gt;1,"DUPLICATE","OK"))</f>
        <v/>
      </c>
      <c r="Y849" s="29">
        <f>IF(OR(U849="",V849="",V849="Excluded"),"",IF(COUNTIFS($U$5:$U$3004,U849,$V$5:$V$3004,"&lt;&gt;"&amp;V849,$V$5:$V$3004,"&lt;&gt;",$V$5:$V$3004,"&lt;&gt;Excluded")&gt;0,"LEAK RISK","OK"))</f>
        <v/>
      </c>
      <c r="Z849" s="30" t="n"/>
    </row>
    <row r="850">
      <c r="A850" s="30" t="n"/>
      <c r="B850" s="30" t="n"/>
      <c r="C850" s="30" t="n"/>
      <c r="D850" s="30" t="n"/>
      <c r="E850" s="30" t="n"/>
      <c r="F850" s="30" t="n"/>
      <c r="G850" s="30" t="n"/>
      <c r="H850" s="30" t="n"/>
      <c r="I850" s="31" t="n"/>
      <c r="J850" s="30" t="n"/>
      <c r="K850" s="30" t="n"/>
      <c r="L850" s="30" t="n"/>
      <c r="M850" s="30" t="n"/>
      <c r="N850" s="32" t="n"/>
      <c r="O850" s="30" t="n"/>
      <c r="P850" s="32" t="n"/>
      <c r="Q850" s="30" t="n"/>
      <c r="R850" s="32" t="n"/>
      <c r="S850" s="30" t="n"/>
      <c r="T850" s="30" t="n"/>
      <c r="U850" s="30" t="n"/>
      <c r="V850" s="30" t="n"/>
      <c r="W850" s="29">
        <f>IF(H850="","",IF(H850="Kenya","Yes","No"))</f>
        <v/>
      </c>
      <c r="X850" s="29">
        <f>IF(B850="","",IF(COUNTIF($B$5:$B$3004,B850)&gt;1,"DUPLICATE","OK"))</f>
        <v/>
      </c>
      <c r="Y850" s="29">
        <f>IF(OR(U850="",V850="",V850="Excluded"),"",IF(COUNTIFS($U$5:$U$3004,U850,$V$5:$V$3004,"&lt;&gt;"&amp;V850,$V$5:$V$3004,"&lt;&gt;",$V$5:$V$3004,"&lt;&gt;Excluded")&gt;0,"LEAK RISK","OK"))</f>
        <v/>
      </c>
      <c r="Z850" s="30" t="n"/>
    </row>
    <row r="851">
      <c r="A851" s="30" t="n"/>
      <c r="B851" s="30" t="n"/>
      <c r="C851" s="30" t="n"/>
      <c r="D851" s="30" t="n"/>
      <c r="E851" s="30" t="n"/>
      <c r="F851" s="30" t="n"/>
      <c r="G851" s="30" t="n"/>
      <c r="H851" s="30" t="n"/>
      <c r="I851" s="31" t="n"/>
      <c r="J851" s="30" t="n"/>
      <c r="K851" s="30" t="n"/>
      <c r="L851" s="30" t="n"/>
      <c r="M851" s="30" t="n"/>
      <c r="N851" s="32" t="n"/>
      <c r="O851" s="30" t="n"/>
      <c r="P851" s="32" t="n"/>
      <c r="Q851" s="30" t="n"/>
      <c r="R851" s="32" t="n"/>
      <c r="S851" s="30" t="n"/>
      <c r="T851" s="30" t="n"/>
      <c r="U851" s="30" t="n"/>
      <c r="V851" s="30" t="n"/>
      <c r="W851" s="29">
        <f>IF(H851="","",IF(H851="Kenya","Yes","No"))</f>
        <v/>
      </c>
      <c r="X851" s="29">
        <f>IF(B851="","",IF(COUNTIF($B$5:$B$3004,B851)&gt;1,"DUPLICATE","OK"))</f>
        <v/>
      </c>
      <c r="Y851" s="29">
        <f>IF(OR(U851="",V851="",V851="Excluded"),"",IF(COUNTIFS($U$5:$U$3004,U851,$V$5:$V$3004,"&lt;&gt;"&amp;V851,$V$5:$V$3004,"&lt;&gt;",$V$5:$V$3004,"&lt;&gt;Excluded")&gt;0,"LEAK RISK","OK"))</f>
        <v/>
      </c>
      <c r="Z851" s="30" t="n"/>
    </row>
    <row r="852">
      <c r="A852" s="30" t="n"/>
      <c r="B852" s="30" t="n"/>
      <c r="C852" s="30" t="n"/>
      <c r="D852" s="30" t="n"/>
      <c r="E852" s="30" t="n"/>
      <c r="F852" s="30" t="n"/>
      <c r="G852" s="30" t="n"/>
      <c r="H852" s="30" t="n"/>
      <c r="I852" s="31" t="n"/>
      <c r="J852" s="30" t="n"/>
      <c r="K852" s="30" t="n"/>
      <c r="L852" s="30" t="n"/>
      <c r="M852" s="30" t="n"/>
      <c r="N852" s="32" t="n"/>
      <c r="O852" s="30" t="n"/>
      <c r="P852" s="32" t="n"/>
      <c r="Q852" s="30" t="n"/>
      <c r="R852" s="32" t="n"/>
      <c r="S852" s="30" t="n"/>
      <c r="T852" s="30" t="n"/>
      <c r="U852" s="30" t="n"/>
      <c r="V852" s="30" t="n"/>
      <c r="W852" s="29">
        <f>IF(H852="","",IF(H852="Kenya","Yes","No"))</f>
        <v/>
      </c>
      <c r="X852" s="29">
        <f>IF(B852="","",IF(COUNTIF($B$5:$B$3004,B852)&gt;1,"DUPLICATE","OK"))</f>
        <v/>
      </c>
      <c r="Y852" s="29">
        <f>IF(OR(U852="",V852="",V852="Excluded"),"",IF(COUNTIFS($U$5:$U$3004,U852,$V$5:$V$3004,"&lt;&gt;"&amp;V852,$V$5:$V$3004,"&lt;&gt;",$V$5:$V$3004,"&lt;&gt;Excluded")&gt;0,"LEAK RISK","OK"))</f>
        <v/>
      </c>
      <c r="Z852" s="30" t="n"/>
    </row>
    <row r="853">
      <c r="A853" s="30" t="n"/>
      <c r="B853" s="30" t="n"/>
      <c r="C853" s="30" t="n"/>
      <c r="D853" s="30" t="n"/>
      <c r="E853" s="30" t="n"/>
      <c r="F853" s="30" t="n"/>
      <c r="G853" s="30" t="n"/>
      <c r="H853" s="30" t="n"/>
      <c r="I853" s="31" t="n"/>
      <c r="J853" s="30" t="n"/>
      <c r="K853" s="30" t="n"/>
      <c r="L853" s="30" t="n"/>
      <c r="M853" s="30" t="n"/>
      <c r="N853" s="32" t="n"/>
      <c r="O853" s="30" t="n"/>
      <c r="P853" s="32" t="n"/>
      <c r="Q853" s="30" t="n"/>
      <c r="R853" s="32" t="n"/>
      <c r="S853" s="30" t="n"/>
      <c r="T853" s="30" t="n"/>
      <c r="U853" s="30" t="n"/>
      <c r="V853" s="30" t="n"/>
      <c r="W853" s="29">
        <f>IF(H853="","",IF(H853="Kenya","Yes","No"))</f>
        <v/>
      </c>
      <c r="X853" s="29">
        <f>IF(B853="","",IF(COUNTIF($B$5:$B$3004,B853)&gt;1,"DUPLICATE","OK"))</f>
        <v/>
      </c>
      <c r="Y853" s="29">
        <f>IF(OR(U853="",V853="",V853="Excluded"),"",IF(COUNTIFS($U$5:$U$3004,U853,$V$5:$V$3004,"&lt;&gt;"&amp;V853,$V$5:$V$3004,"&lt;&gt;",$V$5:$V$3004,"&lt;&gt;Excluded")&gt;0,"LEAK RISK","OK"))</f>
        <v/>
      </c>
      <c r="Z853" s="30" t="n"/>
    </row>
    <row r="854">
      <c r="A854" s="30" t="n"/>
      <c r="B854" s="30" t="n"/>
      <c r="C854" s="30" t="n"/>
      <c r="D854" s="30" t="n"/>
      <c r="E854" s="30" t="n"/>
      <c r="F854" s="30" t="n"/>
      <c r="G854" s="30" t="n"/>
      <c r="H854" s="30" t="n"/>
      <c r="I854" s="31" t="n"/>
      <c r="J854" s="30" t="n"/>
      <c r="K854" s="30" t="n"/>
      <c r="L854" s="30" t="n"/>
      <c r="M854" s="30" t="n"/>
      <c r="N854" s="32" t="n"/>
      <c r="O854" s="30" t="n"/>
      <c r="P854" s="32" t="n"/>
      <c r="Q854" s="30" t="n"/>
      <c r="R854" s="32" t="n"/>
      <c r="S854" s="30" t="n"/>
      <c r="T854" s="30" t="n"/>
      <c r="U854" s="30" t="n"/>
      <c r="V854" s="30" t="n"/>
      <c r="W854" s="29">
        <f>IF(H854="","",IF(H854="Kenya","Yes","No"))</f>
        <v/>
      </c>
      <c r="X854" s="29">
        <f>IF(B854="","",IF(COUNTIF($B$5:$B$3004,B854)&gt;1,"DUPLICATE","OK"))</f>
        <v/>
      </c>
      <c r="Y854" s="29">
        <f>IF(OR(U854="",V854="",V854="Excluded"),"",IF(COUNTIFS($U$5:$U$3004,U854,$V$5:$V$3004,"&lt;&gt;"&amp;V854,$V$5:$V$3004,"&lt;&gt;",$V$5:$V$3004,"&lt;&gt;Excluded")&gt;0,"LEAK RISK","OK"))</f>
        <v/>
      </c>
      <c r="Z854" s="30" t="n"/>
    </row>
    <row r="855">
      <c r="A855" s="30" t="n"/>
      <c r="B855" s="30" t="n"/>
      <c r="C855" s="30" t="n"/>
      <c r="D855" s="30" t="n"/>
      <c r="E855" s="30" t="n"/>
      <c r="F855" s="30" t="n"/>
      <c r="G855" s="30" t="n"/>
      <c r="H855" s="30" t="n"/>
      <c r="I855" s="31" t="n"/>
      <c r="J855" s="30" t="n"/>
      <c r="K855" s="30" t="n"/>
      <c r="L855" s="30" t="n"/>
      <c r="M855" s="30" t="n"/>
      <c r="N855" s="32" t="n"/>
      <c r="O855" s="30" t="n"/>
      <c r="P855" s="32" t="n"/>
      <c r="Q855" s="30" t="n"/>
      <c r="R855" s="32" t="n"/>
      <c r="S855" s="30" t="n"/>
      <c r="T855" s="30" t="n"/>
      <c r="U855" s="30" t="n"/>
      <c r="V855" s="30" t="n"/>
      <c r="W855" s="29">
        <f>IF(H855="","",IF(H855="Kenya","Yes","No"))</f>
        <v/>
      </c>
      <c r="X855" s="29">
        <f>IF(B855="","",IF(COUNTIF($B$5:$B$3004,B855)&gt;1,"DUPLICATE","OK"))</f>
        <v/>
      </c>
      <c r="Y855" s="29">
        <f>IF(OR(U855="",V855="",V855="Excluded"),"",IF(COUNTIFS($U$5:$U$3004,U855,$V$5:$V$3004,"&lt;&gt;"&amp;V855,$V$5:$V$3004,"&lt;&gt;",$V$5:$V$3004,"&lt;&gt;Excluded")&gt;0,"LEAK RISK","OK"))</f>
        <v/>
      </c>
      <c r="Z855" s="30" t="n"/>
    </row>
    <row r="856">
      <c r="A856" s="30" t="n"/>
      <c r="B856" s="30" t="n"/>
      <c r="C856" s="30" t="n"/>
      <c r="D856" s="30" t="n"/>
      <c r="E856" s="30" t="n"/>
      <c r="F856" s="30" t="n"/>
      <c r="G856" s="30" t="n"/>
      <c r="H856" s="30" t="n"/>
      <c r="I856" s="31" t="n"/>
      <c r="J856" s="30" t="n"/>
      <c r="K856" s="30" t="n"/>
      <c r="L856" s="30" t="n"/>
      <c r="M856" s="30" t="n"/>
      <c r="N856" s="32" t="n"/>
      <c r="O856" s="30" t="n"/>
      <c r="P856" s="32" t="n"/>
      <c r="Q856" s="30" t="n"/>
      <c r="R856" s="32" t="n"/>
      <c r="S856" s="30" t="n"/>
      <c r="T856" s="30" t="n"/>
      <c r="U856" s="30" t="n"/>
      <c r="V856" s="30" t="n"/>
      <c r="W856" s="29">
        <f>IF(H856="","",IF(H856="Kenya","Yes","No"))</f>
        <v/>
      </c>
      <c r="X856" s="29">
        <f>IF(B856="","",IF(COUNTIF($B$5:$B$3004,B856)&gt;1,"DUPLICATE","OK"))</f>
        <v/>
      </c>
      <c r="Y856" s="29">
        <f>IF(OR(U856="",V856="",V856="Excluded"),"",IF(COUNTIFS($U$5:$U$3004,U856,$V$5:$V$3004,"&lt;&gt;"&amp;V856,$V$5:$V$3004,"&lt;&gt;",$V$5:$V$3004,"&lt;&gt;Excluded")&gt;0,"LEAK RISK","OK"))</f>
        <v/>
      </c>
      <c r="Z856" s="30" t="n"/>
    </row>
    <row r="857">
      <c r="A857" s="30" t="n"/>
      <c r="B857" s="30" t="n"/>
      <c r="C857" s="30" t="n"/>
      <c r="D857" s="30" t="n"/>
      <c r="E857" s="30" t="n"/>
      <c r="F857" s="30" t="n"/>
      <c r="G857" s="30" t="n"/>
      <c r="H857" s="30" t="n"/>
      <c r="I857" s="31" t="n"/>
      <c r="J857" s="30" t="n"/>
      <c r="K857" s="30" t="n"/>
      <c r="L857" s="30" t="n"/>
      <c r="M857" s="30" t="n"/>
      <c r="N857" s="32" t="n"/>
      <c r="O857" s="30" t="n"/>
      <c r="P857" s="32" t="n"/>
      <c r="Q857" s="30" t="n"/>
      <c r="R857" s="32" t="n"/>
      <c r="S857" s="30" t="n"/>
      <c r="T857" s="30" t="n"/>
      <c r="U857" s="30" t="n"/>
      <c r="V857" s="30" t="n"/>
      <c r="W857" s="29">
        <f>IF(H857="","",IF(H857="Kenya","Yes","No"))</f>
        <v/>
      </c>
      <c r="X857" s="29">
        <f>IF(B857="","",IF(COUNTIF($B$5:$B$3004,B857)&gt;1,"DUPLICATE","OK"))</f>
        <v/>
      </c>
      <c r="Y857" s="29">
        <f>IF(OR(U857="",V857="",V857="Excluded"),"",IF(COUNTIFS($U$5:$U$3004,U857,$V$5:$V$3004,"&lt;&gt;"&amp;V857,$V$5:$V$3004,"&lt;&gt;",$V$5:$V$3004,"&lt;&gt;Excluded")&gt;0,"LEAK RISK","OK"))</f>
        <v/>
      </c>
      <c r="Z857" s="30" t="n"/>
    </row>
    <row r="858">
      <c r="A858" s="30" t="n"/>
      <c r="B858" s="30" t="n"/>
      <c r="C858" s="30" t="n"/>
      <c r="D858" s="30" t="n"/>
      <c r="E858" s="30" t="n"/>
      <c r="F858" s="30" t="n"/>
      <c r="G858" s="30" t="n"/>
      <c r="H858" s="30" t="n"/>
      <c r="I858" s="31" t="n"/>
      <c r="J858" s="30" t="n"/>
      <c r="K858" s="30" t="n"/>
      <c r="L858" s="30" t="n"/>
      <c r="M858" s="30" t="n"/>
      <c r="N858" s="32" t="n"/>
      <c r="O858" s="30" t="n"/>
      <c r="P858" s="32" t="n"/>
      <c r="Q858" s="30" t="n"/>
      <c r="R858" s="32" t="n"/>
      <c r="S858" s="30" t="n"/>
      <c r="T858" s="30" t="n"/>
      <c r="U858" s="30" t="n"/>
      <c r="V858" s="30" t="n"/>
      <c r="W858" s="29">
        <f>IF(H858="","",IF(H858="Kenya","Yes","No"))</f>
        <v/>
      </c>
      <c r="X858" s="29">
        <f>IF(B858="","",IF(COUNTIF($B$5:$B$3004,B858)&gt;1,"DUPLICATE","OK"))</f>
        <v/>
      </c>
      <c r="Y858" s="29">
        <f>IF(OR(U858="",V858="",V858="Excluded"),"",IF(COUNTIFS($U$5:$U$3004,U858,$V$5:$V$3004,"&lt;&gt;"&amp;V858,$V$5:$V$3004,"&lt;&gt;",$V$5:$V$3004,"&lt;&gt;Excluded")&gt;0,"LEAK RISK","OK"))</f>
        <v/>
      </c>
      <c r="Z858" s="30" t="n"/>
    </row>
    <row r="859">
      <c r="A859" s="30" t="n"/>
      <c r="B859" s="30" t="n"/>
      <c r="C859" s="30" t="n"/>
      <c r="D859" s="30" t="n"/>
      <c r="E859" s="30" t="n"/>
      <c r="F859" s="30" t="n"/>
      <c r="G859" s="30" t="n"/>
      <c r="H859" s="30" t="n"/>
      <c r="I859" s="31" t="n"/>
      <c r="J859" s="30" t="n"/>
      <c r="K859" s="30" t="n"/>
      <c r="L859" s="30" t="n"/>
      <c r="M859" s="30" t="n"/>
      <c r="N859" s="32" t="n"/>
      <c r="O859" s="30" t="n"/>
      <c r="P859" s="32" t="n"/>
      <c r="Q859" s="30" t="n"/>
      <c r="R859" s="32" t="n"/>
      <c r="S859" s="30" t="n"/>
      <c r="T859" s="30" t="n"/>
      <c r="U859" s="30" t="n"/>
      <c r="V859" s="30" t="n"/>
      <c r="W859" s="29">
        <f>IF(H859="","",IF(H859="Kenya","Yes","No"))</f>
        <v/>
      </c>
      <c r="X859" s="29">
        <f>IF(B859="","",IF(COUNTIF($B$5:$B$3004,B859)&gt;1,"DUPLICATE","OK"))</f>
        <v/>
      </c>
      <c r="Y859" s="29">
        <f>IF(OR(U859="",V859="",V859="Excluded"),"",IF(COUNTIFS($U$5:$U$3004,U859,$V$5:$V$3004,"&lt;&gt;"&amp;V859,$V$5:$V$3004,"&lt;&gt;",$V$5:$V$3004,"&lt;&gt;Excluded")&gt;0,"LEAK RISK","OK"))</f>
        <v/>
      </c>
      <c r="Z859" s="30" t="n"/>
    </row>
    <row r="860">
      <c r="A860" s="30" t="n"/>
      <c r="B860" s="30" t="n"/>
      <c r="C860" s="30" t="n"/>
      <c r="D860" s="30" t="n"/>
      <c r="E860" s="30" t="n"/>
      <c r="F860" s="30" t="n"/>
      <c r="G860" s="30" t="n"/>
      <c r="H860" s="30" t="n"/>
      <c r="I860" s="31" t="n"/>
      <c r="J860" s="30" t="n"/>
      <c r="K860" s="30" t="n"/>
      <c r="L860" s="30" t="n"/>
      <c r="M860" s="30" t="n"/>
      <c r="N860" s="32" t="n"/>
      <c r="O860" s="30" t="n"/>
      <c r="P860" s="32" t="n"/>
      <c r="Q860" s="30" t="n"/>
      <c r="R860" s="32" t="n"/>
      <c r="S860" s="30" t="n"/>
      <c r="T860" s="30" t="n"/>
      <c r="U860" s="30" t="n"/>
      <c r="V860" s="30" t="n"/>
      <c r="W860" s="29">
        <f>IF(H860="","",IF(H860="Kenya","Yes","No"))</f>
        <v/>
      </c>
      <c r="X860" s="29">
        <f>IF(B860="","",IF(COUNTIF($B$5:$B$3004,B860)&gt;1,"DUPLICATE","OK"))</f>
        <v/>
      </c>
      <c r="Y860" s="29">
        <f>IF(OR(U860="",V860="",V860="Excluded"),"",IF(COUNTIFS($U$5:$U$3004,U860,$V$5:$V$3004,"&lt;&gt;"&amp;V860,$V$5:$V$3004,"&lt;&gt;",$V$5:$V$3004,"&lt;&gt;Excluded")&gt;0,"LEAK RISK","OK"))</f>
        <v/>
      </c>
      <c r="Z860" s="30" t="n"/>
    </row>
    <row r="861">
      <c r="A861" s="30" t="n"/>
      <c r="B861" s="30" t="n"/>
      <c r="C861" s="30" t="n"/>
      <c r="D861" s="30" t="n"/>
      <c r="E861" s="30" t="n"/>
      <c r="F861" s="30" t="n"/>
      <c r="G861" s="30" t="n"/>
      <c r="H861" s="30" t="n"/>
      <c r="I861" s="31" t="n"/>
      <c r="J861" s="30" t="n"/>
      <c r="K861" s="30" t="n"/>
      <c r="L861" s="30" t="n"/>
      <c r="M861" s="30" t="n"/>
      <c r="N861" s="32" t="n"/>
      <c r="O861" s="30" t="n"/>
      <c r="P861" s="32" t="n"/>
      <c r="Q861" s="30" t="n"/>
      <c r="R861" s="32" t="n"/>
      <c r="S861" s="30" t="n"/>
      <c r="T861" s="30" t="n"/>
      <c r="U861" s="30" t="n"/>
      <c r="V861" s="30" t="n"/>
      <c r="W861" s="29">
        <f>IF(H861="","",IF(H861="Kenya","Yes","No"))</f>
        <v/>
      </c>
      <c r="X861" s="29">
        <f>IF(B861="","",IF(COUNTIF($B$5:$B$3004,B861)&gt;1,"DUPLICATE","OK"))</f>
        <v/>
      </c>
      <c r="Y861" s="29">
        <f>IF(OR(U861="",V861="",V861="Excluded"),"",IF(COUNTIFS($U$5:$U$3004,U861,$V$5:$V$3004,"&lt;&gt;"&amp;V861,$V$5:$V$3004,"&lt;&gt;",$V$5:$V$3004,"&lt;&gt;Excluded")&gt;0,"LEAK RISK","OK"))</f>
        <v/>
      </c>
      <c r="Z861" s="30" t="n"/>
    </row>
    <row r="862">
      <c r="A862" s="30" t="n"/>
      <c r="B862" s="30" t="n"/>
      <c r="C862" s="30" t="n"/>
      <c r="D862" s="30" t="n"/>
      <c r="E862" s="30" t="n"/>
      <c r="F862" s="30" t="n"/>
      <c r="G862" s="30" t="n"/>
      <c r="H862" s="30" t="n"/>
      <c r="I862" s="31" t="n"/>
      <c r="J862" s="30" t="n"/>
      <c r="K862" s="30" t="n"/>
      <c r="L862" s="30" t="n"/>
      <c r="M862" s="30" t="n"/>
      <c r="N862" s="32" t="n"/>
      <c r="O862" s="30" t="n"/>
      <c r="P862" s="32" t="n"/>
      <c r="Q862" s="30" t="n"/>
      <c r="R862" s="32" t="n"/>
      <c r="S862" s="30" t="n"/>
      <c r="T862" s="30" t="n"/>
      <c r="U862" s="30" t="n"/>
      <c r="V862" s="30" t="n"/>
      <c r="W862" s="29">
        <f>IF(H862="","",IF(H862="Kenya","Yes","No"))</f>
        <v/>
      </c>
      <c r="X862" s="29">
        <f>IF(B862="","",IF(COUNTIF($B$5:$B$3004,B862)&gt;1,"DUPLICATE","OK"))</f>
        <v/>
      </c>
      <c r="Y862" s="29">
        <f>IF(OR(U862="",V862="",V862="Excluded"),"",IF(COUNTIFS($U$5:$U$3004,U862,$V$5:$V$3004,"&lt;&gt;"&amp;V862,$V$5:$V$3004,"&lt;&gt;",$V$5:$V$3004,"&lt;&gt;Excluded")&gt;0,"LEAK RISK","OK"))</f>
        <v/>
      </c>
      <c r="Z862" s="30" t="n"/>
    </row>
    <row r="863">
      <c r="A863" s="30" t="n"/>
      <c r="B863" s="30" t="n"/>
      <c r="C863" s="30" t="n"/>
      <c r="D863" s="30" t="n"/>
      <c r="E863" s="30" t="n"/>
      <c r="F863" s="30" t="n"/>
      <c r="G863" s="30" t="n"/>
      <c r="H863" s="30" t="n"/>
      <c r="I863" s="31" t="n"/>
      <c r="J863" s="30" t="n"/>
      <c r="K863" s="30" t="n"/>
      <c r="L863" s="30" t="n"/>
      <c r="M863" s="30" t="n"/>
      <c r="N863" s="32" t="n"/>
      <c r="O863" s="30" t="n"/>
      <c r="P863" s="32" t="n"/>
      <c r="Q863" s="30" t="n"/>
      <c r="R863" s="32" t="n"/>
      <c r="S863" s="30" t="n"/>
      <c r="T863" s="30" t="n"/>
      <c r="U863" s="30" t="n"/>
      <c r="V863" s="30" t="n"/>
      <c r="W863" s="29">
        <f>IF(H863="","",IF(H863="Kenya","Yes","No"))</f>
        <v/>
      </c>
      <c r="X863" s="29">
        <f>IF(B863="","",IF(COUNTIF($B$5:$B$3004,B863)&gt;1,"DUPLICATE","OK"))</f>
        <v/>
      </c>
      <c r="Y863" s="29">
        <f>IF(OR(U863="",V863="",V863="Excluded"),"",IF(COUNTIFS($U$5:$U$3004,U863,$V$5:$V$3004,"&lt;&gt;"&amp;V863,$V$5:$V$3004,"&lt;&gt;",$V$5:$V$3004,"&lt;&gt;Excluded")&gt;0,"LEAK RISK","OK"))</f>
        <v/>
      </c>
      <c r="Z863" s="30" t="n"/>
    </row>
    <row r="864">
      <c r="A864" s="30" t="n"/>
      <c r="B864" s="30" t="n"/>
      <c r="C864" s="30" t="n"/>
      <c r="D864" s="30" t="n"/>
      <c r="E864" s="30" t="n"/>
      <c r="F864" s="30" t="n"/>
      <c r="G864" s="30" t="n"/>
      <c r="H864" s="30" t="n"/>
      <c r="I864" s="31" t="n"/>
      <c r="J864" s="30" t="n"/>
      <c r="K864" s="30" t="n"/>
      <c r="L864" s="30" t="n"/>
      <c r="M864" s="30" t="n"/>
      <c r="N864" s="32" t="n"/>
      <c r="O864" s="30" t="n"/>
      <c r="P864" s="32" t="n"/>
      <c r="Q864" s="30" t="n"/>
      <c r="R864" s="32" t="n"/>
      <c r="S864" s="30" t="n"/>
      <c r="T864" s="30" t="n"/>
      <c r="U864" s="30" t="n"/>
      <c r="V864" s="30" t="n"/>
      <c r="W864" s="29">
        <f>IF(H864="","",IF(H864="Kenya","Yes","No"))</f>
        <v/>
      </c>
      <c r="X864" s="29">
        <f>IF(B864="","",IF(COUNTIF($B$5:$B$3004,B864)&gt;1,"DUPLICATE","OK"))</f>
        <v/>
      </c>
      <c r="Y864" s="29">
        <f>IF(OR(U864="",V864="",V864="Excluded"),"",IF(COUNTIFS($U$5:$U$3004,U864,$V$5:$V$3004,"&lt;&gt;"&amp;V864,$V$5:$V$3004,"&lt;&gt;",$V$5:$V$3004,"&lt;&gt;Excluded")&gt;0,"LEAK RISK","OK"))</f>
        <v/>
      </c>
      <c r="Z864" s="30" t="n"/>
    </row>
    <row r="865">
      <c r="A865" s="30" t="n"/>
      <c r="B865" s="30" t="n"/>
      <c r="C865" s="30" t="n"/>
      <c r="D865" s="30" t="n"/>
      <c r="E865" s="30" t="n"/>
      <c r="F865" s="30" t="n"/>
      <c r="G865" s="30" t="n"/>
      <c r="H865" s="30" t="n"/>
      <c r="I865" s="31" t="n"/>
      <c r="J865" s="30" t="n"/>
      <c r="K865" s="30" t="n"/>
      <c r="L865" s="30" t="n"/>
      <c r="M865" s="30" t="n"/>
      <c r="N865" s="32" t="n"/>
      <c r="O865" s="30" t="n"/>
      <c r="P865" s="32" t="n"/>
      <c r="Q865" s="30" t="n"/>
      <c r="R865" s="32" t="n"/>
      <c r="S865" s="30" t="n"/>
      <c r="T865" s="30" t="n"/>
      <c r="U865" s="30" t="n"/>
      <c r="V865" s="30" t="n"/>
      <c r="W865" s="29">
        <f>IF(H865="","",IF(H865="Kenya","Yes","No"))</f>
        <v/>
      </c>
      <c r="X865" s="29">
        <f>IF(B865="","",IF(COUNTIF($B$5:$B$3004,B865)&gt;1,"DUPLICATE","OK"))</f>
        <v/>
      </c>
      <c r="Y865" s="29">
        <f>IF(OR(U865="",V865="",V865="Excluded"),"",IF(COUNTIFS($U$5:$U$3004,U865,$V$5:$V$3004,"&lt;&gt;"&amp;V865,$V$5:$V$3004,"&lt;&gt;",$V$5:$V$3004,"&lt;&gt;Excluded")&gt;0,"LEAK RISK","OK"))</f>
        <v/>
      </c>
      <c r="Z865" s="30" t="n"/>
    </row>
    <row r="866">
      <c r="A866" s="30" t="n"/>
      <c r="B866" s="30" t="n"/>
      <c r="C866" s="30" t="n"/>
      <c r="D866" s="30" t="n"/>
      <c r="E866" s="30" t="n"/>
      <c r="F866" s="30" t="n"/>
      <c r="G866" s="30" t="n"/>
      <c r="H866" s="30" t="n"/>
      <c r="I866" s="31" t="n"/>
      <c r="J866" s="30" t="n"/>
      <c r="K866" s="30" t="n"/>
      <c r="L866" s="30" t="n"/>
      <c r="M866" s="30" t="n"/>
      <c r="N866" s="32" t="n"/>
      <c r="O866" s="30" t="n"/>
      <c r="P866" s="32" t="n"/>
      <c r="Q866" s="30" t="n"/>
      <c r="R866" s="32" t="n"/>
      <c r="S866" s="30" t="n"/>
      <c r="T866" s="30" t="n"/>
      <c r="U866" s="30" t="n"/>
      <c r="V866" s="30" t="n"/>
      <c r="W866" s="29">
        <f>IF(H866="","",IF(H866="Kenya","Yes","No"))</f>
        <v/>
      </c>
      <c r="X866" s="29">
        <f>IF(B866="","",IF(COUNTIF($B$5:$B$3004,B866)&gt;1,"DUPLICATE","OK"))</f>
        <v/>
      </c>
      <c r="Y866" s="29">
        <f>IF(OR(U866="",V866="",V866="Excluded"),"",IF(COUNTIFS($U$5:$U$3004,U866,$V$5:$V$3004,"&lt;&gt;"&amp;V866,$V$5:$V$3004,"&lt;&gt;",$V$5:$V$3004,"&lt;&gt;Excluded")&gt;0,"LEAK RISK","OK"))</f>
        <v/>
      </c>
      <c r="Z866" s="30" t="n"/>
    </row>
    <row r="867">
      <c r="A867" s="30" t="n"/>
      <c r="B867" s="30" t="n"/>
      <c r="C867" s="30" t="n"/>
      <c r="D867" s="30" t="n"/>
      <c r="E867" s="30" t="n"/>
      <c r="F867" s="30" t="n"/>
      <c r="G867" s="30" t="n"/>
      <c r="H867" s="30" t="n"/>
      <c r="I867" s="31" t="n"/>
      <c r="J867" s="30" t="n"/>
      <c r="K867" s="30" t="n"/>
      <c r="L867" s="30" t="n"/>
      <c r="M867" s="30" t="n"/>
      <c r="N867" s="32" t="n"/>
      <c r="O867" s="30" t="n"/>
      <c r="P867" s="32" t="n"/>
      <c r="Q867" s="30" t="n"/>
      <c r="R867" s="32" t="n"/>
      <c r="S867" s="30" t="n"/>
      <c r="T867" s="30" t="n"/>
      <c r="U867" s="30" t="n"/>
      <c r="V867" s="30" t="n"/>
      <c r="W867" s="29">
        <f>IF(H867="","",IF(H867="Kenya","Yes","No"))</f>
        <v/>
      </c>
      <c r="X867" s="29">
        <f>IF(B867="","",IF(COUNTIF($B$5:$B$3004,B867)&gt;1,"DUPLICATE","OK"))</f>
        <v/>
      </c>
      <c r="Y867" s="29">
        <f>IF(OR(U867="",V867="",V867="Excluded"),"",IF(COUNTIFS($U$5:$U$3004,U867,$V$5:$V$3004,"&lt;&gt;"&amp;V867,$V$5:$V$3004,"&lt;&gt;",$V$5:$V$3004,"&lt;&gt;Excluded")&gt;0,"LEAK RISK","OK"))</f>
        <v/>
      </c>
      <c r="Z867" s="30" t="n"/>
    </row>
    <row r="868">
      <c r="A868" s="30" t="n"/>
      <c r="B868" s="30" t="n"/>
      <c r="C868" s="30" t="n"/>
      <c r="D868" s="30" t="n"/>
      <c r="E868" s="30" t="n"/>
      <c r="F868" s="30" t="n"/>
      <c r="G868" s="30" t="n"/>
      <c r="H868" s="30" t="n"/>
      <c r="I868" s="31" t="n"/>
      <c r="J868" s="30" t="n"/>
      <c r="K868" s="30" t="n"/>
      <c r="L868" s="30" t="n"/>
      <c r="M868" s="30" t="n"/>
      <c r="N868" s="32" t="n"/>
      <c r="O868" s="30" t="n"/>
      <c r="P868" s="32" t="n"/>
      <c r="Q868" s="30" t="n"/>
      <c r="R868" s="32" t="n"/>
      <c r="S868" s="30" t="n"/>
      <c r="T868" s="30" t="n"/>
      <c r="U868" s="30" t="n"/>
      <c r="V868" s="30" t="n"/>
      <c r="W868" s="29">
        <f>IF(H868="","",IF(H868="Kenya","Yes","No"))</f>
        <v/>
      </c>
      <c r="X868" s="29">
        <f>IF(B868="","",IF(COUNTIF($B$5:$B$3004,B868)&gt;1,"DUPLICATE","OK"))</f>
        <v/>
      </c>
      <c r="Y868" s="29">
        <f>IF(OR(U868="",V868="",V868="Excluded"),"",IF(COUNTIFS($U$5:$U$3004,U868,$V$5:$V$3004,"&lt;&gt;"&amp;V868,$V$5:$V$3004,"&lt;&gt;",$V$5:$V$3004,"&lt;&gt;Excluded")&gt;0,"LEAK RISK","OK"))</f>
        <v/>
      </c>
      <c r="Z868" s="30" t="n"/>
    </row>
    <row r="869">
      <c r="A869" s="30" t="n"/>
      <c r="B869" s="30" t="n"/>
      <c r="C869" s="30" t="n"/>
      <c r="D869" s="30" t="n"/>
      <c r="E869" s="30" t="n"/>
      <c r="F869" s="30" t="n"/>
      <c r="G869" s="30" t="n"/>
      <c r="H869" s="30" t="n"/>
      <c r="I869" s="31" t="n"/>
      <c r="J869" s="30" t="n"/>
      <c r="K869" s="30" t="n"/>
      <c r="L869" s="30" t="n"/>
      <c r="M869" s="30" t="n"/>
      <c r="N869" s="32" t="n"/>
      <c r="O869" s="30" t="n"/>
      <c r="P869" s="32" t="n"/>
      <c r="Q869" s="30" t="n"/>
      <c r="R869" s="32" t="n"/>
      <c r="S869" s="30" t="n"/>
      <c r="T869" s="30" t="n"/>
      <c r="U869" s="30" t="n"/>
      <c r="V869" s="30" t="n"/>
      <c r="W869" s="29">
        <f>IF(H869="","",IF(H869="Kenya","Yes","No"))</f>
        <v/>
      </c>
      <c r="X869" s="29">
        <f>IF(B869="","",IF(COUNTIF($B$5:$B$3004,B869)&gt;1,"DUPLICATE","OK"))</f>
        <v/>
      </c>
      <c r="Y869" s="29">
        <f>IF(OR(U869="",V869="",V869="Excluded"),"",IF(COUNTIFS($U$5:$U$3004,U869,$V$5:$V$3004,"&lt;&gt;"&amp;V869,$V$5:$V$3004,"&lt;&gt;",$V$5:$V$3004,"&lt;&gt;Excluded")&gt;0,"LEAK RISK","OK"))</f>
        <v/>
      </c>
      <c r="Z869" s="30" t="n"/>
    </row>
    <row r="870">
      <c r="A870" s="30" t="n"/>
      <c r="B870" s="30" t="n"/>
      <c r="C870" s="30" t="n"/>
      <c r="D870" s="30" t="n"/>
      <c r="E870" s="30" t="n"/>
      <c r="F870" s="30" t="n"/>
      <c r="G870" s="30" t="n"/>
      <c r="H870" s="30" t="n"/>
      <c r="I870" s="31" t="n"/>
      <c r="J870" s="30" t="n"/>
      <c r="K870" s="30" t="n"/>
      <c r="L870" s="30" t="n"/>
      <c r="M870" s="30" t="n"/>
      <c r="N870" s="32" t="n"/>
      <c r="O870" s="30" t="n"/>
      <c r="P870" s="32" t="n"/>
      <c r="Q870" s="30" t="n"/>
      <c r="R870" s="32" t="n"/>
      <c r="S870" s="30" t="n"/>
      <c r="T870" s="30" t="n"/>
      <c r="U870" s="30" t="n"/>
      <c r="V870" s="30" t="n"/>
      <c r="W870" s="29">
        <f>IF(H870="","",IF(H870="Kenya","Yes","No"))</f>
        <v/>
      </c>
      <c r="X870" s="29">
        <f>IF(B870="","",IF(COUNTIF($B$5:$B$3004,B870)&gt;1,"DUPLICATE","OK"))</f>
        <v/>
      </c>
      <c r="Y870" s="29">
        <f>IF(OR(U870="",V870="",V870="Excluded"),"",IF(COUNTIFS($U$5:$U$3004,U870,$V$5:$V$3004,"&lt;&gt;"&amp;V870,$V$5:$V$3004,"&lt;&gt;",$V$5:$V$3004,"&lt;&gt;Excluded")&gt;0,"LEAK RISK","OK"))</f>
        <v/>
      </c>
      <c r="Z870" s="30" t="n"/>
    </row>
    <row r="871">
      <c r="A871" s="30" t="n"/>
      <c r="B871" s="30" t="n"/>
      <c r="C871" s="30" t="n"/>
      <c r="D871" s="30" t="n"/>
      <c r="E871" s="30" t="n"/>
      <c r="F871" s="30" t="n"/>
      <c r="G871" s="30" t="n"/>
      <c r="H871" s="30" t="n"/>
      <c r="I871" s="31" t="n"/>
      <c r="J871" s="30" t="n"/>
      <c r="K871" s="30" t="n"/>
      <c r="L871" s="30" t="n"/>
      <c r="M871" s="30" t="n"/>
      <c r="N871" s="32" t="n"/>
      <c r="O871" s="30" t="n"/>
      <c r="P871" s="32" t="n"/>
      <c r="Q871" s="30" t="n"/>
      <c r="R871" s="32" t="n"/>
      <c r="S871" s="30" t="n"/>
      <c r="T871" s="30" t="n"/>
      <c r="U871" s="30" t="n"/>
      <c r="V871" s="30" t="n"/>
      <c r="W871" s="29">
        <f>IF(H871="","",IF(H871="Kenya","Yes","No"))</f>
        <v/>
      </c>
      <c r="X871" s="29">
        <f>IF(B871="","",IF(COUNTIF($B$5:$B$3004,B871)&gt;1,"DUPLICATE","OK"))</f>
        <v/>
      </c>
      <c r="Y871" s="29">
        <f>IF(OR(U871="",V871="",V871="Excluded"),"",IF(COUNTIFS($U$5:$U$3004,U871,$V$5:$V$3004,"&lt;&gt;"&amp;V871,$V$5:$V$3004,"&lt;&gt;",$V$5:$V$3004,"&lt;&gt;Excluded")&gt;0,"LEAK RISK","OK"))</f>
        <v/>
      </c>
      <c r="Z871" s="30" t="n"/>
    </row>
    <row r="872">
      <c r="A872" s="30" t="n"/>
      <c r="B872" s="30" t="n"/>
      <c r="C872" s="30" t="n"/>
      <c r="D872" s="30" t="n"/>
      <c r="E872" s="30" t="n"/>
      <c r="F872" s="30" t="n"/>
      <c r="G872" s="30" t="n"/>
      <c r="H872" s="30" t="n"/>
      <c r="I872" s="31" t="n"/>
      <c r="J872" s="30" t="n"/>
      <c r="K872" s="30" t="n"/>
      <c r="L872" s="30" t="n"/>
      <c r="M872" s="30" t="n"/>
      <c r="N872" s="32" t="n"/>
      <c r="O872" s="30" t="n"/>
      <c r="P872" s="32" t="n"/>
      <c r="Q872" s="30" t="n"/>
      <c r="R872" s="32" t="n"/>
      <c r="S872" s="30" t="n"/>
      <c r="T872" s="30" t="n"/>
      <c r="U872" s="30" t="n"/>
      <c r="V872" s="30" t="n"/>
      <c r="W872" s="29">
        <f>IF(H872="","",IF(H872="Kenya","Yes","No"))</f>
        <v/>
      </c>
      <c r="X872" s="29">
        <f>IF(B872="","",IF(COUNTIF($B$5:$B$3004,B872)&gt;1,"DUPLICATE","OK"))</f>
        <v/>
      </c>
      <c r="Y872" s="29">
        <f>IF(OR(U872="",V872="",V872="Excluded"),"",IF(COUNTIFS($U$5:$U$3004,U872,$V$5:$V$3004,"&lt;&gt;"&amp;V872,$V$5:$V$3004,"&lt;&gt;",$V$5:$V$3004,"&lt;&gt;Excluded")&gt;0,"LEAK RISK","OK"))</f>
        <v/>
      </c>
      <c r="Z872" s="30" t="n"/>
    </row>
    <row r="873">
      <c r="A873" s="30" t="n"/>
      <c r="B873" s="30" t="n"/>
      <c r="C873" s="30" t="n"/>
      <c r="D873" s="30" t="n"/>
      <c r="E873" s="30" t="n"/>
      <c r="F873" s="30" t="n"/>
      <c r="G873" s="30" t="n"/>
      <c r="H873" s="30" t="n"/>
      <c r="I873" s="31" t="n"/>
      <c r="J873" s="30" t="n"/>
      <c r="K873" s="30" t="n"/>
      <c r="L873" s="30" t="n"/>
      <c r="M873" s="30" t="n"/>
      <c r="N873" s="32" t="n"/>
      <c r="O873" s="30" t="n"/>
      <c r="P873" s="32" t="n"/>
      <c r="Q873" s="30" t="n"/>
      <c r="R873" s="32" t="n"/>
      <c r="S873" s="30" t="n"/>
      <c r="T873" s="30" t="n"/>
      <c r="U873" s="30" t="n"/>
      <c r="V873" s="30" t="n"/>
      <c r="W873" s="29">
        <f>IF(H873="","",IF(H873="Kenya","Yes","No"))</f>
        <v/>
      </c>
      <c r="X873" s="29">
        <f>IF(B873="","",IF(COUNTIF($B$5:$B$3004,B873)&gt;1,"DUPLICATE","OK"))</f>
        <v/>
      </c>
      <c r="Y873" s="29">
        <f>IF(OR(U873="",V873="",V873="Excluded"),"",IF(COUNTIFS($U$5:$U$3004,U873,$V$5:$V$3004,"&lt;&gt;"&amp;V873,$V$5:$V$3004,"&lt;&gt;",$V$5:$V$3004,"&lt;&gt;Excluded")&gt;0,"LEAK RISK","OK"))</f>
        <v/>
      </c>
      <c r="Z873" s="30" t="n"/>
    </row>
    <row r="874">
      <c r="A874" s="30" t="n"/>
      <c r="B874" s="30" t="n"/>
      <c r="C874" s="30" t="n"/>
      <c r="D874" s="30" t="n"/>
      <c r="E874" s="30" t="n"/>
      <c r="F874" s="30" t="n"/>
      <c r="G874" s="30" t="n"/>
      <c r="H874" s="30" t="n"/>
      <c r="I874" s="31" t="n"/>
      <c r="J874" s="30" t="n"/>
      <c r="K874" s="30" t="n"/>
      <c r="L874" s="30" t="n"/>
      <c r="M874" s="30" t="n"/>
      <c r="N874" s="32" t="n"/>
      <c r="O874" s="30" t="n"/>
      <c r="P874" s="32" t="n"/>
      <c r="Q874" s="30" t="n"/>
      <c r="R874" s="32" t="n"/>
      <c r="S874" s="30" t="n"/>
      <c r="T874" s="30" t="n"/>
      <c r="U874" s="30" t="n"/>
      <c r="V874" s="30" t="n"/>
      <c r="W874" s="29">
        <f>IF(H874="","",IF(H874="Kenya","Yes","No"))</f>
        <v/>
      </c>
      <c r="X874" s="29">
        <f>IF(B874="","",IF(COUNTIF($B$5:$B$3004,B874)&gt;1,"DUPLICATE","OK"))</f>
        <v/>
      </c>
      <c r="Y874" s="29">
        <f>IF(OR(U874="",V874="",V874="Excluded"),"",IF(COUNTIFS($U$5:$U$3004,U874,$V$5:$V$3004,"&lt;&gt;"&amp;V874,$V$5:$V$3004,"&lt;&gt;",$V$5:$V$3004,"&lt;&gt;Excluded")&gt;0,"LEAK RISK","OK"))</f>
        <v/>
      </c>
      <c r="Z874" s="30" t="n"/>
    </row>
    <row r="875">
      <c r="A875" s="30" t="n"/>
      <c r="B875" s="30" t="n"/>
      <c r="C875" s="30" t="n"/>
      <c r="D875" s="30" t="n"/>
      <c r="E875" s="30" t="n"/>
      <c r="F875" s="30" t="n"/>
      <c r="G875" s="30" t="n"/>
      <c r="H875" s="30" t="n"/>
      <c r="I875" s="31" t="n"/>
      <c r="J875" s="30" t="n"/>
      <c r="K875" s="30" t="n"/>
      <c r="L875" s="30" t="n"/>
      <c r="M875" s="30" t="n"/>
      <c r="N875" s="32" t="n"/>
      <c r="O875" s="30" t="n"/>
      <c r="P875" s="32" t="n"/>
      <c r="Q875" s="30" t="n"/>
      <c r="R875" s="32" t="n"/>
      <c r="S875" s="30" t="n"/>
      <c r="T875" s="30" t="n"/>
      <c r="U875" s="30" t="n"/>
      <c r="V875" s="30" t="n"/>
      <c r="W875" s="29">
        <f>IF(H875="","",IF(H875="Kenya","Yes","No"))</f>
        <v/>
      </c>
      <c r="X875" s="29">
        <f>IF(B875="","",IF(COUNTIF($B$5:$B$3004,B875)&gt;1,"DUPLICATE","OK"))</f>
        <v/>
      </c>
      <c r="Y875" s="29">
        <f>IF(OR(U875="",V875="",V875="Excluded"),"",IF(COUNTIFS($U$5:$U$3004,U875,$V$5:$V$3004,"&lt;&gt;"&amp;V875,$V$5:$V$3004,"&lt;&gt;",$V$5:$V$3004,"&lt;&gt;Excluded")&gt;0,"LEAK RISK","OK"))</f>
        <v/>
      </c>
      <c r="Z875" s="30" t="n"/>
    </row>
    <row r="876">
      <c r="A876" s="30" t="n"/>
      <c r="B876" s="30" t="n"/>
      <c r="C876" s="30" t="n"/>
      <c r="D876" s="30" t="n"/>
      <c r="E876" s="30" t="n"/>
      <c r="F876" s="30" t="n"/>
      <c r="G876" s="30" t="n"/>
      <c r="H876" s="30" t="n"/>
      <c r="I876" s="31" t="n"/>
      <c r="J876" s="30" t="n"/>
      <c r="K876" s="30" t="n"/>
      <c r="L876" s="30" t="n"/>
      <c r="M876" s="30" t="n"/>
      <c r="N876" s="32" t="n"/>
      <c r="O876" s="30" t="n"/>
      <c r="P876" s="32" t="n"/>
      <c r="Q876" s="30" t="n"/>
      <c r="R876" s="32" t="n"/>
      <c r="S876" s="30" t="n"/>
      <c r="T876" s="30" t="n"/>
      <c r="U876" s="30" t="n"/>
      <c r="V876" s="30" t="n"/>
      <c r="W876" s="29">
        <f>IF(H876="","",IF(H876="Kenya","Yes","No"))</f>
        <v/>
      </c>
      <c r="X876" s="29">
        <f>IF(B876="","",IF(COUNTIF($B$5:$B$3004,B876)&gt;1,"DUPLICATE","OK"))</f>
        <v/>
      </c>
      <c r="Y876" s="29">
        <f>IF(OR(U876="",V876="",V876="Excluded"),"",IF(COUNTIFS($U$5:$U$3004,U876,$V$5:$V$3004,"&lt;&gt;"&amp;V876,$V$5:$V$3004,"&lt;&gt;",$V$5:$V$3004,"&lt;&gt;Excluded")&gt;0,"LEAK RISK","OK"))</f>
        <v/>
      </c>
      <c r="Z876" s="30" t="n"/>
    </row>
    <row r="877">
      <c r="A877" s="30" t="n"/>
      <c r="B877" s="30" t="n"/>
      <c r="C877" s="30" t="n"/>
      <c r="D877" s="30" t="n"/>
      <c r="E877" s="30" t="n"/>
      <c r="F877" s="30" t="n"/>
      <c r="G877" s="30" t="n"/>
      <c r="H877" s="30" t="n"/>
      <c r="I877" s="31" t="n"/>
      <c r="J877" s="30" t="n"/>
      <c r="K877" s="30" t="n"/>
      <c r="L877" s="30" t="n"/>
      <c r="M877" s="30" t="n"/>
      <c r="N877" s="32" t="n"/>
      <c r="O877" s="30" t="n"/>
      <c r="P877" s="32" t="n"/>
      <c r="Q877" s="30" t="n"/>
      <c r="R877" s="32" t="n"/>
      <c r="S877" s="30" t="n"/>
      <c r="T877" s="30" t="n"/>
      <c r="U877" s="30" t="n"/>
      <c r="V877" s="30" t="n"/>
      <c r="W877" s="29">
        <f>IF(H877="","",IF(H877="Kenya","Yes","No"))</f>
        <v/>
      </c>
      <c r="X877" s="29">
        <f>IF(B877="","",IF(COUNTIF($B$5:$B$3004,B877)&gt;1,"DUPLICATE","OK"))</f>
        <v/>
      </c>
      <c r="Y877" s="29">
        <f>IF(OR(U877="",V877="",V877="Excluded"),"",IF(COUNTIFS($U$5:$U$3004,U877,$V$5:$V$3004,"&lt;&gt;"&amp;V877,$V$5:$V$3004,"&lt;&gt;",$V$5:$V$3004,"&lt;&gt;Excluded")&gt;0,"LEAK RISK","OK"))</f>
        <v/>
      </c>
      <c r="Z877" s="30" t="n"/>
    </row>
    <row r="878">
      <c r="A878" s="30" t="n"/>
      <c r="B878" s="30" t="n"/>
      <c r="C878" s="30" t="n"/>
      <c r="D878" s="30" t="n"/>
      <c r="E878" s="30" t="n"/>
      <c r="F878" s="30" t="n"/>
      <c r="G878" s="30" t="n"/>
      <c r="H878" s="30" t="n"/>
      <c r="I878" s="31" t="n"/>
      <c r="J878" s="30" t="n"/>
      <c r="K878" s="30" t="n"/>
      <c r="L878" s="30" t="n"/>
      <c r="M878" s="30" t="n"/>
      <c r="N878" s="32" t="n"/>
      <c r="O878" s="30" t="n"/>
      <c r="P878" s="32" t="n"/>
      <c r="Q878" s="30" t="n"/>
      <c r="R878" s="32" t="n"/>
      <c r="S878" s="30" t="n"/>
      <c r="T878" s="30" t="n"/>
      <c r="U878" s="30" t="n"/>
      <c r="V878" s="30" t="n"/>
      <c r="W878" s="29">
        <f>IF(H878="","",IF(H878="Kenya","Yes","No"))</f>
        <v/>
      </c>
      <c r="X878" s="29">
        <f>IF(B878="","",IF(COUNTIF($B$5:$B$3004,B878)&gt;1,"DUPLICATE","OK"))</f>
        <v/>
      </c>
      <c r="Y878" s="29">
        <f>IF(OR(U878="",V878="",V878="Excluded"),"",IF(COUNTIFS($U$5:$U$3004,U878,$V$5:$V$3004,"&lt;&gt;"&amp;V878,$V$5:$V$3004,"&lt;&gt;",$V$5:$V$3004,"&lt;&gt;Excluded")&gt;0,"LEAK RISK","OK"))</f>
        <v/>
      </c>
      <c r="Z878" s="30" t="n"/>
    </row>
    <row r="879">
      <c r="A879" s="30" t="n"/>
      <c r="B879" s="30" t="n"/>
      <c r="C879" s="30" t="n"/>
      <c r="D879" s="30" t="n"/>
      <c r="E879" s="30" t="n"/>
      <c r="F879" s="30" t="n"/>
      <c r="G879" s="30" t="n"/>
      <c r="H879" s="30" t="n"/>
      <c r="I879" s="31" t="n"/>
      <c r="J879" s="30" t="n"/>
      <c r="K879" s="30" t="n"/>
      <c r="L879" s="30" t="n"/>
      <c r="M879" s="30" t="n"/>
      <c r="N879" s="32" t="n"/>
      <c r="O879" s="30" t="n"/>
      <c r="P879" s="32" t="n"/>
      <c r="Q879" s="30" t="n"/>
      <c r="R879" s="32" t="n"/>
      <c r="S879" s="30" t="n"/>
      <c r="T879" s="30" t="n"/>
      <c r="U879" s="30" t="n"/>
      <c r="V879" s="30" t="n"/>
      <c r="W879" s="29">
        <f>IF(H879="","",IF(H879="Kenya","Yes","No"))</f>
        <v/>
      </c>
      <c r="X879" s="29">
        <f>IF(B879="","",IF(COUNTIF($B$5:$B$3004,B879)&gt;1,"DUPLICATE","OK"))</f>
        <v/>
      </c>
      <c r="Y879" s="29">
        <f>IF(OR(U879="",V879="",V879="Excluded"),"",IF(COUNTIFS($U$5:$U$3004,U879,$V$5:$V$3004,"&lt;&gt;"&amp;V879,$V$5:$V$3004,"&lt;&gt;",$V$5:$V$3004,"&lt;&gt;Excluded")&gt;0,"LEAK RISK","OK"))</f>
        <v/>
      </c>
      <c r="Z879" s="30" t="n"/>
    </row>
    <row r="880">
      <c r="A880" s="30" t="n"/>
      <c r="B880" s="30" t="n"/>
      <c r="C880" s="30" t="n"/>
      <c r="D880" s="30" t="n"/>
      <c r="E880" s="30" t="n"/>
      <c r="F880" s="30" t="n"/>
      <c r="G880" s="30" t="n"/>
      <c r="H880" s="30" t="n"/>
      <c r="I880" s="31" t="n"/>
      <c r="J880" s="30" t="n"/>
      <c r="K880" s="30" t="n"/>
      <c r="L880" s="30" t="n"/>
      <c r="M880" s="30" t="n"/>
      <c r="N880" s="32" t="n"/>
      <c r="O880" s="30" t="n"/>
      <c r="P880" s="32" t="n"/>
      <c r="Q880" s="30" t="n"/>
      <c r="R880" s="32" t="n"/>
      <c r="S880" s="30" t="n"/>
      <c r="T880" s="30" t="n"/>
      <c r="U880" s="30" t="n"/>
      <c r="V880" s="30" t="n"/>
      <c r="W880" s="29">
        <f>IF(H880="","",IF(H880="Kenya","Yes","No"))</f>
        <v/>
      </c>
      <c r="X880" s="29">
        <f>IF(B880="","",IF(COUNTIF($B$5:$B$3004,B880)&gt;1,"DUPLICATE","OK"))</f>
        <v/>
      </c>
      <c r="Y880" s="29">
        <f>IF(OR(U880="",V880="",V880="Excluded"),"",IF(COUNTIFS($U$5:$U$3004,U880,$V$5:$V$3004,"&lt;&gt;"&amp;V880,$V$5:$V$3004,"&lt;&gt;",$V$5:$V$3004,"&lt;&gt;Excluded")&gt;0,"LEAK RISK","OK"))</f>
        <v/>
      </c>
      <c r="Z880" s="30" t="n"/>
    </row>
    <row r="881">
      <c r="A881" s="30" t="n"/>
      <c r="B881" s="30" t="n"/>
      <c r="C881" s="30" t="n"/>
      <c r="D881" s="30" t="n"/>
      <c r="E881" s="30" t="n"/>
      <c r="F881" s="30" t="n"/>
      <c r="G881" s="30" t="n"/>
      <c r="H881" s="30" t="n"/>
      <c r="I881" s="31" t="n"/>
      <c r="J881" s="30" t="n"/>
      <c r="K881" s="30" t="n"/>
      <c r="L881" s="30" t="n"/>
      <c r="M881" s="30" t="n"/>
      <c r="N881" s="32" t="n"/>
      <c r="O881" s="30" t="n"/>
      <c r="P881" s="32" t="n"/>
      <c r="Q881" s="30" t="n"/>
      <c r="R881" s="32" t="n"/>
      <c r="S881" s="30" t="n"/>
      <c r="T881" s="30" t="n"/>
      <c r="U881" s="30" t="n"/>
      <c r="V881" s="30" t="n"/>
      <c r="W881" s="29">
        <f>IF(H881="","",IF(H881="Kenya","Yes","No"))</f>
        <v/>
      </c>
      <c r="X881" s="29">
        <f>IF(B881="","",IF(COUNTIF($B$5:$B$3004,B881)&gt;1,"DUPLICATE","OK"))</f>
        <v/>
      </c>
      <c r="Y881" s="29">
        <f>IF(OR(U881="",V881="",V881="Excluded"),"",IF(COUNTIFS($U$5:$U$3004,U881,$V$5:$V$3004,"&lt;&gt;"&amp;V881,$V$5:$V$3004,"&lt;&gt;",$V$5:$V$3004,"&lt;&gt;Excluded")&gt;0,"LEAK RISK","OK"))</f>
        <v/>
      </c>
      <c r="Z881" s="30" t="n"/>
    </row>
    <row r="882">
      <c r="A882" s="30" t="n"/>
      <c r="B882" s="30" t="n"/>
      <c r="C882" s="30" t="n"/>
      <c r="D882" s="30" t="n"/>
      <c r="E882" s="30" t="n"/>
      <c r="F882" s="30" t="n"/>
      <c r="G882" s="30" t="n"/>
      <c r="H882" s="30" t="n"/>
      <c r="I882" s="31" t="n"/>
      <c r="J882" s="30" t="n"/>
      <c r="K882" s="30" t="n"/>
      <c r="L882" s="30" t="n"/>
      <c r="M882" s="30" t="n"/>
      <c r="N882" s="32" t="n"/>
      <c r="O882" s="30" t="n"/>
      <c r="P882" s="32" t="n"/>
      <c r="Q882" s="30" t="n"/>
      <c r="R882" s="32" t="n"/>
      <c r="S882" s="30" t="n"/>
      <c r="T882" s="30" t="n"/>
      <c r="U882" s="30" t="n"/>
      <c r="V882" s="30" t="n"/>
      <c r="W882" s="29">
        <f>IF(H882="","",IF(H882="Kenya","Yes","No"))</f>
        <v/>
      </c>
      <c r="X882" s="29">
        <f>IF(B882="","",IF(COUNTIF($B$5:$B$3004,B882)&gt;1,"DUPLICATE","OK"))</f>
        <v/>
      </c>
      <c r="Y882" s="29">
        <f>IF(OR(U882="",V882="",V882="Excluded"),"",IF(COUNTIFS($U$5:$U$3004,U882,$V$5:$V$3004,"&lt;&gt;"&amp;V882,$V$5:$V$3004,"&lt;&gt;",$V$5:$V$3004,"&lt;&gt;Excluded")&gt;0,"LEAK RISK","OK"))</f>
        <v/>
      </c>
      <c r="Z882" s="30" t="n"/>
    </row>
    <row r="883">
      <c r="A883" s="30" t="n"/>
      <c r="B883" s="30" t="n"/>
      <c r="C883" s="30" t="n"/>
      <c r="D883" s="30" t="n"/>
      <c r="E883" s="30" t="n"/>
      <c r="F883" s="30" t="n"/>
      <c r="G883" s="30" t="n"/>
      <c r="H883" s="30" t="n"/>
      <c r="I883" s="31" t="n"/>
      <c r="J883" s="30" t="n"/>
      <c r="K883" s="30" t="n"/>
      <c r="L883" s="30" t="n"/>
      <c r="M883" s="30" t="n"/>
      <c r="N883" s="32" t="n"/>
      <c r="O883" s="30" t="n"/>
      <c r="P883" s="32" t="n"/>
      <c r="Q883" s="30" t="n"/>
      <c r="R883" s="32" t="n"/>
      <c r="S883" s="30" t="n"/>
      <c r="T883" s="30" t="n"/>
      <c r="U883" s="30" t="n"/>
      <c r="V883" s="30" t="n"/>
      <c r="W883" s="29">
        <f>IF(H883="","",IF(H883="Kenya","Yes","No"))</f>
        <v/>
      </c>
      <c r="X883" s="29">
        <f>IF(B883="","",IF(COUNTIF($B$5:$B$3004,B883)&gt;1,"DUPLICATE","OK"))</f>
        <v/>
      </c>
      <c r="Y883" s="29">
        <f>IF(OR(U883="",V883="",V883="Excluded"),"",IF(COUNTIFS($U$5:$U$3004,U883,$V$5:$V$3004,"&lt;&gt;"&amp;V883,$V$5:$V$3004,"&lt;&gt;",$V$5:$V$3004,"&lt;&gt;Excluded")&gt;0,"LEAK RISK","OK"))</f>
        <v/>
      </c>
      <c r="Z883" s="30" t="n"/>
    </row>
    <row r="884">
      <c r="A884" s="30" t="n"/>
      <c r="B884" s="30" t="n"/>
      <c r="C884" s="30" t="n"/>
      <c r="D884" s="30" t="n"/>
      <c r="E884" s="30" t="n"/>
      <c r="F884" s="30" t="n"/>
      <c r="G884" s="30" t="n"/>
      <c r="H884" s="30" t="n"/>
      <c r="I884" s="31" t="n"/>
      <c r="J884" s="30" t="n"/>
      <c r="K884" s="30" t="n"/>
      <c r="L884" s="30" t="n"/>
      <c r="M884" s="30" t="n"/>
      <c r="N884" s="32" t="n"/>
      <c r="O884" s="30" t="n"/>
      <c r="P884" s="32" t="n"/>
      <c r="Q884" s="30" t="n"/>
      <c r="R884" s="32" t="n"/>
      <c r="S884" s="30" t="n"/>
      <c r="T884" s="30" t="n"/>
      <c r="U884" s="30" t="n"/>
      <c r="V884" s="30" t="n"/>
      <c r="W884" s="29">
        <f>IF(H884="","",IF(H884="Kenya","Yes","No"))</f>
        <v/>
      </c>
      <c r="X884" s="29">
        <f>IF(B884="","",IF(COUNTIF($B$5:$B$3004,B884)&gt;1,"DUPLICATE","OK"))</f>
        <v/>
      </c>
      <c r="Y884" s="29">
        <f>IF(OR(U884="",V884="",V884="Excluded"),"",IF(COUNTIFS($U$5:$U$3004,U884,$V$5:$V$3004,"&lt;&gt;"&amp;V884,$V$5:$V$3004,"&lt;&gt;",$V$5:$V$3004,"&lt;&gt;Excluded")&gt;0,"LEAK RISK","OK"))</f>
        <v/>
      </c>
      <c r="Z884" s="30" t="n"/>
    </row>
    <row r="885">
      <c r="A885" s="30" t="n"/>
      <c r="B885" s="30" t="n"/>
      <c r="C885" s="30" t="n"/>
      <c r="D885" s="30" t="n"/>
      <c r="E885" s="30" t="n"/>
      <c r="F885" s="30" t="n"/>
      <c r="G885" s="30" t="n"/>
      <c r="H885" s="30" t="n"/>
      <c r="I885" s="31" t="n"/>
      <c r="J885" s="30" t="n"/>
      <c r="K885" s="30" t="n"/>
      <c r="L885" s="30" t="n"/>
      <c r="M885" s="30" t="n"/>
      <c r="N885" s="32" t="n"/>
      <c r="O885" s="30" t="n"/>
      <c r="P885" s="32" t="n"/>
      <c r="Q885" s="30" t="n"/>
      <c r="R885" s="32" t="n"/>
      <c r="S885" s="30" t="n"/>
      <c r="T885" s="30" t="n"/>
      <c r="U885" s="30" t="n"/>
      <c r="V885" s="30" t="n"/>
      <c r="W885" s="29">
        <f>IF(H885="","",IF(H885="Kenya","Yes","No"))</f>
        <v/>
      </c>
      <c r="X885" s="29">
        <f>IF(B885="","",IF(COUNTIF($B$5:$B$3004,B885)&gt;1,"DUPLICATE","OK"))</f>
        <v/>
      </c>
      <c r="Y885" s="29">
        <f>IF(OR(U885="",V885="",V885="Excluded"),"",IF(COUNTIFS($U$5:$U$3004,U885,$V$5:$V$3004,"&lt;&gt;"&amp;V885,$V$5:$V$3004,"&lt;&gt;",$V$5:$V$3004,"&lt;&gt;Excluded")&gt;0,"LEAK RISK","OK"))</f>
        <v/>
      </c>
      <c r="Z885" s="30" t="n"/>
    </row>
    <row r="886">
      <c r="A886" s="30" t="n"/>
      <c r="B886" s="30" t="n"/>
      <c r="C886" s="30" t="n"/>
      <c r="D886" s="30" t="n"/>
      <c r="E886" s="30" t="n"/>
      <c r="F886" s="30" t="n"/>
      <c r="G886" s="30" t="n"/>
      <c r="H886" s="30" t="n"/>
      <c r="I886" s="31" t="n"/>
      <c r="J886" s="30" t="n"/>
      <c r="K886" s="30" t="n"/>
      <c r="L886" s="30" t="n"/>
      <c r="M886" s="30" t="n"/>
      <c r="N886" s="32" t="n"/>
      <c r="O886" s="30" t="n"/>
      <c r="P886" s="32" t="n"/>
      <c r="Q886" s="30" t="n"/>
      <c r="R886" s="32" t="n"/>
      <c r="S886" s="30" t="n"/>
      <c r="T886" s="30" t="n"/>
      <c r="U886" s="30" t="n"/>
      <c r="V886" s="30" t="n"/>
      <c r="W886" s="29">
        <f>IF(H886="","",IF(H886="Kenya","Yes","No"))</f>
        <v/>
      </c>
      <c r="X886" s="29">
        <f>IF(B886="","",IF(COUNTIF($B$5:$B$3004,B886)&gt;1,"DUPLICATE","OK"))</f>
        <v/>
      </c>
      <c r="Y886" s="29">
        <f>IF(OR(U886="",V886="",V886="Excluded"),"",IF(COUNTIFS($U$5:$U$3004,U886,$V$5:$V$3004,"&lt;&gt;"&amp;V886,$V$5:$V$3004,"&lt;&gt;",$V$5:$V$3004,"&lt;&gt;Excluded")&gt;0,"LEAK RISK","OK"))</f>
        <v/>
      </c>
      <c r="Z886" s="30" t="n"/>
    </row>
    <row r="887">
      <c r="A887" s="30" t="n"/>
      <c r="B887" s="30" t="n"/>
      <c r="C887" s="30" t="n"/>
      <c r="D887" s="30" t="n"/>
      <c r="E887" s="30" t="n"/>
      <c r="F887" s="30" t="n"/>
      <c r="G887" s="30" t="n"/>
      <c r="H887" s="30" t="n"/>
      <c r="I887" s="31" t="n"/>
      <c r="J887" s="30" t="n"/>
      <c r="K887" s="30" t="n"/>
      <c r="L887" s="30" t="n"/>
      <c r="M887" s="30" t="n"/>
      <c r="N887" s="32" t="n"/>
      <c r="O887" s="30" t="n"/>
      <c r="P887" s="32" t="n"/>
      <c r="Q887" s="30" t="n"/>
      <c r="R887" s="32" t="n"/>
      <c r="S887" s="30" t="n"/>
      <c r="T887" s="30" t="n"/>
      <c r="U887" s="30" t="n"/>
      <c r="V887" s="30" t="n"/>
      <c r="W887" s="29">
        <f>IF(H887="","",IF(H887="Kenya","Yes","No"))</f>
        <v/>
      </c>
      <c r="X887" s="29">
        <f>IF(B887="","",IF(COUNTIF($B$5:$B$3004,B887)&gt;1,"DUPLICATE","OK"))</f>
        <v/>
      </c>
      <c r="Y887" s="29">
        <f>IF(OR(U887="",V887="",V887="Excluded"),"",IF(COUNTIFS($U$5:$U$3004,U887,$V$5:$V$3004,"&lt;&gt;"&amp;V887,$V$5:$V$3004,"&lt;&gt;",$V$5:$V$3004,"&lt;&gt;Excluded")&gt;0,"LEAK RISK","OK"))</f>
        <v/>
      </c>
      <c r="Z887" s="30" t="n"/>
    </row>
    <row r="888">
      <c r="A888" s="30" t="n"/>
      <c r="B888" s="30" t="n"/>
      <c r="C888" s="30" t="n"/>
      <c r="D888" s="30" t="n"/>
      <c r="E888" s="30" t="n"/>
      <c r="F888" s="30" t="n"/>
      <c r="G888" s="30" t="n"/>
      <c r="H888" s="30" t="n"/>
      <c r="I888" s="31" t="n"/>
      <c r="J888" s="30" t="n"/>
      <c r="K888" s="30" t="n"/>
      <c r="L888" s="30" t="n"/>
      <c r="M888" s="30" t="n"/>
      <c r="N888" s="32" t="n"/>
      <c r="O888" s="30" t="n"/>
      <c r="P888" s="32" t="n"/>
      <c r="Q888" s="30" t="n"/>
      <c r="R888" s="32" t="n"/>
      <c r="S888" s="30" t="n"/>
      <c r="T888" s="30" t="n"/>
      <c r="U888" s="30" t="n"/>
      <c r="V888" s="30" t="n"/>
      <c r="W888" s="29">
        <f>IF(H888="","",IF(H888="Kenya","Yes","No"))</f>
        <v/>
      </c>
      <c r="X888" s="29">
        <f>IF(B888="","",IF(COUNTIF($B$5:$B$3004,B888)&gt;1,"DUPLICATE","OK"))</f>
        <v/>
      </c>
      <c r="Y888" s="29">
        <f>IF(OR(U888="",V888="",V888="Excluded"),"",IF(COUNTIFS($U$5:$U$3004,U888,$V$5:$V$3004,"&lt;&gt;"&amp;V888,$V$5:$V$3004,"&lt;&gt;",$V$5:$V$3004,"&lt;&gt;Excluded")&gt;0,"LEAK RISK","OK"))</f>
        <v/>
      </c>
      <c r="Z888" s="30" t="n"/>
    </row>
    <row r="889">
      <c r="A889" s="30" t="n"/>
      <c r="B889" s="30" t="n"/>
      <c r="C889" s="30" t="n"/>
      <c r="D889" s="30" t="n"/>
      <c r="E889" s="30" t="n"/>
      <c r="F889" s="30" t="n"/>
      <c r="G889" s="30" t="n"/>
      <c r="H889" s="30" t="n"/>
      <c r="I889" s="31" t="n"/>
      <c r="J889" s="30" t="n"/>
      <c r="K889" s="30" t="n"/>
      <c r="L889" s="30" t="n"/>
      <c r="M889" s="30" t="n"/>
      <c r="N889" s="32" t="n"/>
      <c r="O889" s="30" t="n"/>
      <c r="P889" s="32" t="n"/>
      <c r="Q889" s="30" t="n"/>
      <c r="R889" s="32" t="n"/>
      <c r="S889" s="30" t="n"/>
      <c r="T889" s="30" t="n"/>
      <c r="U889" s="30" t="n"/>
      <c r="V889" s="30" t="n"/>
      <c r="W889" s="29">
        <f>IF(H889="","",IF(H889="Kenya","Yes","No"))</f>
        <v/>
      </c>
      <c r="X889" s="29">
        <f>IF(B889="","",IF(COUNTIF($B$5:$B$3004,B889)&gt;1,"DUPLICATE","OK"))</f>
        <v/>
      </c>
      <c r="Y889" s="29">
        <f>IF(OR(U889="",V889="",V889="Excluded"),"",IF(COUNTIFS($U$5:$U$3004,U889,$V$5:$V$3004,"&lt;&gt;"&amp;V889,$V$5:$V$3004,"&lt;&gt;",$V$5:$V$3004,"&lt;&gt;Excluded")&gt;0,"LEAK RISK","OK"))</f>
        <v/>
      </c>
      <c r="Z889" s="30" t="n"/>
    </row>
    <row r="890">
      <c r="A890" s="30" t="n"/>
      <c r="B890" s="30" t="n"/>
      <c r="C890" s="30" t="n"/>
      <c r="D890" s="30" t="n"/>
      <c r="E890" s="30" t="n"/>
      <c r="F890" s="30" t="n"/>
      <c r="G890" s="30" t="n"/>
      <c r="H890" s="30" t="n"/>
      <c r="I890" s="31" t="n"/>
      <c r="J890" s="30" t="n"/>
      <c r="K890" s="30" t="n"/>
      <c r="L890" s="30" t="n"/>
      <c r="M890" s="30" t="n"/>
      <c r="N890" s="32" t="n"/>
      <c r="O890" s="30" t="n"/>
      <c r="P890" s="32" t="n"/>
      <c r="Q890" s="30" t="n"/>
      <c r="R890" s="32" t="n"/>
      <c r="S890" s="30" t="n"/>
      <c r="T890" s="30" t="n"/>
      <c r="U890" s="30" t="n"/>
      <c r="V890" s="30" t="n"/>
      <c r="W890" s="29">
        <f>IF(H890="","",IF(H890="Kenya","Yes","No"))</f>
        <v/>
      </c>
      <c r="X890" s="29">
        <f>IF(B890="","",IF(COUNTIF($B$5:$B$3004,B890)&gt;1,"DUPLICATE","OK"))</f>
        <v/>
      </c>
      <c r="Y890" s="29">
        <f>IF(OR(U890="",V890="",V890="Excluded"),"",IF(COUNTIFS($U$5:$U$3004,U890,$V$5:$V$3004,"&lt;&gt;"&amp;V890,$V$5:$V$3004,"&lt;&gt;",$V$5:$V$3004,"&lt;&gt;Excluded")&gt;0,"LEAK RISK","OK"))</f>
        <v/>
      </c>
      <c r="Z890" s="30" t="n"/>
    </row>
    <row r="891">
      <c r="A891" s="30" t="n"/>
      <c r="B891" s="30" t="n"/>
      <c r="C891" s="30" t="n"/>
      <c r="D891" s="30" t="n"/>
      <c r="E891" s="30" t="n"/>
      <c r="F891" s="30" t="n"/>
      <c r="G891" s="30" t="n"/>
      <c r="H891" s="30" t="n"/>
      <c r="I891" s="31" t="n"/>
      <c r="J891" s="30" t="n"/>
      <c r="K891" s="30" t="n"/>
      <c r="L891" s="30" t="n"/>
      <c r="M891" s="30" t="n"/>
      <c r="N891" s="32" t="n"/>
      <c r="O891" s="30" t="n"/>
      <c r="P891" s="32" t="n"/>
      <c r="Q891" s="30" t="n"/>
      <c r="R891" s="32" t="n"/>
      <c r="S891" s="30" t="n"/>
      <c r="T891" s="30" t="n"/>
      <c r="U891" s="30" t="n"/>
      <c r="V891" s="30" t="n"/>
      <c r="W891" s="29">
        <f>IF(H891="","",IF(H891="Kenya","Yes","No"))</f>
        <v/>
      </c>
      <c r="X891" s="29">
        <f>IF(B891="","",IF(COUNTIF($B$5:$B$3004,B891)&gt;1,"DUPLICATE","OK"))</f>
        <v/>
      </c>
      <c r="Y891" s="29">
        <f>IF(OR(U891="",V891="",V891="Excluded"),"",IF(COUNTIFS($U$5:$U$3004,U891,$V$5:$V$3004,"&lt;&gt;"&amp;V891,$V$5:$V$3004,"&lt;&gt;",$V$5:$V$3004,"&lt;&gt;Excluded")&gt;0,"LEAK RISK","OK"))</f>
        <v/>
      </c>
      <c r="Z891" s="30" t="n"/>
    </row>
    <row r="892">
      <c r="A892" s="30" t="n"/>
      <c r="B892" s="30" t="n"/>
      <c r="C892" s="30" t="n"/>
      <c r="D892" s="30" t="n"/>
      <c r="E892" s="30" t="n"/>
      <c r="F892" s="30" t="n"/>
      <c r="G892" s="30" t="n"/>
      <c r="H892" s="30" t="n"/>
      <c r="I892" s="31" t="n"/>
      <c r="J892" s="30" t="n"/>
      <c r="K892" s="30" t="n"/>
      <c r="L892" s="30" t="n"/>
      <c r="M892" s="30" t="n"/>
      <c r="N892" s="32" t="n"/>
      <c r="O892" s="30" t="n"/>
      <c r="P892" s="32" t="n"/>
      <c r="Q892" s="30" t="n"/>
      <c r="R892" s="32" t="n"/>
      <c r="S892" s="30" t="n"/>
      <c r="T892" s="30" t="n"/>
      <c r="U892" s="30" t="n"/>
      <c r="V892" s="30" t="n"/>
      <c r="W892" s="29">
        <f>IF(H892="","",IF(H892="Kenya","Yes","No"))</f>
        <v/>
      </c>
      <c r="X892" s="29">
        <f>IF(B892="","",IF(COUNTIF($B$5:$B$3004,B892)&gt;1,"DUPLICATE","OK"))</f>
        <v/>
      </c>
      <c r="Y892" s="29">
        <f>IF(OR(U892="",V892="",V892="Excluded"),"",IF(COUNTIFS($U$5:$U$3004,U892,$V$5:$V$3004,"&lt;&gt;"&amp;V892,$V$5:$V$3004,"&lt;&gt;",$V$5:$V$3004,"&lt;&gt;Excluded")&gt;0,"LEAK RISK","OK"))</f>
        <v/>
      </c>
      <c r="Z892" s="30" t="n"/>
    </row>
    <row r="893">
      <c r="A893" s="30" t="n"/>
      <c r="B893" s="30" t="n"/>
      <c r="C893" s="30" t="n"/>
      <c r="D893" s="30" t="n"/>
      <c r="E893" s="30" t="n"/>
      <c r="F893" s="30" t="n"/>
      <c r="G893" s="30" t="n"/>
      <c r="H893" s="30" t="n"/>
      <c r="I893" s="31" t="n"/>
      <c r="J893" s="30" t="n"/>
      <c r="K893" s="30" t="n"/>
      <c r="L893" s="30" t="n"/>
      <c r="M893" s="30" t="n"/>
      <c r="N893" s="32" t="n"/>
      <c r="O893" s="30" t="n"/>
      <c r="P893" s="32" t="n"/>
      <c r="Q893" s="30" t="n"/>
      <c r="R893" s="32" t="n"/>
      <c r="S893" s="30" t="n"/>
      <c r="T893" s="30" t="n"/>
      <c r="U893" s="30" t="n"/>
      <c r="V893" s="30" t="n"/>
      <c r="W893" s="29">
        <f>IF(H893="","",IF(H893="Kenya","Yes","No"))</f>
        <v/>
      </c>
      <c r="X893" s="29">
        <f>IF(B893="","",IF(COUNTIF($B$5:$B$3004,B893)&gt;1,"DUPLICATE","OK"))</f>
        <v/>
      </c>
      <c r="Y893" s="29">
        <f>IF(OR(U893="",V893="",V893="Excluded"),"",IF(COUNTIFS($U$5:$U$3004,U893,$V$5:$V$3004,"&lt;&gt;"&amp;V893,$V$5:$V$3004,"&lt;&gt;",$V$5:$V$3004,"&lt;&gt;Excluded")&gt;0,"LEAK RISK","OK"))</f>
        <v/>
      </c>
      <c r="Z893" s="30" t="n"/>
    </row>
    <row r="894">
      <c r="A894" s="30" t="n"/>
      <c r="B894" s="30" t="n"/>
      <c r="C894" s="30" t="n"/>
      <c r="D894" s="30" t="n"/>
      <c r="E894" s="30" t="n"/>
      <c r="F894" s="30" t="n"/>
      <c r="G894" s="30" t="n"/>
      <c r="H894" s="30" t="n"/>
      <c r="I894" s="31" t="n"/>
      <c r="J894" s="30" t="n"/>
      <c r="K894" s="30" t="n"/>
      <c r="L894" s="30" t="n"/>
      <c r="M894" s="30" t="n"/>
      <c r="N894" s="32" t="n"/>
      <c r="O894" s="30" t="n"/>
      <c r="P894" s="32" t="n"/>
      <c r="Q894" s="30" t="n"/>
      <c r="R894" s="32" t="n"/>
      <c r="S894" s="30" t="n"/>
      <c r="T894" s="30" t="n"/>
      <c r="U894" s="30" t="n"/>
      <c r="V894" s="30" t="n"/>
      <c r="W894" s="29">
        <f>IF(H894="","",IF(H894="Kenya","Yes","No"))</f>
        <v/>
      </c>
      <c r="X894" s="29">
        <f>IF(B894="","",IF(COUNTIF($B$5:$B$3004,B894)&gt;1,"DUPLICATE","OK"))</f>
        <v/>
      </c>
      <c r="Y894" s="29">
        <f>IF(OR(U894="",V894="",V894="Excluded"),"",IF(COUNTIFS($U$5:$U$3004,U894,$V$5:$V$3004,"&lt;&gt;"&amp;V894,$V$5:$V$3004,"&lt;&gt;",$V$5:$V$3004,"&lt;&gt;Excluded")&gt;0,"LEAK RISK","OK"))</f>
        <v/>
      </c>
      <c r="Z894" s="30" t="n"/>
    </row>
    <row r="895">
      <c r="A895" s="30" t="n"/>
      <c r="B895" s="30" t="n"/>
      <c r="C895" s="30" t="n"/>
      <c r="D895" s="30" t="n"/>
      <c r="E895" s="30" t="n"/>
      <c r="F895" s="30" t="n"/>
      <c r="G895" s="30" t="n"/>
      <c r="H895" s="30" t="n"/>
      <c r="I895" s="31" t="n"/>
      <c r="J895" s="30" t="n"/>
      <c r="K895" s="30" t="n"/>
      <c r="L895" s="30" t="n"/>
      <c r="M895" s="30" t="n"/>
      <c r="N895" s="32" t="n"/>
      <c r="O895" s="30" t="n"/>
      <c r="P895" s="32" t="n"/>
      <c r="Q895" s="30" t="n"/>
      <c r="R895" s="32" t="n"/>
      <c r="S895" s="30" t="n"/>
      <c r="T895" s="30" t="n"/>
      <c r="U895" s="30" t="n"/>
      <c r="V895" s="30" t="n"/>
      <c r="W895" s="29">
        <f>IF(H895="","",IF(H895="Kenya","Yes","No"))</f>
        <v/>
      </c>
      <c r="X895" s="29">
        <f>IF(B895="","",IF(COUNTIF($B$5:$B$3004,B895)&gt;1,"DUPLICATE","OK"))</f>
        <v/>
      </c>
      <c r="Y895" s="29">
        <f>IF(OR(U895="",V895="",V895="Excluded"),"",IF(COUNTIFS($U$5:$U$3004,U895,$V$5:$V$3004,"&lt;&gt;"&amp;V895,$V$5:$V$3004,"&lt;&gt;",$V$5:$V$3004,"&lt;&gt;Excluded")&gt;0,"LEAK RISK","OK"))</f>
        <v/>
      </c>
      <c r="Z895" s="30" t="n"/>
    </row>
    <row r="896">
      <c r="A896" s="30" t="n"/>
      <c r="B896" s="30" t="n"/>
      <c r="C896" s="30" t="n"/>
      <c r="D896" s="30" t="n"/>
      <c r="E896" s="30" t="n"/>
      <c r="F896" s="30" t="n"/>
      <c r="G896" s="30" t="n"/>
      <c r="H896" s="30" t="n"/>
      <c r="I896" s="31" t="n"/>
      <c r="J896" s="30" t="n"/>
      <c r="K896" s="30" t="n"/>
      <c r="L896" s="30" t="n"/>
      <c r="M896" s="30" t="n"/>
      <c r="N896" s="32" t="n"/>
      <c r="O896" s="30" t="n"/>
      <c r="P896" s="32" t="n"/>
      <c r="Q896" s="30" t="n"/>
      <c r="R896" s="32" t="n"/>
      <c r="S896" s="30" t="n"/>
      <c r="T896" s="30" t="n"/>
      <c r="U896" s="30" t="n"/>
      <c r="V896" s="30" t="n"/>
      <c r="W896" s="29">
        <f>IF(H896="","",IF(H896="Kenya","Yes","No"))</f>
        <v/>
      </c>
      <c r="X896" s="29">
        <f>IF(B896="","",IF(COUNTIF($B$5:$B$3004,B896)&gt;1,"DUPLICATE","OK"))</f>
        <v/>
      </c>
      <c r="Y896" s="29">
        <f>IF(OR(U896="",V896="",V896="Excluded"),"",IF(COUNTIFS($U$5:$U$3004,U896,$V$5:$V$3004,"&lt;&gt;"&amp;V896,$V$5:$V$3004,"&lt;&gt;",$V$5:$V$3004,"&lt;&gt;Excluded")&gt;0,"LEAK RISK","OK"))</f>
        <v/>
      </c>
      <c r="Z896" s="30" t="n"/>
    </row>
    <row r="897">
      <c r="A897" s="30" t="n"/>
      <c r="B897" s="30" t="n"/>
      <c r="C897" s="30" t="n"/>
      <c r="D897" s="30" t="n"/>
      <c r="E897" s="30" t="n"/>
      <c r="F897" s="30" t="n"/>
      <c r="G897" s="30" t="n"/>
      <c r="H897" s="30" t="n"/>
      <c r="I897" s="31" t="n"/>
      <c r="J897" s="30" t="n"/>
      <c r="K897" s="30" t="n"/>
      <c r="L897" s="30" t="n"/>
      <c r="M897" s="30" t="n"/>
      <c r="N897" s="32" t="n"/>
      <c r="O897" s="30" t="n"/>
      <c r="P897" s="32" t="n"/>
      <c r="Q897" s="30" t="n"/>
      <c r="R897" s="32" t="n"/>
      <c r="S897" s="30" t="n"/>
      <c r="T897" s="30" t="n"/>
      <c r="U897" s="30" t="n"/>
      <c r="V897" s="30" t="n"/>
      <c r="W897" s="29">
        <f>IF(H897="","",IF(H897="Kenya","Yes","No"))</f>
        <v/>
      </c>
      <c r="X897" s="29">
        <f>IF(B897="","",IF(COUNTIF($B$5:$B$3004,B897)&gt;1,"DUPLICATE","OK"))</f>
        <v/>
      </c>
      <c r="Y897" s="29">
        <f>IF(OR(U897="",V897="",V897="Excluded"),"",IF(COUNTIFS($U$5:$U$3004,U897,$V$5:$V$3004,"&lt;&gt;"&amp;V897,$V$5:$V$3004,"&lt;&gt;",$V$5:$V$3004,"&lt;&gt;Excluded")&gt;0,"LEAK RISK","OK"))</f>
        <v/>
      </c>
      <c r="Z897" s="30" t="n"/>
    </row>
    <row r="898">
      <c r="A898" s="30" t="n"/>
      <c r="B898" s="30" t="n"/>
      <c r="C898" s="30" t="n"/>
      <c r="D898" s="30" t="n"/>
      <c r="E898" s="30" t="n"/>
      <c r="F898" s="30" t="n"/>
      <c r="G898" s="30" t="n"/>
      <c r="H898" s="30" t="n"/>
      <c r="I898" s="31" t="n"/>
      <c r="J898" s="30" t="n"/>
      <c r="K898" s="30" t="n"/>
      <c r="L898" s="30" t="n"/>
      <c r="M898" s="30" t="n"/>
      <c r="N898" s="32" t="n"/>
      <c r="O898" s="30" t="n"/>
      <c r="P898" s="32" t="n"/>
      <c r="Q898" s="30" t="n"/>
      <c r="R898" s="32" t="n"/>
      <c r="S898" s="30" t="n"/>
      <c r="T898" s="30" t="n"/>
      <c r="U898" s="30" t="n"/>
      <c r="V898" s="30" t="n"/>
      <c r="W898" s="29">
        <f>IF(H898="","",IF(H898="Kenya","Yes","No"))</f>
        <v/>
      </c>
      <c r="X898" s="29">
        <f>IF(B898="","",IF(COUNTIF($B$5:$B$3004,B898)&gt;1,"DUPLICATE","OK"))</f>
        <v/>
      </c>
      <c r="Y898" s="29">
        <f>IF(OR(U898="",V898="",V898="Excluded"),"",IF(COUNTIFS($U$5:$U$3004,U898,$V$5:$V$3004,"&lt;&gt;"&amp;V898,$V$5:$V$3004,"&lt;&gt;",$V$5:$V$3004,"&lt;&gt;Excluded")&gt;0,"LEAK RISK","OK"))</f>
        <v/>
      </c>
      <c r="Z898" s="30" t="n"/>
    </row>
    <row r="899">
      <c r="A899" s="30" t="n"/>
      <c r="B899" s="30" t="n"/>
      <c r="C899" s="30" t="n"/>
      <c r="D899" s="30" t="n"/>
      <c r="E899" s="30" t="n"/>
      <c r="F899" s="30" t="n"/>
      <c r="G899" s="30" t="n"/>
      <c r="H899" s="30" t="n"/>
      <c r="I899" s="31" t="n"/>
      <c r="J899" s="30" t="n"/>
      <c r="K899" s="30" t="n"/>
      <c r="L899" s="30" t="n"/>
      <c r="M899" s="30" t="n"/>
      <c r="N899" s="32" t="n"/>
      <c r="O899" s="30" t="n"/>
      <c r="P899" s="32" t="n"/>
      <c r="Q899" s="30" t="n"/>
      <c r="R899" s="32" t="n"/>
      <c r="S899" s="30" t="n"/>
      <c r="T899" s="30" t="n"/>
      <c r="U899" s="30" t="n"/>
      <c r="V899" s="30" t="n"/>
      <c r="W899" s="29">
        <f>IF(H899="","",IF(H899="Kenya","Yes","No"))</f>
        <v/>
      </c>
      <c r="X899" s="29">
        <f>IF(B899="","",IF(COUNTIF($B$5:$B$3004,B899)&gt;1,"DUPLICATE","OK"))</f>
        <v/>
      </c>
      <c r="Y899" s="29">
        <f>IF(OR(U899="",V899="",V899="Excluded"),"",IF(COUNTIFS($U$5:$U$3004,U899,$V$5:$V$3004,"&lt;&gt;"&amp;V899,$V$5:$V$3004,"&lt;&gt;",$V$5:$V$3004,"&lt;&gt;Excluded")&gt;0,"LEAK RISK","OK"))</f>
        <v/>
      </c>
      <c r="Z899" s="30" t="n"/>
    </row>
    <row r="900">
      <c r="A900" s="30" t="n"/>
      <c r="B900" s="30" t="n"/>
      <c r="C900" s="30" t="n"/>
      <c r="D900" s="30" t="n"/>
      <c r="E900" s="30" t="n"/>
      <c r="F900" s="30" t="n"/>
      <c r="G900" s="30" t="n"/>
      <c r="H900" s="30" t="n"/>
      <c r="I900" s="31" t="n"/>
      <c r="J900" s="30" t="n"/>
      <c r="K900" s="30" t="n"/>
      <c r="L900" s="30" t="n"/>
      <c r="M900" s="30" t="n"/>
      <c r="N900" s="32" t="n"/>
      <c r="O900" s="30" t="n"/>
      <c r="P900" s="32" t="n"/>
      <c r="Q900" s="30" t="n"/>
      <c r="R900" s="32" t="n"/>
      <c r="S900" s="30" t="n"/>
      <c r="T900" s="30" t="n"/>
      <c r="U900" s="30" t="n"/>
      <c r="V900" s="30" t="n"/>
      <c r="W900" s="29">
        <f>IF(H900="","",IF(H900="Kenya","Yes","No"))</f>
        <v/>
      </c>
      <c r="X900" s="29">
        <f>IF(B900="","",IF(COUNTIF($B$5:$B$3004,B900)&gt;1,"DUPLICATE","OK"))</f>
        <v/>
      </c>
      <c r="Y900" s="29">
        <f>IF(OR(U900="",V900="",V900="Excluded"),"",IF(COUNTIFS($U$5:$U$3004,U900,$V$5:$V$3004,"&lt;&gt;"&amp;V900,$V$5:$V$3004,"&lt;&gt;",$V$5:$V$3004,"&lt;&gt;Excluded")&gt;0,"LEAK RISK","OK"))</f>
        <v/>
      </c>
      <c r="Z900" s="30" t="n"/>
    </row>
    <row r="901">
      <c r="A901" s="30" t="n"/>
      <c r="B901" s="30" t="n"/>
      <c r="C901" s="30" t="n"/>
      <c r="D901" s="30" t="n"/>
      <c r="E901" s="30" t="n"/>
      <c r="F901" s="30" t="n"/>
      <c r="G901" s="30" t="n"/>
      <c r="H901" s="30" t="n"/>
      <c r="I901" s="31" t="n"/>
      <c r="J901" s="30" t="n"/>
      <c r="K901" s="30" t="n"/>
      <c r="L901" s="30" t="n"/>
      <c r="M901" s="30" t="n"/>
      <c r="N901" s="32" t="n"/>
      <c r="O901" s="30" t="n"/>
      <c r="P901" s="32" t="n"/>
      <c r="Q901" s="30" t="n"/>
      <c r="R901" s="32" t="n"/>
      <c r="S901" s="30" t="n"/>
      <c r="T901" s="30" t="n"/>
      <c r="U901" s="30" t="n"/>
      <c r="V901" s="30" t="n"/>
      <c r="W901" s="29">
        <f>IF(H901="","",IF(H901="Kenya","Yes","No"))</f>
        <v/>
      </c>
      <c r="X901" s="29">
        <f>IF(B901="","",IF(COUNTIF($B$5:$B$3004,B901)&gt;1,"DUPLICATE","OK"))</f>
        <v/>
      </c>
      <c r="Y901" s="29">
        <f>IF(OR(U901="",V901="",V901="Excluded"),"",IF(COUNTIFS($U$5:$U$3004,U901,$V$5:$V$3004,"&lt;&gt;"&amp;V901,$V$5:$V$3004,"&lt;&gt;",$V$5:$V$3004,"&lt;&gt;Excluded")&gt;0,"LEAK RISK","OK"))</f>
        <v/>
      </c>
      <c r="Z901" s="30" t="n"/>
    </row>
    <row r="902">
      <c r="A902" s="30" t="n"/>
      <c r="B902" s="30" t="n"/>
      <c r="C902" s="30" t="n"/>
      <c r="D902" s="30" t="n"/>
      <c r="E902" s="30" t="n"/>
      <c r="F902" s="30" t="n"/>
      <c r="G902" s="30" t="n"/>
      <c r="H902" s="30" t="n"/>
      <c r="I902" s="31" t="n"/>
      <c r="J902" s="30" t="n"/>
      <c r="K902" s="30" t="n"/>
      <c r="L902" s="30" t="n"/>
      <c r="M902" s="30" t="n"/>
      <c r="N902" s="32" t="n"/>
      <c r="O902" s="30" t="n"/>
      <c r="P902" s="32" t="n"/>
      <c r="Q902" s="30" t="n"/>
      <c r="R902" s="32" t="n"/>
      <c r="S902" s="30" t="n"/>
      <c r="T902" s="30" t="n"/>
      <c r="U902" s="30" t="n"/>
      <c r="V902" s="30" t="n"/>
      <c r="W902" s="29">
        <f>IF(H902="","",IF(H902="Kenya","Yes","No"))</f>
        <v/>
      </c>
      <c r="X902" s="29">
        <f>IF(B902="","",IF(COUNTIF($B$5:$B$3004,B902)&gt;1,"DUPLICATE","OK"))</f>
        <v/>
      </c>
      <c r="Y902" s="29">
        <f>IF(OR(U902="",V902="",V902="Excluded"),"",IF(COUNTIFS($U$5:$U$3004,U902,$V$5:$V$3004,"&lt;&gt;"&amp;V902,$V$5:$V$3004,"&lt;&gt;",$V$5:$V$3004,"&lt;&gt;Excluded")&gt;0,"LEAK RISK","OK"))</f>
        <v/>
      </c>
      <c r="Z902" s="30" t="n"/>
    </row>
    <row r="903">
      <c r="A903" s="30" t="n"/>
      <c r="B903" s="30" t="n"/>
      <c r="C903" s="30" t="n"/>
      <c r="D903" s="30" t="n"/>
      <c r="E903" s="30" t="n"/>
      <c r="F903" s="30" t="n"/>
      <c r="G903" s="30" t="n"/>
      <c r="H903" s="30" t="n"/>
      <c r="I903" s="31" t="n"/>
      <c r="J903" s="30" t="n"/>
      <c r="K903" s="30" t="n"/>
      <c r="L903" s="30" t="n"/>
      <c r="M903" s="30" t="n"/>
      <c r="N903" s="32" t="n"/>
      <c r="O903" s="30" t="n"/>
      <c r="P903" s="32" t="n"/>
      <c r="Q903" s="30" t="n"/>
      <c r="R903" s="32" t="n"/>
      <c r="S903" s="30" t="n"/>
      <c r="T903" s="30" t="n"/>
      <c r="U903" s="30" t="n"/>
      <c r="V903" s="30" t="n"/>
      <c r="W903" s="29">
        <f>IF(H903="","",IF(H903="Kenya","Yes","No"))</f>
        <v/>
      </c>
      <c r="X903" s="29">
        <f>IF(B903="","",IF(COUNTIF($B$5:$B$3004,B903)&gt;1,"DUPLICATE","OK"))</f>
        <v/>
      </c>
      <c r="Y903" s="29">
        <f>IF(OR(U903="",V903="",V903="Excluded"),"",IF(COUNTIFS($U$5:$U$3004,U903,$V$5:$V$3004,"&lt;&gt;"&amp;V903,$V$5:$V$3004,"&lt;&gt;",$V$5:$V$3004,"&lt;&gt;Excluded")&gt;0,"LEAK RISK","OK"))</f>
        <v/>
      </c>
      <c r="Z903" s="30" t="n"/>
    </row>
    <row r="904">
      <c r="A904" s="30" t="n"/>
      <c r="B904" s="30" t="n"/>
      <c r="C904" s="30" t="n"/>
      <c r="D904" s="30" t="n"/>
      <c r="E904" s="30" t="n"/>
      <c r="F904" s="30" t="n"/>
      <c r="G904" s="30" t="n"/>
      <c r="H904" s="30" t="n"/>
      <c r="I904" s="31" t="n"/>
      <c r="J904" s="30" t="n"/>
      <c r="K904" s="30" t="n"/>
      <c r="L904" s="30" t="n"/>
      <c r="M904" s="30" t="n"/>
      <c r="N904" s="32" t="n"/>
      <c r="O904" s="30" t="n"/>
      <c r="P904" s="32" t="n"/>
      <c r="Q904" s="30" t="n"/>
      <c r="R904" s="32" t="n"/>
      <c r="S904" s="30" t="n"/>
      <c r="T904" s="30" t="n"/>
      <c r="U904" s="30" t="n"/>
      <c r="V904" s="30" t="n"/>
      <c r="W904" s="29">
        <f>IF(H904="","",IF(H904="Kenya","Yes","No"))</f>
        <v/>
      </c>
      <c r="X904" s="29">
        <f>IF(B904="","",IF(COUNTIF($B$5:$B$3004,B904)&gt;1,"DUPLICATE","OK"))</f>
        <v/>
      </c>
      <c r="Y904" s="29">
        <f>IF(OR(U904="",V904="",V904="Excluded"),"",IF(COUNTIFS($U$5:$U$3004,U904,$V$5:$V$3004,"&lt;&gt;"&amp;V904,$V$5:$V$3004,"&lt;&gt;",$V$5:$V$3004,"&lt;&gt;Excluded")&gt;0,"LEAK RISK","OK"))</f>
        <v/>
      </c>
      <c r="Z904" s="30" t="n"/>
    </row>
    <row r="905">
      <c r="A905" s="30" t="n"/>
      <c r="B905" s="30" t="n"/>
      <c r="C905" s="30" t="n"/>
      <c r="D905" s="30" t="n"/>
      <c r="E905" s="30" t="n"/>
      <c r="F905" s="30" t="n"/>
      <c r="G905" s="30" t="n"/>
      <c r="H905" s="30" t="n"/>
      <c r="I905" s="31" t="n"/>
      <c r="J905" s="30" t="n"/>
      <c r="K905" s="30" t="n"/>
      <c r="L905" s="30" t="n"/>
      <c r="M905" s="30" t="n"/>
      <c r="N905" s="32" t="n"/>
      <c r="O905" s="30" t="n"/>
      <c r="P905" s="32" t="n"/>
      <c r="Q905" s="30" t="n"/>
      <c r="R905" s="32" t="n"/>
      <c r="S905" s="30" t="n"/>
      <c r="T905" s="30" t="n"/>
      <c r="U905" s="30" t="n"/>
      <c r="V905" s="30" t="n"/>
      <c r="W905" s="29">
        <f>IF(H905="","",IF(H905="Kenya","Yes","No"))</f>
        <v/>
      </c>
      <c r="X905" s="29">
        <f>IF(B905="","",IF(COUNTIF($B$5:$B$3004,B905)&gt;1,"DUPLICATE","OK"))</f>
        <v/>
      </c>
      <c r="Y905" s="29">
        <f>IF(OR(U905="",V905="",V905="Excluded"),"",IF(COUNTIFS($U$5:$U$3004,U905,$V$5:$V$3004,"&lt;&gt;"&amp;V905,$V$5:$V$3004,"&lt;&gt;",$V$5:$V$3004,"&lt;&gt;Excluded")&gt;0,"LEAK RISK","OK"))</f>
        <v/>
      </c>
      <c r="Z905" s="30" t="n"/>
    </row>
    <row r="906">
      <c r="A906" s="30" t="n"/>
      <c r="B906" s="30" t="n"/>
      <c r="C906" s="30" t="n"/>
      <c r="D906" s="30" t="n"/>
      <c r="E906" s="30" t="n"/>
      <c r="F906" s="30" t="n"/>
      <c r="G906" s="30" t="n"/>
      <c r="H906" s="30" t="n"/>
      <c r="I906" s="31" t="n"/>
      <c r="J906" s="30" t="n"/>
      <c r="K906" s="30" t="n"/>
      <c r="L906" s="30" t="n"/>
      <c r="M906" s="30" t="n"/>
      <c r="N906" s="32" t="n"/>
      <c r="O906" s="30" t="n"/>
      <c r="P906" s="32" t="n"/>
      <c r="Q906" s="30" t="n"/>
      <c r="R906" s="32" t="n"/>
      <c r="S906" s="30" t="n"/>
      <c r="T906" s="30" t="n"/>
      <c r="U906" s="30" t="n"/>
      <c r="V906" s="30" t="n"/>
      <c r="W906" s="29">
        <f>IF(H906="","",IF(H906="Kenya","Yes","No"))</f>
        <v/>
      </c>
      <c r="X906" s="29">
        <f>IF(B906="","",IF(COUNTIF($B$5:$B$3004,B906)&gt;1,"DUPLICATE","OK"))</f>
        <v/>
      </c>
      <c r="Y906" s="29">
        <f>IF(OR(U906="",V906="",V906="Excluded"),"",IF(COUNTIFS($U$5:$U$3004,U906,$V$5:$V$3004,"&lt;&gt;"&amp;V906,$V$5:$V$3004,"&lt;&gt;",$V$5:$V$3004,"&lt;&gt;Excluded")&gt;0,"LEAK RISK","OK"))</f>
        <v/>
      </c>
      <c r="Z906" s="30" t="n"/>
    </row>
    <row r="907">
      <c r="A907" s="30" t="n"/>
      <c r="B907" s="30" t="n"/>
      <c r="C907" s="30" t="n"/>
      <c r="D907" s="30" t="n"/>
      <c r="E907" s="30" t="n"/>
      <c r="F907" s="30" t="n"/>
      <c r="G907" s="30" t="n"/>
      <c r="H907" s="30" t="n"/>
      <c r="I907" s="31" t="n"/>
      <c r="J907" s="30" t="n"/>
      <c r="K907" s="30" t="n"/>
      <c r="L907" s="30" t="n"/>
      <c r="M907" s="30" t="n"/>
      <c r="N907" s="32" t="n"/>
      <c r="O907" s="30" t="n"/>
      <c r="P907" s="32" t="n"/>
      <c r="Q907" s="30" t="n"/>
      <c r="R907" s="32" t="n"/>
      <c r="S907" s="30" t="n"/>
      <c r="T907" s="30" t="n"/>
      <c r="U907" s="30" t="n"/>
      <c r="V907" s="30" t="n"/>
      <c r="W907" s="29">
        <f>IF(H907="","",IF(H907="Kenya","Yes","No"))</f>
        <v/>
      </c>
      <c r="X907" s="29">
        <f>IF(B907="","",IF(COUNTIF($B$5:$B$3004,B907)&gt;1,"DUPLICATE","OK"))</f>
        <v/>
      </c>
      <c r="Y907" s="29">
        <f>IF(OR(U907="",V907="",V907="Excluded"),"",IF(COUNTIFS($U$5:$U$3004,U907,$V$5:$V$3004,"&lt;&gt;"&amp;V907,$V$5:$V$3004,"&lt;&gt;",$V$5:$V$3004,"&lt;&gt;Excluded")&gt;0,"LEAK RISK","OK"))</f>
        <v/>
      </c>
      <c r="Z907" s="30" t="n"/>
    </row>
    <row r="908">
      <c r="A908" s="30" t="n"/>
      <c r="B908" s="30" t="n"/>
      <c r="C908" s="30" t="n"/>
      <c r="D908" s="30" t="n"/>
      <c r="E908" s="30" t="n"/>
      <c r="F908" s="30" t="n"/>
      <c r="G908" s="30" t="n"/>
      <c r="H908" s="30" t="n"/>
      <c r="I908" s="31" t="n"/>
      <c r="J908" s="30" t="n"/>
      <c r="K908" s="30" t="n"/>
      <c r="L908" s="30" t="n"/>
      <c r="M908" s="30" t="n"/>
      <c r="N908" s="32" t="n"/>
      <c r="O908" s="30" t="n"/>
      <c r="P908" s="32" t="n"/>
      <c r="Q908" s="30" t="n"/>
      <c r="R908" s="32" t="n"/>
      <c r="S908" s="30" t="n"/>
      <c r="T908" s="30" t="n"/>
      <c r="U908" s="30" t="n"/>
      <c r="V908" s="30" t="n"/>
      <c r="W908" s="29">
        <f>IF(H908="","",IF(H908="Kenya","Yes","No"))</f>
        <v/>
      </c>
      <c r="X908" s="29">
        <f>IF(B908="","",IF(COUNTIF($B$5:$B$3004,B908)&gt;1,"DUPLICATE","OK"))</f>
        <v/>
      </c>
      <c r="Y908" s="29">
        <f>IF(OR(U908="",V908="",V908="Excluded"),"",IF(COUNTIFS($U$5:$U$3004,U908,$V$5:$V$3004,"&lt;&gt;"&amp;V908,$V$5:$V$3004,"&lt;&gt;",$V$5:$V$3004,"&lt;&gt;Excluded")&gt;0,"LEAK RISK","OK"))</f>
        <v/>
      </c>
      <c r="Z908" s="30" t="n"/>
    </row>
    <row r="909">
      <c r="A909" s="30" t="n"/>
      <c r="B909" s="30" t="n"/>
      <c r="C909" s="30" t="n"/>
      <c r="D909" s="30" t="n"/>
      <c r="E909" s="30" t="n"/>
      <c r="F909" s="30" t="n"/>
      <c r="G909" s="30" t="n"/>
      <c r="H909" s="30" t="n"/>
      <c r="I909" s="31" t="n"/>
      <c r="J909" s="30" t="n"/>
      <c r="K909" s="30" t="n"/>
      <c r="L909" s="30" t="n"/>
      <c r="M909" s="30" t="n"/>
      <c r="N909" s="32" t="n"/>
      <c r="O909" s="30" t="n"/>
      <c r="P909" s="32" t="n"/>
      <c r="Q909" s="30" t="n"/>
      <c r="R909" s="32" t="n"/>
      <c r="S909" s="30" t="n"/>
      <c r="T909" s="30" t="n"/>
      <c r="U909" s="30" t="n"/>
      <c r="V909" s="30" t="n"/>
      <c r="W909" s="29">
        <f>IF(H909="","",IF(H909="Kenya","Yes","No"))</f>
        <v/>
      </c>
      <c r="X909" s="29">
        <f>IF(B909="","",IF(COUNTIF($B$5:$B$3004,B909)&gt;1,"DUPLICATE","OK"))</f>
        <v/>
      </c>
      <c r="Y909" s="29">
        <f>IF(OR(U909="",V909="",V909="Excluded"),"",IF(COUNTIFS($U$5:$U$3004,U909,$V$5:$V$3004,"&lt;&gt;"&amp;V909,$V$5:$V$3004,"&lt;&gt;",$V$5:$V$3004,"&lt;&gt;Excluded")&gt;0,"LEAK RISK","OK"))</f>
        <v/>
      </c>
      <c r="Z909" s="30" t="n"/>
    </row>
    <row r="910">
      <c r="A910" s="30" t="n"/>
      <c r="B910" s="30" t="n"/>
      <c r="C910" s="30" t="n"/>
      <c r="D910" s="30" t="n"/>
      <c r="E910" s="30" t="n"/>
      <c r="F910" s="30" t="n"/>
      <c r="G910" s="30" t="n"/>
      <c r="H910" s="30" t="n"/>
      <c r="I910" s="31" t="n"/>
      <c r="J910" s="30" t="n"/>
      <c r="K910" s="30" t="n"/>
      <c r="L910" s="30" t="n"/>
      <c r="M910" s="30" t="n"/>
      <c r="N910" s="32" t="n"/>
      <c r="O910" s="30" t="n"/>
      <c r="P910" s="32" t="n"/>
      <c r="Q910" s="30" t="n"/>
      <c r="R910" s="32" t="n"/>
      <c r="S910" s="30" t="n"/>
      <c r="T910" s="30" t="n"/>
      <c r="U910" s="30" t="n"/>
      <c r="V910" s="30" t="n"/>
      <c r="W910" s="29">
        <f>IF(H910="","",IF(H910="Kenya","Yes","No"))</f>
        <v/>
      </c>
      <c r="X910" s="29">
        <f>IF(B910="","",IF(COUNTIF($B$5:$B$3004,B910)&gt;1,"DUPLICATE","OK"))</f>
        <v/>
      </c>
      <c r="Y910" s="29">
        <f>IF(OR(U910="",V910="",V910="Excluded"),"",IF(COUNTIFS($U$5:$U$3004,U910,$V$5:$V$3004,"&lt;&gt;"&amp;V910,$V$5:$V$3004,"&lt;&gt;",$V$5:$V$3004,"&lt;&gt;Excluded")&gt;0,"LEAK RISK","OK"))</f>
        <v/>
      </c>
      <c r="Z910" s="30" t="n"/>
    </row>
    <row r="911">
      <c r="A911" s="30" t="n"/>
      <c r="B911" s="30" t="n"/>
      <c r="C911" s="30" t="n"/>
      <c r="D911" s="30" t="n"/>
      <c r="E911" s="30" t="n"/>
      <c r="F911" s="30" t="n"/>
      <c r="G911" s="30" t="n"/>
      <c r="H911" s="30" t="n"/>
      <c r="I911" s="31" t="n"/>
      <c r="J911" s="30" t="n"/>
      <c r="K911" s="30" t="n"/>
      <c r="L911" s="30" t="n"/>
      <c r="M911" s="30" t="n"/>
      <c r="N911" s="32" t="n"/>
      <c r="O911" s="30" t="n"/>
      <c r="P911" s="32" t="n"/>
      <c r="Q911" s="30" t="n"/>
      <c r="R911" s="32" t="n"/>
      <c r="S911" s="30" t="n"/>
      <c r="T911" s="30" t="n"/>
      <c r="U911" s="30" t="n"/>
      <c r="V911" s="30" t="n"/>
      <c r="W911" s="29">
        <f>IF(H911="","",IF(H911="Kenya","Yes","No"))</f>
        <v/>
      </c>
      <c r="X911" s="29">
        <f>IF(B911="","",IF(COUNTIF($B$5:$B$3004,B911)&gt;1,"DUPLICATE","OK"))</f>
        <v/>
      </c>
      <c r="Y911" s="29">
        <f>IF(OR(U911="",V911="",V911="Excluded"),"",IF(COUNTIFS($U$5:$U$3004,U911,$V$5:$V$3004,"&lt;&gt;"&amp;V911,$V$5:$V$3004,"&lt;&gt;",$V$5:$V$3004,"&lt;&gt;Excluded")&gt;0,"LEAK RISK","OK"))</f>
        <v/>
      </c>
      <c r="Z911" s="30" t="n"/>
    </row>
    <row r="912">
      <c r="A912" s="30" t="n"/>
      <c r="B912" s="30" t="n"/>
      <c r="C912" s="30" t="n"/>
      <c r="D912" s="30" t="n"/>
      <c r="E912" s="30" t="n"/>
      <c r="F912" s="30" t="n"/>
      <c r="G912" s="30" t="n"/>
      <c r="H912" s="30" t="n"/>
      <c r="I912" s="31" t="n"/>
      <c r="J912" s="30" t="n"/>
      <c r="K912" s="30" t="n"/>
      <c r="L912" s="30" t="n"/>
      <c r="M912" s="30" t="n"/>
      <c r="N912" s="32" t="n"/>
      <c r="O912" s="30" t="n"/>
      <c r="P912" s="32" t="n"/>
      <c r="Q912" s="30" t="n"/>
      <c r="R912" s="32" t="n"/>
      <c r="S912" s="30" t="n"/>
      <c r="T912" s="30" t="n"/>
      <c r="U912" s="30" t="n"/>
      <c r="V912" s="30" t="n"/>
      <c r="W912" s="29">
        <f>IF(H912="","",IF(H912="Kenya","Yes","No"))</f>
        <v/>
      </c>
      <c r="X912" s="29">
        <f>IF(B912="","",IF(COUNTIF($B$5:$B$3004,B912)&gt;1,"DUPLICATE","OK"))</f>
        <v/>
      </c>
      <c r="Y912" s="29">
        <f>IF(OR(U912="",V912="",V912="Excluded"),"",IF(COUNTIFS($U$5:$U$3004,U912,$V$5:$V$3004,"&lt;&gt;"&amp;V912,$V$5:$V$3004,"&lt;&gt;",$V$5:$V$3004,"&lt;&gt;Excluded")&gt;0,"LEAK RISK","OK"))</f>
        <v/>
      </c>
      <c r="Z912" s="30" t="n"/>
    </row>
    <row r="913">
      <c r="A913" s="30" t="n"/>
      <c r="B913" s="30" t="n"/>
      <c r="C913" s="30" t="n"/>
      <c r="D913" s="30" t="n"/>
      <c r="E913" s="30" t="n"/>
      <c r="F913" s="30" t="n"/>
      <c r="G913" s="30" t="n"/>
      <c r="H913" s="30" t="n"/>
      <c r="I913" s="31" t="n"/>
      <c r="J913" s="30" t="n"/>
      <c r="K913" s="30" t="n"/>
      <c r="L913" s="30" t="n"/>
      <c r="M913" s="30" t="n"/>
      <c r="N913" s="32" t="n"/>
      <c r="O913" s="30" t="n"/>
      <c r="P913" s="32" t="n"/>
      <c r="Q913" s="30" t="n"/>
      <c r="R913" s="32" t="n"/>
      <c r="S913" s="30" t="n"/>
      <c r="T913" s="30" t="n"/>
      <c r="U913" s="30" t="n"/>
      <c r="V913" s="30" t="n"/>
      <c r="W913" s="29">
        <f>IF(H913="","",IF(H913="Kenya","Yes","No"))</f>
        <v/>
      </c>
      <c r="X913" s="29">
        <f>IF(B913="","",IF(COUNTIF($B$5:$B$3004,B913)&gt;1,"DUPLICATE","OK"))</f>
        <v/>
      </c>
      <c r="Y913" s="29">
        <f>IF(OR(U913="",V913="",V913="Excluded"),"",IF(COUNTIFS($U$5:$U$3004,U913,$V$5:$V$3004,"&lt;&gt;"&amp;V913,$V$5:$V$3004,"&lt;&gt;",$V$5:$V$3004,"&lt;&gt;Excluded")&gt;0,"LEAK RISK","OK"))</f>
        <v/>
      </c>
      <c r="Z913" s="30" t="n"/>
    </row>
    <row r="914">
      <c r="A914" s="30" t="n"/>
      <c r="B914" s="30" t="n"/>
      <c r="C914" s="30" t="n"/>
      <c r="D914" s="30" t="n"/>
      <c r="E914" s="30" t="n"/>
      <c r="F914" s="30" t="n"/>
      <c r="G914" s="30" t="n"/>
      <c r="H914" s="30" t="n"/>
      <c r="I914" s="31" t="n"/>
      <c r="J914" s="30" t="n"/>
      <c r="K914" s="30" t="n"/>
      <c r="L914" s="30" t="n"/>
      <c r="M914" s="30" t="n"/>
      <c r="N914" s="32" t="n"/>
      <c r="O914" s="30" t="n"/>
      <c r="P914" s="32" t="n"/>
      <c r="Q914" s="30" t="n"/>
      <c r="R914" s="32" t="n"/>
      <c r="S914" s="30" t="n"/>
      <c r="T914" s="30" t="n"/>
      <c r="U914" s="30" t="n"/>
      <c r="V914" s="30" t="n"/>
      <c r="W914" s="29">
        <f>IF(H914="","",IF(H914="Kenya","Yes","No"))</f>
        <v/>
      </c>
      <c r="X914" s="29">
        <f>IF(B914="","",IF(COUNTIF($B$5:$B$3004,B914)&gt;1,"DUPLICATE","OK"))</f>
        <v/>
      </c>
      <c r="Y914" s="29">
        <f>IF(OR(U914="",V914="",V914="Excluded"),"",IF(COUNTIFS($U$5:$U$3004,U914,$V$5:$V$3004,"&lt;&gt;"&amp;V914,$V$5:$V$3004,"&lt;&gt;",$V$5:$V$3004,"&lt;&gt;Excluded")&gt;0,"LEAK RISK","OK"))</f>
        <v/>
      </c>
      <c r="Z914" s="30" t="n"/>
    </row>
    <row r="915">
      <c r="A915" s="30" t="n"/>
      <c r="B915" s="30" t="n"/>
      <c r="C915" s="30" t="n"/>
      <c r="D915" s="30" t="n"/>
      <c r="E915" s="30" t="n"/>
      <c r="F915" s="30" t="n"/>
      <c r="G915" s="30" t="n"/>
      <c r="H915" s="30" t="n"/>
      <c r="I915" s="31" t="n"/>
      <c r="J915" s="30" t="n"/>
      <c r="K915" s="30" t="n"/>
      <c r="L915" s="30" t="n"/>
      <c r="M915" s="30" t="n"/>
      <c r="N915" s="32" t="n"/>
      <c r="O915" s="30" t="n"/>
      <c r="P915" s="32" t="n"/>
      <c r="Q915" s="30" t="n"/>
      <c r="R915" s="32" t="n"/>
      <c r="S915" s="30" t="n"/>
      <c r="T915" s="30" t="n"/>
      <c r="U915" s="30" t="n"/>
      <c r="V915" s="30" t="n"/>
      <c r="W915" s="29">
        <f>IF(H915="","",IF(H915="Kenya","Yes","No"))</f>
        <v/>
      </c>
      <c r="X915" s="29">
        <f>IF(B915="","",IF(COUNTIF($B$5:$B$3004,B915)&gt;1,"DUPLICATE","OK"))</f>
        <v/>
      </c>
      <c r="Y915" s="29">
        <f>IF(OR(U915="",V915="",V915="Excluded"),"",IF(COUNTIFS($U$5:$U$3004,U915,$V$5:$V$3004,"&lt;&gt;"&amp;V915,$V$5:$V$3004,"&lt;&gt;",$V$5:$V$3004,"&lt;&gt;Excluded")&gt;0,"LEAK RISK","OK"))</f>
        <v/>
      </c>
      <c r="Z915" s="30" t="n"/>
    </row>
    <row r="916">
      <c r="A916" s="30" t="n"/>
      <c r="B916" s="30" t="n"/>
      <c r="C916" s="30" t="n"/>
      <c r="D916" s="30" t="n"/>
      <c r="E916" s="30" t="n"/>
      <c r="F916" s="30" t="n"/>
      <c r="G916" s="30" t="n"/>
      <c r="H916" s="30" t="n"/>
      <c r="I916" s="31" t="n"/>
      <c r="J916" s="30" t="n"/>
      <c r="K916" s="30" t="n"/>
      <c r="L916" s="30" t="n"/>
      <c r="M916" s="30" t="n"/>
      <c r="N916" s="32" t="n"/>
      <c r="O916" s="30" t="n"/>
      <c r="P916" s="32" t="n"/>
      <c r="Q916" s="30" t="n"/>
      <c r="R916" s="32" t="n"/>
      <c r="S916" s="30" t="n"/>
      <c r="T916" s="30" t="n"/>
      <c r="U916" s="30" t="n"/>
      <c r="V916" s="30" t="n"/>
      <c r="W916" s="29">
        <f>IF(H916="","",IF(H916="Kenya","Yes","No"))</f>
        <v/>
      </c>
      <c r="X916" s="29">
        <f>IF(B916="","",IF(COUNTIF($B$5:$B$3004,B916)&gt;1,"DUPLICATE","OK"))</f>
        <v/>
      </c>
      <c r="Y916" s="29">
        <f>IF(OR(U916="",V916="",V916="Excluded"),"",IF(COUNTIFS($U$5:$U$3004,U916,$V$5:$V$3004,"&lt;&gt;"&amp;V916,$V$5:$V$3004,"&lt;&gt;",$V$5:$V$3004,"&lt;&gt;Excluded")&gt;0,"LEAK RISK","OK"))</f>
        <v/>
      </c>
      <c r="Z916" s="30" t="n"/>
    </row>
    <row r="917">
      <c r="A917" s="30" t="n"/>
      <c r="B917" s="30" t="n"/>
      <c r="C917" s="30" t="n"/>
      <c r="D917" s="30" t="n"/>
      <c r="E917" s="30" t="n"/>
      <c r="F917" s="30" t="n"/>
      <c r="G917" s="30" t="n"/>
      <c r="H917" s="30" t="n"/>
      <c r="I917" s="31" t="n"/>
      <c r="J917" s="30" t="n"/>
      <c r="K917" s="30" t="n"/>
      <c r="L917" s="30" t="n"/>
      <c r="M917" s="30" t="n"/>
      <c r="N917" s="32" t="n"/>
      <c r="O917" s="30" t="n"/>
      <c r="P917" s="32" t="n"/>
      <c r="Q917" s="30" t="n"/>
      <c r="R917" s="32" t="n"/>
      <c r="S917" s="30" t="n"/>
      <c r="T917" s="30" t="n"/>
      <c r="U917" s="30" t="n"/>
      <c r="V917" s="30" t="n"/>
      <c r="W917" s="29">
        <f>IF(H917="","",IF(H917="Kenya","Yes","No"))</f>
        <v/>
      </c>
      <c r="X917" s="29">
        <f>IF(B917="","",IF(COUNTIF($B$5:$B$3004,B917)&gt;1,"DUPLICATE","OK"))</f>
        <v/>
      </c>
      <c r="Y917" s="29">
        <f>IF(OR(U917="",V917="",V917="Excluded"),"",IF(COUNTIFS($U$5:$U$3004,U917,$V$5:$V$3004,"&lt;&gt;"&amp;V917,$V$5:$V$3004,"&lt;&gt;",$V$5:$V$3004,"&lt;&gt;Excluded")&gt;0,"LEAK RISK","OK"))</f>
        <v/>
      </c>
      <c r="Z917" s="30" t="n"/>
    </row>
    <row r="918">
      <c r="A918" s="30" t="n"/>
      <c r="B918" s="30" t="n"/>
      <c r="C918" s="30" t="n"/>
      <c r="D918" s="30" t="n"/>
      <c r="E918" s="30" t="n"/>
      <c r="F918" s="30" t="n"/>
      <c r="G918" s="30" t="n"/>
      <c r="H918" s="30" t="n"/>
      <c r="I918" s="31" t="n"/>
      <c r="J918" s="30" t="n"/>
      <c r="K918" s="30" t="n"/>
      <c r="L918" s="30" t="n"/>
      <c r="M918" s="30" t="n"/>
      <c r="N918" s="32" t="n"/>
      <c r="O918" s="30" t="n"/>
      <c r="P918" s="32" t="n"/>
      <c r="Q918" s="30" t="n"/>
      <c r="R918" s="32" t="n"/>
      <c r="S918" s="30" t="n"/>
      <c r="T918" s="30" t="n"/>
      <c r="U918" s="30" t="n"/>
      <c r="V918" s="30" t="n"/>
      <c r="W918" s="29">
        <f>IF(H918="","",IF(H918="Kenya","Yes","No"))</f>
        <v/>
      </c>
      <c r="X918" s="29">
        <f>IF(B918="","",IF(COUNTIF($B$5:$B$3004,B918)&gt;1,"DUPLICATE","OK"))</f>
        <v/>
      </c>
      <c r="Y918" s="29">
        <f>IF(OR(U918="",V918="",V918="Excluded"),"",IF(COUNTIFS($U$5:$U$3004,U918,$V$5:$V$3004,"&lt;&gt;"&amp;V918,$V$5:$V$3004,"&lt;&gt;",$V$5:$V$3004,"&lt;&gt;Excluded")&gt;0,"LEAK RISK","OK"))</f>
        <v/>
      </c>
      <c r="Z918" s="30" t="n"/>
    </row>
    <row r="919">
      <c r="A919" s="30" t="n"/>
      <c r="B919" s="30" t="n"/>
      <c r="C919" s="30" t="n"/>
      <c r="D919" s="30" t="n"/>
      <c r="E919" s="30" t="n"/>
      <c r="F919" s="30" t="n"/>
      <c r="G919" s="30" t="n"/>
      <c r="H919" s="30" t="n"/>
      <c r="I919" s="31" t="n"/>
      <c r="J919" s="30" t="n"/>
      <c r="K919" s="30" t="n"/>
      <c r="L919" s="30" t="n"/>
      <c r="M919" s="30" t="n"/>
      <c r="N919" s="32" t="n"/>
      <c r="O919" s="30" t="n"/>
      <c r="P919" s="32" t="n"/>
      <c r="Q919" s="30" t="n"/>
      <c r="R919" s="32" t="n"/>
      <c r="S919" s="30" t="n"/>
      <c r="T919" s="30" t="n"/>
      <c r="U919" s="30" t="n"/>
      <c r="V919" s="30" t="n"/>
      <c r="W919" s="29">
        <f>IF(H919="","",IF(H919="Kenya","Yes","No"))</f>
        <v/>
      </c>
      <c r="X919" s="29">
        <f>IF(B919="","",IF(COUNTIF($B$5:$B$3004,B919)&gt;1,"DUPLICATE","OK"))</f>
        <v/>
      </c>
      <c r="Y919" s="29">
        <f>IF(OR(U919="",V919="",V919="Excluded"),"",IF(COUNTIFS($U$5:$U$3004,U919,$V$5:$V$3004,"&lt;&gt;"&amp;V919,$V$5:$V$3004,"&lt;&gt;",$V$5:$V$3004,"&lt;&gt;Excluded")&gt;0,"LEAK RISK","OK"))</f>
        <v/>
      </c>
      <c r="Z919" s="30" t="n"/>
    </row>
    <row r="920">
      <c r="A920" s="30" t="n"/>
      <c r="B920" s="30" t="n"/>
      <c r="C920" s="30" t="n"/>
      <c r="D920" s="30" t="n"/>
      <c r="E920" s="30" t="n"/>
      <c r="F920" s="30" t="n"/>
      <c r="G920" s="30" t="n"/>
      <c r="H920" s="30" t="n"/>
      <c r="I920" s="31" t="n"/>
      <c r="J920" s="30" t="n"/>
      <c r="K920" s="30" t="n"/>
      <c r="L920" s="30" t="n"/>
      <c r="M920" s="30" t="n"/>
      <c r="N920" s="32" t="n"/>
      <c r="O920" s="30" t="n"/>
      <c r="P920" s="32" t="n"/>
      <c r="Q920" s="30" t="n"/>
      <c r="R920" s="32" t="n"/>
      <c r="S920" s="30" t="n"/>
      <c r="T920" s="30" t="n"/>
      <c r="U920" s="30" t="n"/>
      <c r="V920" s="30" t="n"/>
      <c r="W920" s="29">
        <f>IF(H920="","",IF(H920="Kenya","Yes","No"))</f>
        <v/>
      </c>
      <c r="X920" s="29">
        <f>IF(B920="","",IF(COUNTIF($B$5:$B$3004,B920)&gt;1,"DUPLICATE","OK"))</f>
        <v/>
      </c>
      <c r="Y920" s="29">
        <f>IF(OR(U920="",V920="",V920="Excluded"),"",IF(COUNTIFS($U$5:$U$3004,U920,$V$5:$V$3004,"&lt;&gt;"&amp;V920,$V$5:$V$3004,"&lt;&gt;",$V$5:$V$3004,"&lt;&gt;Excluded")&gt;0,"LEAK RISK","OK"))</f>
        <v/>
      </c>
      <c r="Z920" s="30" t="n"/>
    </row>
    <row r="921">
      <c r="A921" s="30" t="n"/>
      <c r="B921" s="30" t="n"/>
      <c r="C921" s="30" t="n"/>
      <c r="D921" s="30" t="n"/>
      <c r="E921" s="30" t="n"/>
      <c r="F921" s="30" t="n"/>
      <c r="G921" s="30" t="n"/>
      <c r="H921" s="30" t="n"/>
      <c r="I921" s="31" t="n"/>
      <c r="J921" s="30" t="n"/>
      <c r="K921" s="30" t="n"/>
      <c r="L921" s="30" t="n"/>
      <c r="M921" s="30" t="n"/>
      <c r="N921" s="32" t="n"/>
      <c r="O921" s="30" t="n"/>
      <c r="P921" s="32" t="n"/>
      <c r="Q921" s="30" t="n"/>
      <c r="R921" s="32" t="n"/>
      <c r="S921" s="30" t="n"/>
      <c r="T921" s="30" t="n"/>
      <c r="U921" s="30" t="n"/>
      <c r="V921" s="30" t="n"/>
      <c r="W921" s="29">
        <f>IF(H921="","",IF(H921="Kenya","Yes","No"))</f>
        <v/>
      </c>
      <c r="X921" s="29">
        <f>IF(B921="","",IF(COUNTIF($B$5:$B$3004,B921)&gt;1,"DUPLICATE","OK"))</f>
        <v/>
      </c>
      <c r="Y921" s="29">
        <f>IF(OR(U921="",V921="",V921="Excluded"),"",IF(COUNTIFS($U$5:$U$3004,U921,$V$5:$V$3004,"&lt;&gt;"&amp;V921,$V$5:$V$3004,"&lt;&gt;",$V$5:$V$3004,"&lt;&gt;Excluded")&gt;0,"LEAK RISK","OK"))</f>
        <v/>
      </c>
      <c r="Z921" s="30" t="n"/>
    </row>
    <row r="922">
      <c r="A922" s="30" t="n"/>
      <c r="B922" s="30" t="n"/>
      <c r="C922" s="30" t="n"/>
      <c r="D922" s="30" t="n"/>
      <c r="E922" s="30" t="n"/>
      <c r="F922" s="30" t="n"/>
      <c r="G922" s="30" t="n"/>
      <c r="H922" s="30" t="n"/>
      <c r="I922" s="31" t="n"/>
      <c r="J922" s="30" t="n"/>
      <c r="K922" s="30" t="n"/>
      <c r="L922" s="30" t="n"/>
      <c r="M922" s="30" t="n"/>
      <c r="N922" s="32" t="n"/>
      <c r="O922" s="30" t="n"/>
      <c r="P922" s="32" t="n"/>
      <c r="Q922" s="30" t="n"/>
      <c r="R922" s="32" t="n"/>
      <c r="S922" s="30" t="n"/>
      <c r="T922" s="30" t="n"/>
      <c r="U922" s="30" t="n"/>
      <c r="V922" s="30" t="n"/>
      <c r="W922" s="29">
        <f>IF(H922="","",IF(H922="Kenya","Yes","No"))</f>
        <v/>
      </c>
      <c r="X922" s="29">
        <f>IF(B922="","",IF(COUNTIF($B$5:$B$3004,B922)&gt;1,"DUPLICATE","OK"))</f>
        <v/>
      </c>
      <c r="Y922" s="29">
        <f>IF(OR(U922="",V922="",V922="Excluded"),"",IF(COUNTIFS($U$5:$U$3004,U922,$V$5:$V$3004,"&lt;&gt;"&amp;V922,$V$5:$V$3004,"&lt;&gt;",$V$5:$V$3004,"&lt;&gt;Excluded")&gt;0,"LEAK RISK","OK"))</f>
        <v/>
      </c>
      <c r="Z922" s="30" t="n"/>
    </row>
    <row r="923">
      <c r="A923" s="30" t="n"/>
      <c r="B923" s="30" t="n"/>
      <c r="C923" s="30" t="n"/>
      <c r="D923" s="30" t="n"/>
      <c r="E923" s="30" t="n"/>
      <c r="F923" s="30" t="n"/>
      <c r="G923" s="30" t="n"/>
      <c r="H923" s="30" t="n"/>
      <c r="I923" s="31" t="n"/>
      <c r="J923" s="30" t="n"/>
      <c r="K923" s="30" t="n"/>
      <c r="L923" s="30" t="n"/>
      <c r="M923" s="30" t="n"/>
      <c r="N923" s="32" t="n"/>
      <c r="O923" s="30" t="n"/>
      <c r="P923" s="32" t="n"/>
      <c r="Q923" s="30" t="n"/>
      <c r="R923" s="32" t="n"/>
      <c r="S923" s="30" t="n"/>
      <c r="T923" s="30" t="n"/>
      <c r="U923" s="30" t="n"/>
      <c r="V923" s="30" t="n"/>
      <c r="W923" s="29">
        <f>IF(H923="","",IF(H923="Kenya","Yes","No"))</f>
        <v/>
      </c>
      <c r="X923" s="29">
        <f>IF(B923="","",IF(COUNTIF($B$5:$B$3004,B923)&gt;1,"DUPLICATE","OK"))</f>
        <v/>
      </c>
      <c r="Y923" s="29">
        <f>IF(OR(U923="",V923="",V923="Excluded"),"",IF(COUNTIFS($U$5:$U$3004,U923,$V$5:$V$3004,"&lt;&gt;"&amp;V923,$V$5:$V$3004,"&lt;&gt;",$V$5:$V$3004,"&lt;&gt;Excluded")&gt;0,"LEAK RISK","OK"))</f>
        <v/>
      </c>
      <c r="Z923" s="30" t="n"/>
    </row>
    <row r="924">
      <c r="A924" s="30" t="n"/>
      <c r="B924" s="30" t="n"/>
      <c r="C924" s="30" t="n"/>
      <c r="D924" s="30" t="n"/>
      <c r="E924" s="30" t="n"/>
      <c r="F924" s="30" t="n"/>
      <c r="G924" s="30" t="n"/>
      <c r="H924" s="30" t="n"/>
      <c r="I924" s="31" t="n"/>
      <c r="J924" s="30" t="n"/>
      <c r="K924" s="30" t="n"/>
      <c r="L924" s="30" t="n"/>
      <c r="M924" s="30" t="n"/>
      <c r="N924" s="32" t="n"/>
      <c r="O924" s="30" t="n"/>
      <c r="P924" s="32" t="n"/>
      <c r="Q924" s="30" t="n"/>
      <c r="R924" s="32" t="n"/>
      <c r="S924" s="30" t="n"/>
      <c r="T924" s="30" t="n"/>
      <c r="U924" s="30" t="n"/>
      <c r="V924" s="30" t="n"/>
      <c r="W924" s="29">
        <f>IF(H924="","",IF(H924="Kenya","Yes","No"))</f>
        <v/>
      </c>
      <c r="X924" s="29">
        <f>IF(B924="","",IF(COUNTIF($B$5:$B$3004,B924)&gt;1,"DUPLICATE","OK"))</f>
        <v/>
      </c>
      <c r="Y924" s="29">
        <f>IF(OR(U924="",V924="",V924="Excluded"),"",IF(COUNTIFS($U$5:$U$3004,U924,$V$5:$V$3004,"&lt;&gt;"&amp;V924,$V$5:$V$3004,"&lt;&gt;",$V$5:$V$3004,"&lt;&gt;Excluded")&gt;0,"LEAK RISK","OK"))</f>
        <v/>
      </c>
      <c r="Z924" s="30" t="n"/>
    </row>
    <row r="925">
      <c r="A925" s="30" t="n"/>
      <c r="B925" s="30" t="n"/>
      <c r="C925" s="30" t="n"/>
      <c r="D925" s="30" t="n"/>
      <c r="E925" s="30" t="n"/>
      <c r="F925" s="30" t="n"/>
      <c r="G925" s="30" t="n"/>
      <c r="H925" s="30" t="n"/>
      <c r="I925" s="31" t="n"/>
      <c r="J925" s="30" t="n"/>
      <c r="K925" s="30" t="n"/>
      <c r="L925" s="30" t="n"/>
      <c r="M925" s="30" t="n"/>
      <c r="N925" s="32" t="n"/>
      <c r="O925" s="30" t="n"/>
      <c r="P925" s="32" t="n"/>
      <c r="Q925" s="30" t="n"/>
      <c r="R925" s="32" t="n"/>
      <c r="S925" s="30" t="n"/>
      <c r="T925" s="30" t="n"/>
      <c r="U925" s="30" t="n"/>
      <c r="V925" s="30" t="n"/>
      <c r="W925" s="29">
        <f>IF(H925="","",IF(H925="Kenya","Yes","No"))</f>
        <v/>
      </c>
      <c r="X925" s="29">
        <f>IF(B925="","",IF(COUNTIF($B$5:$B$3004,B925)&gt;1,"DUPLICATE","OK"))</f>
        <v/>
      </c>
      <c r="Y925" s="29">
        <f>IF(OR(U925="",V925="",V925="Excluded"),"",IF(COUNTIFS($U$5:$U$3004,U925,$V$5:$V$3004,"&lt;&gt;"&amp;V925,$V$5:$V$3004,"&lt;&gt;",$V$5:$V$3004,"&lt;&gt;Excluded")&gt;0,"LEAK RISK","OK"))</f>
        <v/>
      </c>
      <c r="Z925" s="30" t="n"/>
    </row>
    <row r="926">
      <c r="A926" s="30" t="n"/>
      <c r="B926" s="30" t="n"/>
      <c r="C926" s="30" t="n"/>
      <c r="D926" s="30" t="n"/>
      <c r="E926" s="30" t="n"/>
      <c r="F926" s="30" t="n"/>
      <c r="G926" s="30" t="n"/>
      <c r="H926" s="30" t="n"/>
      <c r="I926" s="31" t="n"/>
      <c r="J926" s="30" t="n"/>
      <c r="K926" s="30" t="n"/>
      <c r="L926" s="30" t="n"/>
      <c r="M926" s="30" t="n"/>
      <c r="N926" s="32" t="n"/>
      <c r="O926" s="30" t="n"/>
      <c r="P926" s="32" t="n"/>
      <c r="Q926" s="30" t="n"/>
      <c r="R926" s="32" t="n"/>
      <c r="S926" s="30" t="n"/>
      <c r="T926" s="30" t="n"/>
      <c r="U926" s="30" t="n"/>
      <c r="V926" s="30" t="n"/>
      <c r="W926" s="29">
        <f>IF(H926="","",IF(H926="Kenya","Yes","No"))</f>
        <v/>
      </c>
      <c r="X926" s="29">
        <f>IF(B926="","",IF(COUNTIF($B$5:$B$3004,B926)&gt;1,"DUPLICATE","OK"))</f>
        <v/>
      </c>
      <c r="Y926" s="29">
        <f>IF(OR(U926="",V926="",V926="Excluded"),"",IF(COUNTIFS($U$5:$U$3004,U926,$V$5:$V$3004,"&lt;&gt;"&amp;V926,$V$5:$V$3004,"&lt;&gt;",$V$5:$V$3004,"&lt;&gt;Excluded")&gt;0,"LEAK RISK","OK"))</f>
        <v/>
      </c>
      <c r="Z926" s="30" t="n"/>
    </row>
    <row r="927">
      <c r="A927" s="30" t="n"/>
      <c r="B927" s="30" t="n"/>
      <c r="C927" s="30" t="n"/>
      <c r="D927" s="30" t="n"/>
      <c r="E927" s="30" t="n"/>
      <c r="F927" s="30" t="n"/>
      <c r="G927" s="30" t="n"/>
      <c r="H927" s="30" t="n"/>
      <c r="I927" s="31" t="n"/>
      <c r="J927" s="30" t="n"/>
      <c r="K927" s="30" t="n"/>
      <c r="L927" s="30" t="n"/>
      <c r="M927" s="30" t="n"/>
      <c r="N927" s="32" t="n"/>
      <c r="O927" s="30" t="n"/>
      <c r="P927" s="32" t="n"/>
      <c r="Q927" s="30" t="n"/>
      <c r="R927" s="32" t="n"/>
      <c r="S927" s="30" t="n"/>
      <c r="T927" s="30" t="n"/>
      <c r="U927" s="30" t="n"/>
      <c r="V927" s="30" t="n"/>
      <c r="W927" s="29">
        <f>IF(H927="","",IF(H927="Kenya","Yes","No"))</f>
        <v/>
      </c>
      <c r="X927" s="29">
        <f>IF(B927="","",IF(COUNTIF($B$5:$B$3004,B927)&gt;1,"DUPLICATE","OK"))</f>
        <v/>
      </c>
      <c r="Y927" s="29">
        <f>IF(OR(U927="",V927="",V927="Excluded"),"",IF(COUNTIFS($U$5:$U$3004,U927,$V$5:$V$3004,"&lt;&gt;"&amp;V927,$V$5:$V$3004,"&lt;&gt;",$V$5:$V$3004,"&lt;&gt;Excluded")&gt;0,"LEAK RISK","OK"))</f>
        <v/>
      </c>
      <c r="Z927" s="30" t="n"/>
    </row>
    <row r="928">
      <c r="A928" s="30" t="n"/>
      <c r="B928" s="30" t="n"/>
      <c r="C928" s="30" t="n"/>
      <c r="D928" s="30" t="n"/>
      <c r="E928" s="30" t="n"/>
      <c r="F928" s="30" t="n"/>
      <c r="G928" s="30" t="n"/>
      <c r="H928" s="30" t="n"/>
      <c r="I928" s="31" t="n"/>
      <c r="J928" s="30" t="n"/>
      <c r="K928" s="30" t="n"/>
      <c r="L928" s="30" t="n"/>
      <c r="M928" s="30" t="n"/>
      <c r="N928" s="32" t="n"/>
      <c r="O928" s="30" t="n"/>
      <c r="P928" s="32" t="n"/>
      <c r="Q928" s="30" t="n"/>
      <c r="R928" s="32" t="n"/>
      <c r="S928" s="30" t="n"/>
      <c r="T928" s="30" t="n"/>
      <c r="U928" s="30" t="n"/>
      <c r="V928" s="30" t="n"/>
      <c r="W928" s="29">
        <f>IF(H928="","",IF(H928="Kenya","Yes","No"))</f>
        <v/>
      </c>
      <c r="X928" s="29">
        <f>IF(B928="","",IF(COUNTIF($B$5:$B$3004,B928)&gt;1,"DUPLICATE","OK"))</f>
        <v/>
      </c>
      <c r="Y928" s="29">
        <f>IF(OR(U928="",V928="",V928="Excluded"),"",IF(COUNTIFS($U$5:$U$3004,U928,$V$5:$V$3004,"&lt;&gt;"&amp;V928,$V$5:$V$3004,"&lt;&gt;",$V$5:$V$3004,"&lt;&gt;Excluded")&gt;0,"LEAK RISK","OK"))</f>
        <v/>
      </c>
      <c r="Z928" s="30" t="n"/>
    </row>
    <row r="929">
      <c r="A929" s="30" t="n"/>
      <c r="B929" s="30" t="n"/>
      <c r="C929" s="30" t="n"/>
      <c r="D929" s="30" t="n"/>
      <c r="E929" s="30" t="n"/>
      <c r="F929" s="30" t="n"/>
      <c r="G929" s="30" t="n"/>
      <c r="H929" s="30" t="n"/>
      <c r="I929" s="31" t="n"/>
      <c r="J929" s="30" t="n"/>
      <c r="K929" s="30" t="n"/>
      <c r="L929" s="30" t="n"/>
      <c r="M929" s="30" t="n"/>
      <c r="N929" s="32" t="n"/>
      <c r="O929" s="30" t="n"/>
      <c r="P929" s="32" t="n"/>
      <c r="Q929" s="30" t="n"/>
      <c r="R929" s="32" t="n"/>
      <c r="S929" s="30" t="n"/>
      <c r="T929" s="30" t="n"/>
      <c r="U929" s="30" t="n"/>
      <c r="V929" s="30" t="n"/>
      <c r="W929" s="29">
        <f>IF(H929="","",IF(H929="Kenya","Yes","No"))</f>
        <v/>
      </c>
      <c r="X929" s="29">
        <f>IF(B929="","",IF(COUNTIF($B$5:$B$3004,B929)&gt;1,"DUPLICATE","OK"))</f>
        <v/>
      </c>
      <c r="Y929" s="29">
        <f>IF(OR(U929="",V929="",V929="Excluded"),"",IF(COUNTIFS($U$5:$U$3004,U929,$V$5:$V$3004,"&lt;&gt;"&amp;V929,$V$5:$V$3004,"&lt;&gt;",$V$5:$V$3004,"&lt;&gt;Excluded")&gt;0,"LEAK RISK","OK"))</f>
        <v/>
      </c>
      <c r="Z929" s="30" t="n"/>
    </row>
    <row r="930">
      <c r="A930" s="30" t="n"/>
      <c r="B930" s="30" t="n"/>
      <c r="C930" s="30" t="n"/>
      <c r="D930" s="30" t="n"/>
      <c r="E930" s="30" t="n"/>
      <c r="F930" s="30" t="n"/>
      <c r="G930" s="30" t="n"/>
      <c r="H930" s="30" t="n"/>
      <c r="I930" s="31" t="n"/>
      <c r="J930" s="30" t="n"/>
      <c r="K930" s="30" t="n"/>
      <c r="L930" s="30" t="n"/>
      <c r="M930" s="30" t="n"/>
      <c r="N930" s="32" t="n"/>
      <c r="O930" s="30" t="n"/>
      <c r="P930" s="32" t="n"/>
      <c r="Q930" s="30" t="n"/>
      <c r="R930" s="32" t="n"/>
      <c r="S930" s="30" t="n"/>
      <c r="T930" s="30" t="n"/>
      <c r="U930" s="30" t="n"/>
      <c r="V930" s="30" t="n"/>
      <c r="W930" s="29">
        <f>IF(H930="","",IF(H930="Kenya","Yes","No"))</f>
        <v/>
      </c>
      <c r="X930" s="29">
        <f>IF(B930="","",IF(COUNTIF($B$5:$B$3004,B930)&gt;1,"DUPLICATE","OK"))</f>
        <v/>
      </c>
      <c r="Y930" s="29">
        <f>IF(OR(U930="",V930="",V930="Excluded"),"",IF(COUNTIFS($U$5:$U$3004,U930,$V$5:$V$3004,"&lt;&gt;"&amp;V930,$V$5:$V$3004,"&lt;&gt;",$V$5:$V$3004,"&lt;&gt;Excluded")&gt;0,"LEAK RISK","OK"))</f>
        <v/>
      </c>
      <c r="Z930" s="30" t="n"/>
    </row>
    <row r="931">
      <c r="A931" s="30" t="n"/>
      <c r="B931" s="30" t="n"/>
      <c r="C931" s="30" t="n"/>
      <c r="D931" s="30" t="n"/>
      <c r="E931" s="30" t="n"/>
      <c r="F931" s="30" t="n"/>
      <c r="G931" s="30" t="n"/>
      <c r="H931" s="30" t="n"/>
      <c r="I931" s="31" t="n"/>
      <c r="J931" s="30" t="n"/>
      <c r="K931" s="30" t="n"/>
      <c r="L931" s="30" t="n"/>
      <c r="M931" s="30" t="n"/>
      <c r="N931" s="32" t="n"/>
      <c r="O931" s="30" t="n"/>
      <c r="P931" s="32" t="n"/>
      <c r="Q931" s="30" t="n"/>
      <c r="R931" s="32" t="n"/>
      <c r="S931" s="30" t="n"/>
      <c r="T931" s="30" t="n"/>
      <c r="U931" s="30" t="n"/>
      <c r="V931" s="30" t="n"/>
      <c r="W931" s="29">
        <f>IF(H931="","",IF(H931="Kenya","Yes","No"))</f>
        <v/>
      </c>
      <c r="X931" s="29">
        <f>IF(B931="","",IF(COUNTIF($B$5:$B$3004,B931)&gt;1,"DUPLICATE","OK"))</f>
        <v/>
      </c>
      <c r="Y931" s="29">
        <f>IF(OR(U931="",V931="",V931="Excluded"),"",IF(COUNTIFS($U$5:$U$3004,U931,$V$5:$V$3004,"&lt;&gt;"&amp;V931,$V$5:$V$3004,"&lt;&gt;",$V$5:$V$3004,"&lt;&gt;Excluded")&gt;0,"LEAK RISK","OK"))</f>
        <v/>
      </c>
      <c r="Z931" s="30" t="n"/>
    </row>
    <row r="932">
      <c r="A932" s="30" t="n"/>
      <c r="B932" s="30" t="n"/>
      <c r="C932" s="30" t="n"/>
      <c r="D932" s="30" t="n"/>
      <c r="E932" s="30" t="n"/>
      <c r="F932" s="30" t="n"/>
      <c r="G932" s="30" t="n"/>
      <c r="H932" s="30" t="n"/>
      <c r="I932" s="31" t="n"/>
      <c r="J932" s="30" t="n"/>
      <c r="K932" s="30" t="n"/>
      <c r="L932" s="30" t="n"/>
      <c r="M932" s="30" t="n"/>
      <c r="N932" s="32" t="n"/>
      <c r="O932" s="30" t="n"/>
      <c r="P932" s="32" t="n"/>
      <c r="Q932" s="30" t="n"/>
      <c r="R932" s="32" t="n"/>
      <c r="S932" s="30" t="n"/>
      <c r="T932" s="30" t="n"/>
      <c r="U932" s="30" t="n"/>
      <c r="V932" s="30" t="n"/>
      <c r="W932" s="29">
        <f>IF(H932="","",IF(H932="Kenya","Yes","No"))</f>
        <v/>
      </c>
      <c r="X932" s="29">
        <f>IF(B932="","",IF(COUNTIF($B$5:$B$3004,B932)&gt;1,"DUPLICATE","OK"))</f>
        <v/>
      </c>
      <c r="Y932" s="29">
        <f>IF(OR(U932="",V932="",V932="Excluded"),"",IF(COUNTIFS($U$5:$U$3004,U932,$V$5:$V$3004,"&lt;&gt;"&amp;V932,$V$5:$V$3004,"&lt;&gt;",$V$5:$V$3004,"&lt;&gt;Excluded")&gt;0,"LEAK RISK","OK"))</f>
        <v/>
      </c>
      <c r="Z932" s="30" t="n"/>
    </row>
    <row r="933">
      <c r="A933" s="30" t="n"/>
      <c r="B933" s="30" t="n"/>
      <c r="C933" s="30" t="n"/>
      <c r="D933" s="30" t="n"/>
      <c r="E933" s="30" t="n"/>
      <c r="F933" s="30" t="n"/>
      <c r="G933" s="30" t="n"/>
      <c r="H933" s="30" t="n"/>
      <c r="I933" s="31" t="n"/>
      <c r="J933" s="30" t="n"/>
      <c r="K933" s="30" t="n"/>
      <c r="L933" s="30" t="n"/>
      <c r="M933" s="30" t="n"/>
      <c r="N933" s="32" t="n"/>
      <c r="O933" s="30" t="n"/>
      <c r="P933" s="32" t="n"/>
      <c r="Q933" s="30" t="n"/>
      <c r="R933" s="32" t="n"/>
      <c r="S933" s="30" t="n"/>
      <c r="T933" s="30" t="n"/>
      <c r="U933" s="30" t="n"/>
      <c r="V933" s="30" t="n"/>
      <c r="W933" s="29">
        <f>IF(H933="","",IF(H933="Kenya","Yes","No"))</f>
        <v/>
      </c>
      <c r="X933" s="29">
        <f>IF(B933="","",IF(COUNTIF($B$5:$B$3004,B933)&gt;1,"DUPLICATE","OK"))</f>
        <v/>
      </c>
      <c r="Y933" s="29">
        <f>IF(OR(U933="",V933="",V933="Excluded"),"",IF(COUNTIFS($U$5:$U$3004,U933,$V$5:$V$3004,"&lt;&gt;"&amp;V933,$V$5:$V$3004,"&lt;&gt;",$V$5:$V$3004,"&lt;&gt;Excluded")&gt;0,"LEAK RISK","OK"))</f>
        <v/>
      </c>
      <c r="Z933" s="30" t="n"/>
    </row>
    <row r="934">
      <c r="A934" s="30" t="n"/>
      <c r="B934" s="30" t="n"/>
      <c r="C934" s="30" t="n"/>
      <c r="D934" s="30" t="n"/>
      <c r="E934" s="30" t="n"/>
      <c r="F934" s="30" t="n"/>
      <c r="G934" s="30" t="n"/>
      <c r="H934" s="30" t="n"/>
      <c r="I934" s="31" t="n"/>
      <c r="J934" s="30" t="n"/>
      <c r="K934" s="30" t="n"/>
      <c r="L934" s="30" t="n"/>
      <c r="M934" s="30" t="n"/>
      <c r="N934" s="32" t="n"/>
      <c r="O934" s="30" t="n"/>
      <c r="P934" s="32" t="n"/>
      <c r="Q934" s="30" t="n"/>
      <c r="R934" s="32" t="n"/>
      <c r="S934" s="30" t="n"/>
      <c r="T934" s="30" t="n"/>
      <c r="U934" s="30" t="n"/>
      <c r="V934" s="30" t="n"/>
      <c r="W934" s="29">
        <f>IF(H934="","",IF(H934="Kenya","Yes","No"))</f>
        <v/>
      </c>
      <c r="X934" s="29">
        <f>IF(B934="","",IF(COUNTIF($B$5:$B$3004,B934)&gt;1,"DUPLICATE","OK"))</f>
        <v/>
      </c>
      <c r="Y934" s="29">
        <f>IF(OR(U934="",V934="",V934="Excluded"),"",IF(COUNTIFS($U$5:$U$3004,U934,$V$5:$V$3004,"&lt;&gt;"&amp;V934,$V$5:$V$3004,"&lt;&gt;",$V$5:$V$3004,"&lt;&gt;Excluded")&gt;0,"LEAK RISK","OK"))</f>
        <v/>
      </c>
      <c r="Z934" s="30" t="n"/>
    </row>
    <row r="935">
      <c r="A935" s="30" t="n"/>
      <c r="B935" s="30" t="n"/>
      <c r="C935" s="30" t="n"/>
      <c r="D935" s="30" t="n"/>
      <c r="E935" s="30" t="n"/>
      <c r="F935" s="30" t="n"/>
      <c r="G935" s="30" t="n"/>
      <c r="H935" s="30" t="n"/>
      <c r="I935" s="31" t="n"/>
      <c r="J935" s="30" t="n"/>
      <c r="K935" s="30" t="n"/>
      <c r="L935" s="30" t="n"/>
      <c r="M935" s="30" t="n"/>
      <c r="N935" s="32" t="n"/>
      <c r="O935" s="30" t="n"/>
      <c r="P935" s="32" t="n"/>
      <c r="Q935" s="30" t="n"/>
      <c r="R935" s="32" t="n"/>
      <c r="S935" s="30" t="n"/>
      <c r="T935" s="30" t="n"/>
      <c r="U935" s="30" t="n"/>
      <c r="V935" s="30" t="n"/>
      <c r="W935" s="29">
        <f>IF(H935="","",IF(H935="Kenya","Yes","No"))</f>
        <v/>
      </c>
      <c r="X935" s="29">
        <f>IF(B935="","",IF(COUNTIF($B$5:$B$3004,B935)&gt;1,"DUPLICATE","OK"))</f>
        <v/>
      </c>
      <c r="Y935" s="29">
        <f>IF(OR(U935="",V935="",V935="Excluded"),"",IF(COUNTIFS($U$5:$U$3004,U935,$V$5:$V$3004,"&lt;&gt;"&amp;V935,$V$5:$V$3004,"&lt;&gt;",$V$5:$V$3004,"&lt;&gt;Excluded")&gt;0,"LEAK RISK","OK"))</f>
        <v/>
      </c>
      <c r="Z935" s="30" t="n"/>
    </row>
    <row r="936">
      <c r="A936" s="30" t="n"/>
      <c r="B936" s="30" t="n"/>
      <c r="C936" s="30" t="n"/>
      <c r="D936" s="30" t="n"/>
      <c r="E936" s="30" t="n"/>
      <c r="F936" s="30" t="n"/>
      <c r="G936" s="30" t="n"/>
      <c r="H936" s="30" t="n"/>
      <c r="I936" s="31" t="n"/>
      <c r="J936" s="30" t="n"/>
      <c r="K936" s="30" t="n"/>
      <c r="L936" s="30" t="n"/>
      <c r="M936" s="30" t="n"/>
      <c r="N936" s="32" t="n"/>
      <c r="O936" s="30" t="n"/>
      <c r="P936" s="32" t="n"/>
      <c r="Q936" s="30" t="n"/>
      <c r="R936" s="32" t="n"/>
      <c r="S936" s="30" t="n"/>
      <c r="T936" s="30" t="n"/>
      <c r="U936" s="30" t="n"/>
      <c r="V936" s="30" t="n"/>
      <c r="W936" s="29">
        <f>IF(H936="","",IF(H936="Kenya","Yes","No"))</f>
        <v/>
      </c>
      <c r="X936" s="29">
        <f>IF(B936="","",IF(COUNTIF($B$5:$B$3004,B936)&gt;1,"DUPLICATE","OK"))</f>
        <v/>
      </c>
      <c r="Y936" s="29">
        <f>IF(OR(U936="",V936="",V936="Excluded"),"",IF(COUNTIFS($U$5:$U$3004,U936,$V$5:$V$3004,"&lt;&gt;"&amp;V936,$V$5:$V$3004,"&lt;&gt;",$V$5:$V$3004,"&lt;&gt;Excluded")&gt;0,"LEAK RISK","OK"))</f>
        <v/>
      </c>
      <c r="Z936" s="30" t="n"/>
    </row>
    <row r="937">
      <c r="A937" s="30" t="n"/>
      <c r="B937" s="30" t="n"/>
      <c r="C937" s="30" t="n"/>
      <c r="D937" s="30" t="n"/>
      <c r="E937" s="30" t="n"/>
      <c r="F937" s="30" t="n"/>
      <c r="G937" s="30" t="n"/>
      <c r="H937" s="30" t="n"/>
      <c r="I937" s="31" t="n"/>
      <c r="J937" s="30" t="n"/>
      <c r="K937" s="30" t="n"/>
      <c r="L937" s="30" t="n"/>
      <c r="M937" s="30" t="n"/>
      <c r="N937" s="32" t="n"/>
      <c r="O937" s="30" t="n"/>
      <c r="P937" s="32" t="n"/>
      <c r="Q937" s="30" t="n"/>
      <c r="R937" s="32" t="n"/>
      <c r="S937" s="30" t="n"/>
      <c r="T937" s="30" t="n"/>
      <c r="U937" s="30" t="n"/>
      <c r="V937" s="30" t="n"/>
      <c r="W937" s="29">
        <f>IF(H937="","",IF(H937="Kenya","Yes","No"))</f>
        <v/>
      </c>
      <c r="X937" s="29">
        <f>IF(B937="","",IF(COUNTIF($B$5:$B$3004,B937)&gt;1,"DUPLICATE","OK"))</f>
        <v/>
      </c>
      <c r="Y937" s="29">
        <f>IF(OR(U937="",V937="",V937="Excluded"),"",IF(COUNTIFS($U$5:$U$3004,U937,$V$5:$V$3004,"&lt;&gt;"&amp;V937,$V$5:$V$3004,"&lt;&gt;",$V$5:$V$3004,"&lt;&gt;Excluded")&gt;0,"LEAK RISK","OK"))</f>
        <v/>
      </c>
      <c r="Z937" s="30" t="n"/>
    </row>
    <row r="938">
      <c r="A938" s="30" t="n"/>
      <c r="B938" s="30" t="n"/>
      <c r="C938" s="30" t="n"/>
      <c r="D938" s="30" t="n"/>
      <c r="E938" s="30" t="n"/>
      <c r="F938" s="30" t="n"/>
      <c r="G938" s="30" t="n"/>
      <c r="H938" s="30" t="n"/>
      <c r="I938" s="31" t="n"/>
      <c r="J938" s="30" t="n"/>
      <c r="K938" s="30" t="n"/>
      <c r="L938" s="30" t="n"/>
      <c r="M938" s="30" t="n"/>
      <c r="N938" s="32" t="n"/>
      <c r="O938" s="30" t="n"/>
      <c r="P938" s="32" t="n"/>
      <c r="Q938" s="30" t="n"/>
      <c r="R938" s="32" t="n"/>
      <c r="S938" s="30" t="n"/>
      <c r="T938" s="30" t="n"/>
      <c r="U938" s="30" t="n"/>
      <c r="V938" s="30" t="n"/>
      <c r="W938" s="29">
        <f>IF(H938="","",IF(H938="Kenya","Yes","No"))</f>
        <v/>
      </c>
      <c r="X938" s="29">
        <f>IF(B938="","",IF(COUNTIF($B$5:$B$3004,B938)&gt;1,"DUPLICATE","OK"))</f>
        <v/>
      </c>
      <c r="Y938" s="29">
        <f>IF(OR(U938="",V938="",V938="Excluded"),"",IF(COUNTIFS($U$5:$U$3004,U938,$V$5:$V$3004,"&lt;&gt;"&amp;V938,$V$5:$V$3004,"&lt;&gt;",$V$5:$V$3004,"&lt;&gt;Excluded")&gt;0,"LEAK RISK","OK"))</f>
        <v/>
      </c>
      <c r="Z938" s="30" t="n"/>
    </row>
    <row r="939">
      <c r="A939" s="30" t="n"/>
      <c r="B939" s="30" t="n"/>
      <c r="C939" s="30" t="n"/>
      <c r="D939" s="30" t="n"/>
      <c r="E939" s="30" t="n"/>
      <c r="F939" s="30" t="n"/>
      <c r="G939" s="30" t="n"/>
      <c r="H939" s="30" t="n"/>
      <c r="I939" s="31" t="n"/>
      <c r="J939" s="30" t="n"/>
      <c r="K939" s="30" t="n"/>
      <c r="L939" s="30" t="n"/>
      <c r="M939" s="30" t="n"/>
      <c r="N939" s="32" t="n"/>
      <c r="O939" s="30" t="n"/>
      <c r="P939" s="32" t="n"/>
      <c r="Q939" s="30" t="n"/>
      <c r="R939" s="32" t="n"/>
      <c r="S939" s="30" t="n"/>
      <c r="T939" s="30" t="n"/>
      <c r="U939" s="30" t="n"/>
      <c r="V939" s="30" t="n"/>
      <c r="W939" s="29">
        <f>IF(H939="","",IF(H939="Kenya","Yes","No"))</f>
        <v/>
      </c>
      <c r="X939" s="29">
        <f>IF(B939="","",IF(COUNTIF($B$5:$B$3004,B939)&gt;1,"DUPLICATE","OK"))</f>
        <v/>
      </c>
      <c r="Y939" s="29">
        <f>IF(OR(U939="",V939="",V939="Excluded"),"",IF(COUNTIFS($U$5:$U$3004,U939,$V$5:$V$3004,"&lt;&gt;"&amp;V939,$V$5:$V$3004,"&lt;&gt;",$V$5:$V$3004,"&lt;&gt;Excluded")&gt;0,"LEAK RISK","OK"))</f>
        <v/>
      </c>
      <c r="Z939" s="30" t="n"/>
    </row>
    <row r="940">
      <c r="A940" s="30" t="n"/>
      <c r="B940" s="30" t="n"/>
      <c r="C940" s="30" t="n"/>
      <c r="D940" s="30" t="n"/>
      <c r="E940" s="30" t="n"/>
      <c r="F940" s="30" t="n"/>
      <c r="G940" s="30" t="n"/>
      <c r="H940" s="30" t="n"/>
      <c r="I940" s="31" t="n"/>
      <c r="J940" s="30" t="n"/>
      <c r="K940" s="30" t="n"/>
      <c r="L940" s="30" t="n"/>
      <c r="M940" s="30" t="n"/>
      <c r="N940" s="32" t="n"/>
      <c r="O940" s="30" t="n"/>
      <c r="P940" s="32" t="n"/>
      <c r="Q940" s="30" t="n"/>
      <c r="R940" s="32" t="n"/>
      <c r="S940" s="30" t="n"/>
      <c r="T940" s="30" t="n"/>
      <c r="U940" s="30" t="n"/>
      <c r="V940" s="30" t="n"/>
      <c r="W940" s="29">
        <f>IF(H940="","",IF(H940="Kenya","Yes","No"))</f>
        <v/>
      </c>
      <c r="X940" s="29">
        <f>IF(B940="","",IF(COUNTIF($B$5:$B$3004,B940)&gt;1,"DUPLICATE","OK"))</f>
        <v/>
      </c>
      <c r="Y940" s="29">
        <f>IF(OR(U940="",V940="",V940="Excluded"),"",IF(COUNTIFS($U$5:$U$3004,U940,$V$5:$V$3004,"&lt;&gt;"&amp;V940,$V$5:$V$3004,"&lt;&gt;",$V$5:$V$3004,"&lt;&gt;Excluded")&gt;0,"LEAK RISK","OK"))</f>
        <v/>
      </c>
      <c r="Z940" s="30" t="n"/>
    </row>
    <row r="941">
      <c r="A941" s="30" t="n"/>
      <c r="B941" s="30" t="n"/>
      <c r="C941" s="30" t="n"/>
      <c r="D941" s="30" t="n"/>
      <c r="E941" s="30" t="n"/>
      <c r="F941" s="30" t="n"/>
      <c r="G941" s="30" t="n"/>
      <c r="H941" s="30" t="n"/>
      <c r="I941" s="31" t="n"/>
      <c r="J941" s="30" t="n"/>
      <c r="K941" s="30" t="n"/>
      <c r="L941" s="30" t="n"/>
      <c r="M941" s="30" t="n"/>
      <c r="N941" s="32" t="n"/>
      <c r="O941" s="30" t="n"/>
      <c r="P941" s="32" t="n"/>
      <c r="Q941" s="30" t="n"/>
      <c r="R941" s="32" t="n"/>
      <c r="S941" s="30" t="n"/>
      <c r="T941" s="30" t="n"/>
      <c r="U941" s="30" t="n"/>
      <c r="V941" s="30" t="n"/>
      <c r="W941" s="29">
        <f>IF(H941="","",IF(H941="Kenya","Yes","No"))</f>
        <v/>
      </c>
      <c r="X941" s="29">
        <f>IF(B941="","",IF(COUNTIF($B$5:$B$3004,B941)&gt;1,"DUPLICATE","OK"))</f>
        <v/>
      </c>
      <c r="Y941" s="29">
        <f>IF(OR(U941="",V941="",V941="Excluded"),"",IF(COUNTIFS($U$5:$U$3004,U941,$V$5:$V$3004,"&lt;&gt;"&amp;V941,$V$5:$V$3004,"&lt;&gt;",$V$5:$V$3004,"&lt;&gt;Excluded")&gt;0,"LEAK RISK","OK"))</f>
        <v/>
      </c>
      <c r="Z941" s="30" t="n"/>
    </row>
    <row r="942">
      <c r="A942" s="30" t="n"/>
      <c r="B942" s="30" t="n"/>
      <c r="C942" s="30" t="n"/>
      <c r="D942" s="30" t="n"/>
      <c r="E942" s="30" t="n"/>
      <c r="F942" s="30" t="n"/>
      <c r="G942" s="30" t="n"/>
      <c r="H942" s="30" t="n"/>
      <c r="I942" s="31" t="n"/>
      <c r="J942" s="30" t="n"/>
      <c r="K942" s="30" t="n"/>
      <c r="L942" s="30" t="n"/>
      <c r="M942" s="30" t="n"/>
      <c r="N942" s="32" t="n"/>
      <c r="O942" s="30" t="n"/>
      <c r="P942" s="32" t="n"/>
      <c r="Q942" s="30" t="n"/>
      <c r="R942" s="32" t="n"/>
      <c r="S942" s="30" t="n"/>
      <c r="T942" s="30" t="n"/>
      <c r="U942" s="30" t="n"/>
      <c r="V942" s="30" t="n"/>
      <c r="W942" s="29">
        <f>IF(H942="","",IF(H942="Kenya","Yes","No"))</f>
        <v/>
      </c>
      <c r="X942" s="29">
        <f>IF(B942="","",IF(COUNTIF($B$5:$B$3004,B942)&gt;1,"DUPLICATE","OK"))</f>
        <v/>
      </c>
      <c r="Y942" s="29">
        <f>IF(OR(U942="",V942="",V942="Excluded"),"",IF(COUNTIFS($U$5:$U$3004,U942,$V$5:$V$3004,"&lt;&gt;"&amp;V942,$V$5:$V$3004,"&lt;&gt;",$V$5:$V$3004,"&lt;&gt;Excluded")&gt;0,"LEAK RISK","OK"))</f>
        <v/>
      </c>
      <c r="Z942" s="30" t="n"/>
    </row>
    <row r="943">
      <c r="A943" s="30" t="n"/>
      <c r="B943" s="30" t="n"/>
      <c r="C943" s="30" t="n"/>
      <c r="D943" s="30" t="n"/>
      <c r="E943" s="30" t="n"/>
      <c r="F943" s="30" t="n"/>
      <c r="G943" s="30" t="n"/>
      <c r="H943" s="30" t="n"/>
      <c r="I943" s="31" t="n"/>
      <c r="J943" s="30" t="n"/>
      <c r="K943" s="30" t="n"/>
      <c r="L943" s="30" t="n"/>
      <c r="M943" s="30" t="n"/>
      <c r="N943" s="32" t="n"/>
      <c r="O943" s="30" t="n"/>
      <c r="P943" s="32" t="n"/>
      <c r="Q943" s="30" t="n"/>
      <c r="R943" s="32" t="n"/>
      <c r="S943" s="30" t="n"/>
      <c r="T943" s="30" t="n"/>
      <c r="U943" s="30" t="n"/>
      <c r="V943" s="30" t="n"/>
      <c r="W943" s="29">
        <f>IF(H943="","",IF(H943="Kenya","Yes","No"))</f>
        <v/>
      </c>
      <c r="X943" s="29">
        <f>IF(B943="","",IF(COUNTIF($B$5:$B$3004,B943)&gt;1,"DUPLICATE","OK"))</f>
        <v/>
      </c>
      <c r="Y943" s="29">
        <f>IF(OR(U943="",V943="",V943="Excluded"),"",IF(COUNTIFS($U$5:$U$3004,U943,$V$5:$V$3004,"&lt;&gt;"&amp;V943,$V$5:$V$3004,"&lt;&gt;",$V$5:$V$3004,"&lt;&gt;Excluded")&gt;0,"LEAK RISK","OK"))</f>
        <v/>
      </c>
      <c r="Z943" s="30" t="n"/>
    </row>
    <row r="944">
      <c r="A944" s="30" t="n"/>
      <c r="B944" s="30" t="n"/>
      <c r="C944" s="30" t="n"/>
      <c r="D944" s="30" t="n"/>
      <c r="E944" s="30" t="n"/>
      <c r="F944" s="30" t="n"/>
      <c r="G944" s="30" t="n"/>
      <c r="H944" s="30" t="n"/>
      <c r="I944" s="31" t="n"/>
      <c r="J944" s="30" t="n"/>
      <c r="K944" s="30" t="n"/>
      <c r="L944" s="30" t="n"/>
      <c r="M944" s="30" t="n"/>
      <c r="N944" s="32" t="n"/>
      <c r="O944" s="30" t="n"/>
      <c r="P944" s="32" t="n"/>
      <c r="Q944" s="30" t="n"/>
      <c r="R944" s="32" t="n"/>
      <c r="S944" s="30" t="n"/>
      <c r="T944" s="30" t="n"/>
      <c r="U944" s="30" t="n"/>
      <c r="V944" s="30" t="n"/>
      <c r="W944" s="29">
        <f>IF(H944="","",IF(H944="Kenya","Yes","No"))</f>
        <v/>
      </c>
      <c r="X944" s="29">
        <f>IF(B944="","",IF(COUNTIF($B$5:$B$3004,B944)&gt;1,"DUPLICATE","OK"))</f>
        <v/>
      </c>
      <c r="Y944" s="29">
        <f>IF(OR(U944="",V944="",V944="Excluded"),"",IF(COUNTIFS($U$5:$U$3004,U944,$V$5:$V$3004,"&lt;&gt;"&amp;V944,$V$5:$V$3004,"&lt;&gt;",$V$5:$V$3004,"&lt;&gt;Excluded")&gt;0,"LEAK RISK","OK"))</f>
        <v/>
      </c>
      <c r="Z944" s="30" t="n"/>
    </row>
    <row r="945">
      <c r="A945" s="30" t="n"/>
      <c r="B945" s="30" t="n"/>
      <c r="C945" s="30" t="n"/>
      <c r="D945" s="30" t="n"/>
      <c r="E945" s="30" t="n"/>
      <c r="F945" s="30" t="n"/>
      <c r="G945" s="30" t="n"/>
      <c r="H945" s="30" t="n"/>
      <c r="I945" s="31" t="n"/>
      <c r="J945" s="30" t="n"/>
      <c r="K945" s="30" t="n"/>
      <c r="L945" s="30" t="n"/>
      <c r="M945" s="30" t="n"/>
      <c r="N945" s="32" t="n"/>
      <c r="O945" s="30" t="n"/>
      <c r="P945" s="32" t="n"/>
      <c r="Q945" s="30" t="n"/>
      <c r="R945" s="32" t="n"/>
      <c r="S945" s="30" t="n"/>
      <c r="T945" s="30" t="n"/>
      <c r="U945" s="30" t="n"/>
      <c r="V945" s="30" t="n"/>
      <c r="W945" s="29">
        <f>IF(H945="","",IF(H945="Kenya","Yes","No"))</f>
        <v/>
      </c>
      <c r="X945" s="29">
        <f>IF(B945="","",IF(COUNTIF($B$5:$B$3004,B945)&gt;1,"DUPLICATE","OK"))</f>
        <v/>
      </c>
      <c r="Y945" s="29">
        <f>IF(OR(U945="",V945="",V945="Excluded"),"",IF(COUNTIFS($U$5:$U$3004,U945,$V$5:$V$3004,"&lt;&gt;"&amp;V945,$V$5:$V$3004,"&lt;&gt;",$V$5:$V$3004,"&lt;&gt;Excluded")&gt;0,"LEAK RISK","OK"))</f>
        <v/>
      </c>
      <c r="Z945" s="30" t="n"/>
    </row>
    <row r="946">
      <c r="A946" s="30" t="n"/>
      <c r="B946" s="30" t="n"/>
      <c r="C946" s="30" t="n"/>
      <c r="D946" s="30" t="n"/>
      <c r="E946" s="30" t="n"/>
      <c r="F946" s="30" t="n"/>
      <c r="G946" s="30" t="n"/>
      <c r="H946" s="30" t="n"/>
      <c r="I946" s="31" t="n"/>
      <c r="J946" s="30" t="n"/>
      <c r="K946" s="30" t="n"/>
      <c r="L946" s="30" t="n"/>
      <c r="M946" s="30" t="n"/>
      <c r="N946" s="32" t="n"/>
      <c r="O946" s="30" t="n"/>
      <c r="P946" s="32" t="n"/>
      <c r="Q946" s="30" t="n"/>
      <c r="R946" s="32" t="n"/>
      <c r="S946" s="30" t="n"/>
      <c r="T946" s="30" t="n"/>
      <c r="U946" s="30" t="n"/>
      <c r="V946" s="30" t="n"/>
      <c r="W946" s="29">
        <f>IF(H946="","",IF(H946="Kenya","Yes","No"))</f>
        <v/>
      </c>
      <c r="X946" s="29">
        <f>IF(B946="","",IF(COUNTIF($B$5:$B$3004,B946)&gt;1,"DUPLICATE","OK"))</f>
        <v/>
      </c>
      <c r="Y946" s="29">
        <f>IF(OR(U946="",V946="",V946="Excluded"),"",IF(COUNTIFS($U$5:$U$3004,U946,$V$5:$V$3004,"&lt;&gt;"&amp;V946,$V$5:$V$3004,"&lt;&gt;",$V$5:$V$3004,"&lt;&gt;Excluded")&gt;0,"LEAK RISK","OK"))</f>
        <v/>
      </c>
      <c r="Z946" s="30" t="n"/>
    </row>
    <row r="947">
      <c r="A947" s="30" t="n"/>
      <c r="B947" s="30" t="n"/>
      <c r="C947" s="30" t="n"/>
      <c r="D947" s="30" t="n"/>
      <c r="E947" s="30" t="n"/>
      <c r="F947" s="30" t="n"/>
      <c r="G947" s="30" t="n"/>
      <c r="H947" s="30" t="n"/>
      <c r="I947" s="31" t="n"/>
      <c r="J947" s="30" t="n"/>
      <c r="K947" s="30" t="n"/>
      <c r="L947" s="30" t="n"/>
      <c r="M947" s="30" t="n"/>
      <c r="N947" s="32" t="n"/>
      <c r="O947" s="30" t="n"/>
      <c r="P947" s="32" t="n"/>
      <c r="Q947" s="30" t="n"/>
      <c r="R947" s="32" t="n"/>
      <c r="S947" s="30" t="n"/>
      <c r="T947" s="30" t="n"/>
      <c r="U947" s="30" t="n"/>
      <c r="V947" s="30" t="n"/>
      <c r="W947" s="29">
        <f>IF(H947="","",IF(H947="Kenya","Yes","No"))</f>
        <v/>
      </c>
      <c r="X947" s="29">
        <f>IF(B947="","",IF(COUNTIF($B$5:$B$3004,B947)&gt;1,"DUPLICATE","OK"))</f>
        <v/>
      </c>
      <c r="Y947" s="29">
        <f>IF(OR(U947="",V947="",V947="Excluded"),"",IF(COUNTIFS($U$5:$U$3004,U947,$V$5:$V$3004,"&lt;&gt;"&amp;V947,$V$5:$V$3004,"&lt;&gt;",$V$5:$V$3004,"&lt;&gt;Excluded")&gt;0,"LEAK RISK","OK"))</f>
        <v/>
      </c>
      <c r="Z947" s="30" t="n"/>
    </row>
    <row r="948">
      <c r="A948" s="30" t="n"/>
      <c r="B948" s="30" t="n"/>
      <c r="C948" s="30" t="n"/>
      <c r="D948" s="30" t="n"/>
      <c r="E948" s="30" t="n"/>
      <c r="F948" s="30" t="n"/>
      <c r="G948" s="30" t="n"/>
      <c r="H948" s="30" t="n"/>
      <c r="I948" s="31" t="n"/>
      <c r="J948" s="30" t="n"/>
      <c r="K948" s="30" t="n"/>
      <c r="L948" s="30" t="n"/>
      <c r="M948" s="30" t="n"/>
      <c r="N948" s="32" t="n"/>
      <c r="O948" s="30" t="n"/>
      <c r="P948" s="32" t="n"/>
      <c r="Q948" s="30" t="n"/>
      <c r="R948" s="32" t="n"/>
      <c r="S948" s="30" t="n"/>
      <c r="T948" s="30" t="n"/>
      <c r="U948" s="30" t="n"/>
      <c r="V948" s="30" t="n"/>
      <c r="W948" s="29">
        <f>IF(H948="","",IF(H948="Kenya","Yes","No"))</f>
        <v/>
      </c>
      <c r="X948" s="29">
        <f>IF(B948="","",IF(COUNTIF($B$5:$B$3004,B948)&gt;1,"DUPLICATE","OK"))</f>
        <v/>
      </c>
      <c r="Y948" s="29">
        <f>IF(OR(U948="",V948="",V948="Excluded"),"",IF(COUNTIFS($U$5:$U$3004,U948,$V$5:$V$3004,"&lt;&gt;"&amp;V948,$V$5:$V$3004,"&lt;&gt;",$V$5:$V$3004,"&lt;&gt;Excluded")&gt;0,"LEAK RISK","OK"))</f>
        <v/>
      </c>
      <c r="Z948" s="30" t="n"/>
    </row>
    <row r="949">
      <c r="A949" s="30" t="n"/>
      <c r="B949" s="30" t="n"/>
      <c r="C949" s="30" t="n"/>
      <c r="D949" s="30" t="n"/>
      <c r="E949" s="30" t="n"/>
      <c r="F949" s="30" t="n"/>
      <c r="G949" s="30" t="n"/>
      <c r="H949" s="30" t="n"/>
      <c r="I949" s="31" t="n"/>
      <c r="J949" s="30" t="n"/>
      <c r="K949" s="30" t="n"/>
      <c r="L949" s="30" t="n"/>
      <c r="M949" s="30" t="n"/>
      <c r="N949" s="32" t="n"/>
      <c r="O949" s="30" t="n"/>
      <c r="P949" s="32" t="n"/>
      <c r="Q949" s="30" t="n"/>
      <c r="R949" s="32" t="n"/>
      <c r="S949" s="30" t="n"/>
      <c r="T949" s="30" t="n"/>
      <c r="U949" s="30" t="n"/>
      <c r="V949" s="30" t="n"/>
      <c r="W949" s="29">
        <f>IF(H949="","",IF(H949="Kenya","Yes","No"))</f>
        <v/>
      </c>
      <c r="X949" s="29">
        <f>IF(B949="","",IF(COUNTIF($B$5:$B$3004,B949)&gt;1,"DUPLICATE","OK"))</f>
        <v/>
      </c>
      <c r="Y949" s="29">
        <f>IF(OR(U949="",V949="",V949="Excluded"),"",IF(COUNTIFS($U$5:$U$3004,U949,$V$5:$V$3004,"&lt;&gt;"&amp;V949,$V$5:$V$3004,"&lt;&gt;",$V$5:$V$3004,"&lt;&gt;Excluded")&gt;0,"LEAK RISK","OK"))</f>
        <v/>
      </c>
      <c r="Z949" s="30" t="n"/>
    </row>
    <row r="950">
      <c r="A950" s="30" t="n"/>
      <c r="B950" s="30" t="n"/>
      <c r="C950" s="30" t="n"/>
      <c r="D950" s="30" t="n"/>
      <c r="E950" s="30" t="n"/>
      <c r="F950" s="30" t="n"/>
      <c r="G950" s="30" t="n"/>
      <c r="H950" s="30" t="n"/>
      <c r="I950" s="31" t="n"/>
      <c r="J950" s="30" t="n"/>
      <c r="K950" s="30" t="n"/>
      <c r="L950" s="30" t="n"/>
      <c r="M950" s="30" t="n"/>
      <c r="N950" s="32" t="n"/>
      <c r="O950" s="30" t="n"/>
      <c r="P950" s="32" t="n"/>
      <c r="Q950" s="30" t="n"/>
      <c r="R950" s="32" t="n"/>
      <c r="S950" s="30" t="n"/>
      <c r="T950" s="30" t="n"/>
      <c r="U950" s="30" t="n"/>
      <c r="V950" s="30" t="n"/>
      <c r="W950" s="29">
        <f>IF(H950="","",IF(H950="Kenya","Yes","No"))</f>
        <v/>
      </c>
      <c r="X950" s="29">
        <f>IF(B950="","",IF(COUNTIF($B$5:$B$3004,B950)&gt;1,"DUPLICATE","OK"))</f>
        <v/>
      </c>
      <c r="Y950" s="29">
        <f>IF(OR(U950="",V950="",V950="Excluded"),"",IF(COUNTIFS($U$5:$U$3004,U950,$V$5:$V$3004,"&lt;&gt;"&amp;V950,$V$5:$V$3004,"&lt;&gt;",$V$5:$V$3004,"&lt;&gt;Excluded")&gt;0,"LEAK RISK","OK"))</f>
        <v/>
      </c>
      <c r="Z950" s="30" t="n"/>
    </row>
    <row r="951">
      <c r="A951" s="30" t="n"/>
      <c r="B951" s="30" t="n"/>
      <c r="C951" s="30" t="n"/>
      <c r="D951" s="30" t="n"/>
      <c r="E951" s="30" t="n"/>
      <c r="F951" s="30" t="n"/>
      <c r="G951" s="30" t="n"/>
      <c r="H951" s="30" t="n"/>
      <c r="I951" s="31" t="n"/>
      <c r="J951" s="30" t="n"/>
      <c r="K951" s="30" t="n"/>
      <c r="L951" s="30" t="n"/>
      <c r="M951" s="30" t="n"/>
      <c r="N951" s="32" t="n"/>
      <c r="O951" s="30" t="n"/>
      <c r="P951" s="32" t="n"/>
      <c r="Q951" s="30" t="n"/>
      <c r="R951" s="32" t="n"/>
      <c r="S951" s="30" t="n"/>
      <c r="T951" s="30" t="n"/>
      <c r="U951" s="30" t="n"/>
      <c r="V951" s="30" t="n"/>
      <c r="W951" s="29">
        <f>IF(H951="","",IF(H951="Kenya","Yes","No"))</f>
        <v/>
      </c>
      <c r="X951" s="29">
        <f>IF(B951="","",IF(COUNTIF($B$5:$B$3004,B951)&gt;1,"DUPLICATE","OK"))</f>
        <v/>
      </c>
      <c r="Y951" s="29">
        <f>IF(OR(U951="",V951="",V951="Excluded"),"",IF(COUNTIFS($U$5:$U$3004,U951,$V$5:$V$3004,"&lt;&gt;"&amp;V951,$V$5:$V$3004,"&lt;&gt;",$V$5:$V$3004,"&lt;&gt;Excluded")&gt;0,"LEAK RISK","OK"))</f>
        <v/>
      </c>
      <c r="Z951" s="30" t="n"/>
    </row>
    <row r="952">
      <c r="A952" s="30" t="n"/>
      <c r="B952" s="30" t="n"/>
      <c r="C952" s="30" t="n"/>
      <c r="D952" s="30" t="n"/>
      <c r="E952" s="30" t="n"/>
      <c r="F952" s="30" t="n"/>
      <c r="G952" s="30" t="n"/>
      <c r="H952" s="30" t="n"/>
      <c r="I952" s="31" t="n"/>
      <c r="J952" s="30" t="n"/>
      <c r="K952" s="30" t="n"/>
      <c r="L952" s="30" t="n"/>
      <c r="M952" s="30" t="n"/>
      <c r="N952" s="32" t="n"/>
      <c r="O952" s="30" t="n"/>
      <c r="P952" s="32" t="n"/>
      <c r="Q952" s="30" t="n"/>
      <c r="R952" s="32" t="n"/>
      <c r="S952" s="30" t="n"/>
      <c r="T952" s="30" t="n"/>
      <c r="U952" s="30" t="n"/>
      <c r="V952" s="30" t="n"/>
      <c r="W952" s="29">
        <f>IF(H952="","",IF(H952="Kenya","Yes","No"))</f>
        <v/>
      </c>
      <c r="X952" s="29">
        <f>IF(B952="","",IF(COUNTIF($B$5:$B$3004,B952)&gt;1,"DUPLICATE","OK"))</f>
        <v/>
      </c>
      <c r="Y952" s="29">
        <f>IF(OR(U952="",V952="",V952="Excluded"),"",IF(COUNTIFS($U$5:$U$3004,U952,$V$5:$V$3004,"&lt;&gt;"&amp;V952,$V$5:$V$3004,"&lt;&gt;",$V$5:$V$3004,"&lt;&gt;Excluded")&gt;0,"LEAK RISK","OK"))</f>
        <v/>
      </c>
      <c r="Z952" s="30" t="n"/>
    </row>
    <row r="953">
      <c r="A953" s="30" t="n"/>
      <c r="B953" s="30" t="n"/>
      <c r="C953" s="30" t="n"/>
      <c r="D953" s="30" t="n"/>
      <c r="E953" s="30" t="n"/>
      <c r="F953" s="30" t="n"/>
      <c r="G953" s="30" t="n"/>
      <c r="H953" s="30" t="n"/>
      <c r="I953" s="31" t="n"/>
      <c r="J953" s="30" t="n"/>
      <c r="K953" s="30" t="n"/>
      <c r="L953" s="30" t="n"/>
      <c r="M953" s="30" t="n"/>
      <c r="N953" s="32" t="n"/>
      <c r="O953" s="30" t="n"/>
      <c r="P953" s="32" t="n"/>
      <c r="Q953" s="30" t="n"/>
      <c r="R953" s="32" t="n"/>
      <c r="S953" s="30" t="n"/>
      <c r="T953" s="30" t="n"/>
      <c r="U953" s="30" t="n"/>
      <c r="V953" s="30" t="n"/>
      <c r="W953" s="29">
        <f>IF(H953="","",IF(H953="Kenya","Yes","No"))</f>
        <v/>
      </c>
      <c r="X953" s="29">
        <f>IF(B953="","",IF(COUNTIF($B$5:$B$3004,B953)&gt;1,"DUPLICATE","OK"))</f>
        <v/>
      </c>
      <c r="Y953" s="29">
        <f>IF(OR(U953="",V953="",V953="Excluded"),"",IF(COUNTIFS($U$5:$U$3004,U953,$V$5:$V$3004,"&lt;&gt;"&amp;V953,$V$5:$V$3004,"&lt;&gt;",$V$5:$V$3004,"&lt;&gt;Excluded")&gt;0,"LEAK RISK","OK"))</f>
        <v/>
      </c>
      <c r="Z953" s="30" t="n"/>
    </row>
    <row r="954">
      <c r="A954" s="30" t="n"/>
      <c r="B954" s="30" t="n"/>
      <c r="C954" s="30" t="n"/>
      <c r="D954" s="30" t="n"/>
      <c r="E954" s="30" t="n"/>
      <c r="F954" s="30" t="n"/>
      <c r="G954" s="30" t="n"/>
      <c r="H954" s="30" t="n"/>
      <c r="I954" s="31" t="n"/>
      <c r="J954" s="30" t="n"/>
      <c r="K954" s="30" t="n"/>
      <c r="L954" s="30" t="n"/>
      <c r="M954" s="30" t="n"/>
      <c r="N954" s="32" t="n"/>
      <c r="O954" s="30" t="n"/>
      <c r="P954" s="32" t="n"/>
      <c r="Q954" s="30" t="n"/>
      <c r="R954" s="32" t="n"/>
      <c r="S954" s="30" t="n"/>
      <c r="T954" s="30" t="n"/>
      <c r="U954" s="30" t="n"/>
      <c r="V954" s="30" t="n"/>
      <c r="W954" s="29">
        <f>IF(H954="","",IF(H954="Kenya","Yes","No"))</f>
        <v/>
      </c>
      <c r="X954" s="29">
        <f>IF(B954="","",IF(COUNTIF($B$5:$B$3004,B954)&gt;1,"DUPLICATE","OK"))</f>
        <v/>
      </c>
      <c r="Y954" s="29">
        <f>IF(OR(U954="",V954="",V954="Excluded"),"",IF(COUNTIFS($U$5:$U$3004,U954,$V$5:$V$3004,"&lt;&gt;"&amp;V954,$V$5:$V$3004,"&lt;&gt;",$V$5:$V$3004,"&lt;&gt;Excluded")&gt;0,"LEAK RISK","OK"))</f>
        <v/>
      </c>
      <c r="Z954" s="30" t="n"/>
    </row>
    <row r="955">
      <c r="A955" s="30" t="n"/>
      <c r="B955" s="30" t="n"/>
      <c r="C955" s="30" t="n"/>
      <c r="D955" s="30" t="n"/>
      <c r="E955" s="30" t="n"/>
      <c r="F955" s="30" t="n"/>
      <c r="G955" s="30" t="n"/>
      <c r="H955" s="30" t="n"/>
      <c r="I955" s="31" t="n"/>
      <c r="J955" s="30" t="n"/>
      <c r="K955" s="30" t="n"/>
      <c r="L955" s="30" t="n"/>
      <c r="M955" s="30" t="n"/>
      <c r="N955" s="32" t="n"/>
      <c r="O955" s="30" t="n"/>
      <c r="P955" s="32" t="n"/>
      <c r="Q955" s="30" t="n"/>
      <c r="R955" s="32" t="n"/>
      <c r="S955" s="30" t="n"/>
      <c r="T955" s="30" t="n"/>
      <c r="U955" s="30" t="n"/>
      <c r="V955" s="30" t="n"/>
      <c r="W955" s="29">
        <f>IF(H955="","",IF(H955="Kenya","Yes","No"))</f>
        <v/>
      </c>
      <c r="X955" s="29">
        <f>IF(B955="","",IF(COUNTIF($B$5:$B$3004,B955)&gt;1,"DUPLICATE","OK"))</f>
        <v/>
      </c>
      <c r="Y955" s="29">
        <f>IF(OR(U955="",V955="",V955="Excluded"),"",IF(COUNTIFS($U$5:$U$3004,U955,$V$5:$V$3004,"&lt;&gt;"&amp;V955,$V$5:$V$3004,"&lt;&gt;",$V$5:$V$3004,"&lt;&gt;Excluded")&gt;0,"LEAK RISK","OK"))</f>
        <v/>
      </c>
      <c r="Z955" s="30" t="n"/>
    </row>
    <row r="956">
      <c r="A956" s="30" t="n"/>
      <c r="B956" s="30" t="n"/>
      <c r="C956" s="30" t="n"/>
      <c r="D956" s="30" t="n"/>
      <c r="E956" s="30" t="n"/>
      <c r="F956" s="30" t="n"/>
      <c r="G956" s="30" t="n"/>
      <c r="H956" s="30" t="n"/>
      <c r="I956" s="31" t="n"/>
      <c r="J956" s="30" t="n"/>
      <c r="K956" s="30" t="n"/>
      <c r="L956" s="30" t="n"/>
      <c r="M956" s="30" t="n"/>
      <c r="N956" s="32" t="n"/>
      <c r="O956" s="30" t="n"/>
      <c r="P956" s="32" t="n"/>
      <c r="Q956" s="30" t="n"/>
      <c r="R956" s="32" t="n"/>
      <c r="S956" s="30" t="n"/>
      <c r="T956" s="30" t="n"/>
      <c r="U956" s="30" t="n"/>
      <c r="V956" s="30" t="n"/>
      <c r="W956" s="29">
        <f>IF(H956="","",IF(H956="Kenya","Yes","No"))</f>
        <v/>
      </c>
      <c r="X956" s="29">
        <f>IF(B956="","",IF(COUNTIF($B$5:$B$3004,B956)&gt;1,"DUPLICATE","OK"))</f>
        <v/>
      </c>
      <c r="Y956" s="29">
        <f>IF(OR(U956="",V956="",V956="Excluded"),"",IF(COUNTIFS($U$5:$U$3004,U956,$V$5:$V$3004,"&lt;&gt;"&amp;V956,$V$5:$V$3004,"&lt;&gt;",$V$5:$V$3004,"&lt;&gt;Excluded")&gt;0,"LEAK RISK","OK"))</f>
        <v/>
      </c>
      <c r="Z956" s="30" t="n"/>
    </row>
    <row r="957">
      <c r="A957" s="30" t="n"/>
      <c r="B957" s="30" t="n"/>
      <c r="C957" s="30" t="n"/>
      <c r="D957" s="30" t="n"/>
      <c r="E957" s="30" t="n"/>
      <c r="F957" s="30" t="n"/>
      <c r="G957" s="30" t="n"/>
      <c r="H957" s="30" t="n"/>
      <c r="I957" s="31" t="n"/>
      <c r="J957" s="30" t="n"/>
      <c r="K957" s="30" t="n"/>
      <c r="L957" s="30" t="n"/>
      <c r="M957" s="30" t="n"/>
      <c r="N957" s="32" t="n"/>
      <c r="O957" s="30" t="n"/>
      <c r="P957" s="32" t="n"/>
      <c r="Q957" s="30" t="n"/>
      <c r="R957" s="32" t="n"/>
      <c r="S957" s="30" t="n"/>
      <c r="T957" s="30" t="n"/>
      <c r="U957" s="30" t="n"/>
      <c r="V957" s="30" t="n"/>
      <c r="W957" s="29">
        <f>IF(H957="","",IF(H957="Kenya","Yes","No"))</f>
        <v/>
      </c>
      <c r="X957" s="29">
        <f>IF(B957="","",IF(COUNTIF($B$5:$B$3004,B957)&gt;1,"DUPLICATE","OK"))</f>
        <v/>
      </c>
      <c r="Y957" s="29">
        <f>IF(OR(U957="",V957="",V957="Excluded"),"",IF(COUNTIFS($U$5:$U$3004,U957,$V$5:$V$3004,"&lt;&gt;"&amp;V957,$V$5:$V$3004,"&lt;&gt;",$V$5:$V$3004,"&lt;&gt;Excluded")&gt;0,"LEAK RISK","OK"))</f>
        <v/>
      </c>
      <c r="Z957" s="30" t="n"/>
    </row>
    <row r="958">
      <c r="A958" s="30" t="n"/>
      <c r="B958" s="30" t="n"/>
      <c r="C958" s="30" t="n"/>
      <c r="D958" s="30" t="n"/>
      <c r="E958" s="30" t="n"/>
      <c r="F958" s="30" t="n"/>
      <c r="G958" s="30" t="n"/>
      <c r="H958" s="30" t="n"/>
      <c r="I958" s="31" t="n"/>
      <c r="J958" s="30" t="n"/>
      <c r="K958" s="30" t="n"/>
      <c r="L958" s="30" t="n"/>
      <c r="M958" s="30" t="n"/>
      <c r="N958" s="32" t="n"/>
      <c r="O958" s="30" t="n"/>
      <c r="P958" s="32" t="n"/>
      <c r="Q958" s="30" t="n"/>
      <c r="R958" s="32" t="n"/>
      <c r="S958" s="30" t="n"/>
      <c r="T958" s="30" t="n"/>
      <c r="U958" s="30" t="n"/>
      <c r="V958" s="30" t="n"/>
      <c r="W958" s="29">
        <f>IF(H958="","",IF(H958="Kenya","Yes","No"))</f>
        <v/>
      </c>
      <c r="X958" s="29">
        <f>IF(B958="","",IF(COUNTIF($B$5:$B$3004,B958)&gt;1,"DUPLICATE","OK"))</f>
        <v/>
      </c>
      <c r="Y958" s="29">
        <f>IF(OR(U958="",V958="",V958="Excluded"),"",IF(COUNTIFS($U$5:$U$3004,U958,$V$5:$V$3004,"&lt;&gt;"&amp;V958,$V$5:$V$3004,"&lt;&gt;",$V$5:$V$3004,"&lt;&gt;Excluded")&gt;0,"LEAK RISK","OK"))</f>
        <v/>
      </c>
      <c r="Z958" s="30" t="n"/>
    </row>
    <row r="959">
      <c r="A959" s="30" t="n"/>
      <c r="B959" s="30" t="n"/>
      <c r="C959" s="30" t="n"/>
      <c r="D959" s="30" t="n"/>
      <c r="E959" s="30" t="n"/>
      <c r="F959" s="30" t="n"/>
      <c r="G959" s="30" t="n"/>
      <c r="H959" s="30" t="n"/>
      <c r="I959" s="31" t="n"/>
      <c r="J959" s="30" t="n"/>
      <c r="K959" s="30" t="n"/>
      <c r="L959" s="30" t="n"/>
      <c r="M959" s="30" t="n"/>
      <c r="N959" s="32" t="n"/>
      <c r="O959" s="30" t="n"/>
      <c r="P959" s="32" t="n"/>
      <c r="Q959" s="30" t="n"/>
      <c r="R959" s="32" t="n"/>
      <c r="S959" s="30" t="n"/>
      <c r="T959" s="30" t="n"/>
      <c r="U959" s="30" t="n"/>
      <c r="V959" s="30" t="n"/>
      <c r="W959" s="29">
        <f>IF(H959="","",IF(H959="Kenya","Yes","No"))</f>
        <v/>
      </c>
      <c r="X959" s="29">
        <f>IF(B959="","",IF(COUNTIF($B$5:$B$3004,B959)&gt;1,"DUPLICATE","OK"))</f>
        <v/>
      </c>
      <c r="Y959" s="29">
        <f>IF(OR(U959="",V959="",V959="Excluded"),"",IF(COUNTIFS($U$5:$U$3004,U959,$V$5:$V$3004,"&lt;&gt;"&amp;V959,$V$5:$V$3004,"&lt;&gt;",$V$5:$V$3004,"&lt;&gt;Excluded")&gt;0,"LEAK RISK","OK"))</f>
        <v/>
      </c>
      <c r="Z959" s="30" t="n"/>
    </row>
    <row r="960">
      <c r="A960" s="30" t="n"/>
      <c r="B960" s="30" t="n"/>
      <c r="C960" s="30" t="n"/>
      <c r="D960" s="30" t="n"/>
      <c r="E960" s="30" t="n"/>
      <c r="F960" s="30" t="n"/>
      <c r="G960" s="30" t="n"/>
      <c r="H960" s="30" t="n"/>
      <c r="I960" s="31" t="n"/>
      <c r="J960" s="30" t="n"/>
      <c r="K960" s="30" t="n"/>
      <c r="L960" s="30" t="n"/>
      <c r="M960" s="30" t="n"/>
      <c r="N960" s="32" t="n"/>
      <c r="O960" s="30" t="n"/>
      <c r="P960" s="32" t="n"/>
      <c r="Q960" s="30" t="n"/>
      <c r="R960" s="32" t="n"/>
      <c r="S960" s="30" t="n"/>
      <c r="T960" s="30" t="n"/>
      <c r="U960" s="30" t="n"/>
      <c r="V960" s="30" t="n"/>
      <c r="W960" s="29">
        <f>IF(H960="","",IF(H960="Kenya","Yes","No"))</f>
        <v/>
      </c>
      <c r="X960" s="29">
        <f>IF(B960="","",IF(COUNTIF($B$5:$B$3004,B960)&gt;1,"DUPLICATE","OK"))</f>
        <v/>
      </c>
      <c r="Y960" s="29">
        <f>IF(OR(U960="",V960="",V960="Excluded"),"",IF(COUNTIFS($U$5:$U$3004,U960,$V$5:$V$3004,"&lt;&gt;"&amp;V960,$V$5:$V$3004,"&lt;&gt;",$V$5:$V$3004,"&lt;&gt;Excluded")&gt;0,"LEAK RISK","OK"))</f>
        <v/>
      </c>
      <c r="Z960" s="30" t="n"/>
    </row>
    <row r="961">
      <c r="A961" s="30" t="n"/>
      <c r="B961" s="30" t="n"/>
      <c r="C961" s="30" t="n"/>
      <c r="D961" s="30" t="n"/>
      <c r="E961" s="30" t="n"/>
      <c r="F961" s="30" t="n"/>
      <c r="G961" s="30" t="n"/>
      <c r="H961" s="30" t="n"/>
      <c r="I961" s="31" t="n"/>
      <c r="J961" s="30" t="n"/>
      <c r="K961" s="30" t="n"/>
      <c r="L961" s="30" t="n"/>
      <c r="M961" s="30" t="n"/>
      <c r="N961" s="32" t="n"/>
      <c r="O961" s="30" t="n"/>
      <c r="P961" s="32" t="n"/>
      <c r="Q961" s="30" t="n"/>
      <c r="R961" s="32" t="n"/>
      <c r="S961" s="30" t="n"/>
      <c r="T961" s="30" t="n"/>
      <c r="U961" s="30" t="n"/>
      <c r="V961" s="30" t="n"/>
      <c r="W961" s="29">
        <f>IF(H961="","",IF(H961="Kenya","Yes","No"))</f>
        <v/>
      </c>
      <c r="X961" s="29">
        <f>IF(B961="","",IF(COUNTIF($B$5:$B$3004,B961)&gt;1,"DUPLICATE","OK"))</f>
        <v/>
      </c>
      <c r="Y961" s="29">
        <f>IF(OR(U961="",V961="",V961="Excluded"),"",IF(COUNTIFS($U$5:$U$3004,U961,$V$5:$V$3004,"&lt;&gt;"&amp;V961,$V$5:$V$3004,"&lt;&gt;",$V$5:$V$3004,"&lt;&gt;Excluded")&gt;0,"LEAK RISK","OK"))</f>
        <v/>
      </c>
      <c r="Z961" s="30" t="n"/>
    </row>
    <row r="962">
      <c r="A962" s="30" t="n"/>
      <c r="B962" s="30" t="n"/>
      <c r="C962" s="30" t="n"/>
      <c r="D962" s="30" t="n"/>
      <c r="E962" s="30" t="n"/>
      <c r="F962" s="30" t="n"/>
      <c r="G962" s="30" t="n"/>
      <c r="H962" s="30" t="n"/>
      <c r="I962" s="31" t="n"/>
      <c r="J962" s="30" t="n"/>
      <c r="K962" s="30" t="n"/>
      <c r="L962" s="30" t="n"/>
      <c r="M962" s="30" t="n"/>
      <c r="N962" s="32" t="n"/>
      <c r="O962" s="30" t="n"/>
      <c r="P962" s="32" t="n"/>
      <c r="Q962" s="30" t="n"/>
      <c r="R962" s="32" t="n"/>
      <c r="S962" s="30" t="n"/>
      <c r="T962" s="30" t="n"/>
      <c r="U962" s="30" t="n"/>
      <c r="V962" s="30" t="n"/>
      <c r="W962" s="29">
        <f>IF(H962="","",IF(H962="Kenya","Yes","No"))</f>
        <v/>
      </c>
      <c r="X962" s="29">
        <f>IF(B962="","",IF(COUNTIF($B$5:$B$3004,B962)&gt;1,"DUPLICATE","OK"))</f>
        <v/>
      </c>
      <c r="Y962" s="29">
        <f>IF(OR(U962="",V962="",V962="Excluded"),"",IF(COUNTIFS($U$5:$U$3004,U962,$V$5:$V$3004,"&lt;&gt;"&amp;V962,$V$5:$V$3004,"&lt;&gt;",$V$5:$V$3004,"&lt;&gt;Excluded")&gt;0,"LEAK RISK","OK"))</f>
        <v/>
      </c>
      <c r="Z962" s="30" t="n"/>
    </row>
    <row r="963">
      <c r="A963" s="30" t="n"/>
      <c r="B963" s="30" t="n"/>
      <c r="C963" s="30" t="n"/>
      <c r="D963" s="30" t="n"/>
      <c r="E963" s="30" t="n"/>
      <c r="F963" s="30" t="n"/>
      <c r="G963" s="30" t="n"/>
      <c r="H963" s="30" t="n"/>
      <c r="I963" s="31" t="n"/>
      <c r="J963" s="30" t="n"/>
      <c r="K963" s="30" t="n"/>
      <c r="L963" s="30" t="n"/>
      <c r="M963" s="30" t="n"/>
      <c r="N963" s="32" t="n"/>
      <c r="O963" s="30" t="n"/>
      <c r="P963" s="32" t="n"/>
      <c r="Q963" s="30" t="n"/>
      <c r="R963" s="32" t="n"/>
      <c r="S963" s="30" t="n"/>
      <c r="T963" s="30" t="n"/>
      <c r="U963" s="30" t="n"/>
      <c r="V963" s="30" t="n"/>
      <c r="W963" s="29">
        <f>IF(H963="","",IF(H963="Kenya","Yes","No"))</f>
        <v/>
      </c>
      <c r="X963" s="29">
        <f>IF(B963="","",IF(COUNTIF($B$5:$B$3004,B963)&gt;1,"DUPLICATE","OK"))</f>
        <v/>
      </c>
      <c r="Y963" s="29">
        <f>IF(OR(U963="",V963="",V963="Excluded"),"",IF(COUNTIFS($U$5:$U$3004,U963,$V$5:$V$3004,"&lt;&gt;"&amp;V963,$V$5:$V$3004,"&lt;&gt;",$V$5:$V$3004,"&lt;&gt;Excluded")&gt;0,"LEAK RISK","OK"))</f>
        <v/>
      </c>
      <c r="Z963" s="30" t="n"/>
    </row>
    <row r="964">
      <c r="A964" s="30" t="n"/>
      <c r="B964" s="30" t="n"/>
      <c r="C964" s="30" t="n"/>
      <c r="D964" s="30" t="n"/>
      <c r="E964" s="30" t="n"/>
      <c r="F964" s="30" t="n"/>
      <c r="G964" s="30" t="n"/>
      <c r="H964" s="30" t="n"/>
      <c r="I964" s="31" t="n"/>
      <c r="J964" s="30" t="n"/>
      <c r="K964" s="30" t="n"/>
      <c r="L964" s="30" t="n"/>
      <c r="M964" s="30" t="n"/>
      <c r="N964" s="32" t="n"/>
      <c r="O964" s="30" t="n"/>
      <c r="P964" s="32" t="n"/>
      <c r="Q964" s="30" t="n"/>
      <c r="R964" s="32" t="n"/>
      <c r="S964" s="30" t="n"/>
      <c r="T964" s="30" t="n"/>
      <c r="U964" s="30" t="n"/>
      <c r="V964" s="30" t="n"/>
      <c r="W964" s="29">
        <f>IF(H964="","",IF(H964="Kenya","Yes","No"))</f>
        <v/>
      </c>
      <c r="X964" s="29">
        <f>IF(B964="","",IF(COUNTIF($B$5:$B$3004,B964)&gt;1,"DUPLICATE","OK"))</f>
        <v/>
      </c>
      <c r="Y964" s="29">
        <f>IF(OR(U964="",V964="",V964="Excluded"),"",IF(COUNTIFS($U$5:$U$3004,U964,$V$5:$V$3004,"&lt;&gt;"&amp;V964,$V$5:$V$3004,"&lt;&gt;",$V$5:$V$3004,"&lt;&gt;Excluded")&gt;0,"LEAK RISK","OK"))</f>
        <v/>
      </c>
      <c r="Z964" s="30" t="n"/>
    </row>
    <row r="965">
      <c r="A965" s="30" t="n"/>
      <c r="B965" s="30" t="n"/>
      <c r="C965" s="30" t="n"/>
      <c r="D965" s="30" t="n"/>
      <c r="E965" s="30" t="n"/>
      <c r="F965" s="30" t="n"/>
      <c r="G965" s="30" t="n"/>
      <c r="H965" s="30" t="n"/>
      <c r="I965" s="31" t="n"/>
      <c r="J965" s="30" t="n"/>
      <c r="K965" s="30" t="n"/>
      <c r="L965" s="30" t="n"/>
      <c r="M965" s="30" t="n"/>
      <c r="N965" s="32" t="n"/>
      <c r="O965" s="30" t="n"/>
      <c r="P965" s="32" t="n"/>
      <c r="Q965" s="30" t="n"/>
      <c r="R965" s="32" t="n"/>
      <c r="S965" s="30" t="n"/>
      <c r="T965" s="30" t="n"/>
      <c r="U965" s="30" t="n"/>
      <c r="V965" s="30" t="n"/>
      <c r="W965" s="29">
        <f>IF(H965="","",IF(H965="Kenya","Yes","No"))</f>
        <v/>
      </c>
      <c r="X965" s="29">
        <f>IF(B965="","",IF(COUNTIF($B$5:$B$3004,B965)&gt;1,"DUPLICATE","OK"))</f>
        <v/>
      </c>
      <c r="Y965" s="29">
        <f>IF(OR(U965="",V965="",V965="Excluded"),"",IF(COUNTIFS($U$5:$U$3004,U965,$V$5:$V$3004,"&lt;&gt;"&amp;V965,$V$5:$V$3004,"&lt;&gt;",$V$5:$V$3004,"&lt;&gt;Excluded")&gt;0,"LEAK RISK","OK"))</f>
        <v/>
      </c>
      <c r="Z965" s="30" t="n"/>
    </row>
    <row r="966">
      <c r="A966" s="30" t="n"/>
      <c r="B966" s="30" t="n"/>
      <c r="C966" s="30" t="n"/>
      <c r="D966" s="30" t="n"/>
      <c r="E966" s="30" t="n"/>
      <c r="F966" s="30" t="n"/>
      <c r="G966" s="30" t="n"/>
      <c r="H966" s="30" t="n"/>
      <c r="I966" s="31" t="n"/>
      <c r="J966" s="30" t="n"/>
      <c r="K966" s="30" t="n"/>
      <c r="L966" s="30" t="n"/>
      <c r="M966" s="30" t="n"/>
      <c r="N966" s="32" t="n"/>
      <c r="O966" s="30" t="n"/>
      <c r="P966" s="32" t="n"/>
      <c r="Q966" s="30" t="n"/>
      <c r="R966" s="32" t="n"/>
      <c r="S966" s="30" t="n"/>
      <c r="T966" s="30" t="n"/>
      <c r="U966" s="30" t="n"/>
      <c r="V966" s="30" t="n"/>
      <c r="W966" s="29">
        <f>IF(H966="","",IF(H966="Kenya","Yes","No"))</f>
        <v/>
      </c>
      <c r="X966" s="29">
        <f>IF(B966="","",IF(COUNTIF($B$5:$B$3004,B966)&gt;1,"DUPLICATE","OK"))</f>
        <v/>
      </c>
      <c r="Y966" s="29">
        <f>IF(OR(U966="",V966="",V966="Excluded"),"",IF(COUNTIFS($U$5:$U$3004,U966,$V$5:$V$3004,"&lt;&gt;"&amp;V966,$V$5:$V$3004,"&lt;&gt;",$V$5:$V$3004,"&lt;&gt;Excluded")&gt;0,"LEAK RISK","OK"))</f>
        <v/>
      </c>
      <c r="Z966" s="30" t="n"/>
    </row>
    <row r="967">
      <c r="A967" s="30" t="n"/>
      <c r="B967" s="30" t="n"/>
      <c r="C967" s="30" t="n"/>
      <c r="D967" s="30" t="n"/>
      <c r="E967" s="30" t="n"/>
      <c r="F967" s="30" t="n"/>
      <c r="G967" s="30" t="n"/>
      <c r="H967" s="30" t="n"/>
      <c r="I967" s="31" t="n"/>
      <c r="J967" s="30" t="n"/>
      <c r="K967" s="30" t="n"/>
      <c r="L967" s="30" t="n"/>
      <c r="M967" s="30" t="n"/>
      <c r="N967" s="32" t="n"/>
      <c r="O967" s="30" t="n"/>
      <c r="P967" s="32" t="n"/>
      <c r="Q967" s="30" t="n"/>
      <c r="R967" s="32" t="n"/>
      <c r="S967" s="30" t="n"/>
      <c r="T967" s="30" t="n"/>
      <c r="U967" s="30" t="n"/>
      <c r="V967" s="30" t="n"/>
      <c r="W967" s="29">
        <f>IF(H967="","",IF(H967="Kenya","Yes","No"))</f>
        <v/>
      </c>
      <c r="X967" s="29">
        <f>IF(B967="","",IF(COUNTIF($B$5:$B$3004,B967)&gt;1,"DUPLICATE","OK"))</f>
        <v/>
      </c>
      <c r="Y967" s="29">
        <f>IF(OR(U967="",V967="",V967="Excluded"),"",IF(COUNTIFS($U$5:$U$3004,U967,$V$5:$V$3004,"&lt;&gt;"&amp;V967,$V$5:$V$3004,"&lt;&gt;",$V$5:$V$3004,"&lt;&gt;Excluded")&gt;0,"LEAK RISK","OK"))</f>
        <v/>
      </c>
      <c r="Z967" s="30" t="n"/>
    </row>
    <row r="968">
      <c r="A968" s="30" t="n"/>
      <c r="B968" s="30" t="n"/>
      <c r="C968" s="30" t="n"/>
      <c r="D968" s="30" t="n"/>
      <c r="E968" s="30" t="n"/>
      <c r="F968" s="30" t="n"/>
      <c r="G968" s="30" t="n"/>
      <c r="H968" s="30" t="n"/>
      <c r="I968" s="31" t="n"/>
      <c r="J968" s="30" t="n"/>
      <c r="K968" s="30" t="n"/>
      <c r="L968" s="30" t="n"/>
      <c r="M968" s="30" t="n"/>
      <c r="N968" s="32" t="n"/>
      <c r="O968" s="30" t="n"/>
      <c r="P968" s="32" t="n"/>
      <c r="Q968" s="30" t="n"/>
      <c r="R968" s="32" t="n"/>
      <c r="S968" s="30" t="n"/>
      <c r="T968" s="30" t="n"/>
      <c r="U968" s="30" t="n"/>
      <c r="V968" s="30" t="n"/>
      <c r="W968" s="29">
        <f>IF(H968="","",IF(H968="Kenya","Yes","No"))</f>
        <v/>
      </c>
      <c r="X968" s="29">
        <f>IF(B968="","",IF(COUNTIF($B$5:$B$3004,B968)&gt;1,"DUPLICATE","OK"))</f>
        <v/>
      </c>
      <c r="Y968" s="29">
        <f>IF(OR(U968="",V968="",V968="Excluded"),"",IF(COUNTIFS($U$5:$U$3004,U968,$V$5:$V$3004,"&lt;&gt;"&amp;V968,$V$5:$V$3004,"&lt;&gt;",$V$5:$V$3004,"&lt;&gt;Excluded")&gt;0,"LEAK RISK","OK"))</f>
        <v/>
      </c>
      <c r="Z968" s="30" t="n"/>
    </row>
    <row r="969">
      <c r="A969" s="30" t="n"/>
      <c r="B969" s="30" t="n"/>
      <c r="C969" s="30" t="n"/>
      <c r="D969" s="30" t="n"/>
      <c r="E969" s="30" t="n"/>
      <c r="F969" s="30" t="n"/>
      <c r="G969" s="30" t="n"/>
      <c r="H969" s="30" t="n"/>
      <c r="I969" s="31" t="n"/>
      <c r="J969" s="30" t="n"/>
      <c r="K969" s="30" t="n"/>
      <c r="L969" s="30" t="n"/>
      <c r="M969" s="30" t="n"/>
      <c r="N969" s="32" t="n"/>
      <c r="O969" s="30" t="n"/>
      <c r="P969" s="32" t="n"/>
      <c r="Q969" s="30" t="n"/>
      <c r="R969" s="32" t="n"/>
      <c r="S969" s="30" t="n"/>
      <c r="T969" s="30" t="n"/>
      <c r="U969" s="30" t="n"/>
      <c r="V969" s="30" t="n"/>
      <c r="W969" s="29">
        <f>IF(H969="","",IF(H969="Kenya","Yes","No"))</f>
        <v/>
      </c>
      <c r="X969" s="29">
        <f>IF(B969="","",IF(COUNTIF($B$5:$B$3004,B969)&gt;1,"DUPLICATE","OK"))</f>
        <v/>
      </c>
      <c r="Y969" s="29">
        <f>IF(OR(U969="",V969="",V969="Excluded"),"",IF(COUNTIFS($U$5:$U$3004,U969,$V$5:$V$3004,"&lt;&gt;"&amp;V969,$V$5:$V$3004,"&lt;&gt;",$V$5:$V$3004,"&lt;&gt;Excluded")&gt;0,"LEAK RISK","OK"))</f>
        <v/>
      </c>
      <c r="Z969" s="30" t="n"/>
    </row>
    <row r="970">
      <c r="A970" s="30" t="n"/>
      <c r="B970" s="30" t="n"/>
      <c r="C970" s="30" t="n"/>
      <c r="D970" s="30" t="n"/>
      <c r="E970" s="30" t="n"/>
      <c r="F970" s="30" t="n"/>
      <c r="G970" s="30" t="n"/>
      <c r="H970" s="30" t="n"/>
      <c r="I970" s="31" t="n"/>
      <c r="J970" s="30" t="n"/>
      <c r="K970" s="30" t="n"/>
      <c r="L970" s="30" t="n"/>
      <c r="M970" s="30" t="n"/>
      <c r="N970" s="32" t="n"/>
      <c r="O970" s="30" t="n"/>
      <c r="P970" s="32" t="n"/>
      <c r="Q970" s="30" t="n"/>
      <c r="R970" s="32" t="n"/>
      <c r="S970" s="30" t="n"/>
      <c r="T970" s="30" t="n"/>
      <c r="U970" s="30" t="n"/>
      <c r="V970" s="30" t="n"/>
      <c r="W970" s="29">
        <f>IF(H970="","",IF(H970="Kenya","Yes","No"))</f>
        <v/>
      </c>
      <c r="X970" s="29">
        <f>IF(B970="","",IF(COUNTIF($B$5:$B$3004,B970)&gt;1,"DUPLICATE","OK"))</f>
        <v/>
      </c>
      <c r="Y970" s="29">
        <f>IF(OR(U970="",V970="",V970="Excluded"),"",IF(COUNTIFS($U$5:$U$3004,U970,$V$5:$V$3004,"&lt;&gt;"&amp;V970,$V$5:$V$3004,"&lt;&gt;",$V$5:$V$3004,"&lt;&gt;Excluded")&gt;0,"LEAK RISK","OK"))</f>
        <v/>
      </c>
      <c r="Z970" s="30" t="n"/>
    </row>
    <row r="971">
      <c r="A971" s="30" t="n"/>
      <c r="B971" s="30" t="n"/>
      <c r="C971" s="30" t="n"/>
      <c r="D971" s="30" t="n"/>
      <c r="E971" s="30" t="n"/>
      <c r="F971" s="30" t="n"/>
      <c r="G971" s="30" t="n"/>
      <c r="H971" s="30" t="n"/>
      <c r="I971" s="31" t="n"/>
      <c r="J971" s="30" t="n"/>
      <c r="K971" s="30" t="n"/>
      <c r="L971" s="30" t="n"/>
      <c r="M971" s="30" t="n"/>
      <c r="N971" s="32" t="n"/>
      <c r="O971" s="30" t="n"/>
      <c r="P971" s="32" t="n"/>
      <c r="Q971" s="30" t="n"/>
      <c r="R971" s="32" t="n"/>
      <c r="S971" s="30" t="n"/>
      <c r="T971" s="30" t="n"/>
      <c r="U971" s="30" t="n"/>
      <c r="V971" s="30" t="n"/>
      <c r="W971" s="29">
        <f>IF(H971="","",IF(H971="Kenya","Yes","No"))</f>
        <v/>
      </c>
      <c r="X971" s="29">
        <f>IF(B971="","",IF(COUNTIF($B$5:$B$3004,B971)&gt;1,"DUPLICATE","OK"))</f>
        <v/>
      </c>
      <c r="Y971" s="29">
        <f>IF(OR(U971="",V971="",V971="Excluded"),"",IF(COUNTIFS($U$5:$U$3004,U971,$V$5:$V$3004,"&lt;&gt;"&amp;V971,$V$5:$V$3004,"&lt;&gt;",$V$5:$V$3004,"&lt;&gt;Excluded")&gt;0,"LEAK RISK","OK"))</f>
        <v/>
      </c>
      <c r="Z971" s="30" t="n"/>
    </row>
    <row r="972">
      <c r="A972" s="30" t="n"/>
      <c r="B972" s="30" t="n"/>
      <c r="C972" s="30" t="n"/>
      <c r="D972" s="30" t="n"/>
      <c r="E972" s="30" t="n"/>
      <c r="F972" s="30" t="n"/>
      <c r="G972" s="30" t="n"/>
      <c r="H972" s="30" t="n"/>
      <c r="I972" s="31" t="n"/>
      <c r="J972" s="30" t="n"/>
      <c r="K972" s="30" t="n"/>
      <c r="L972" s="30" t="n"/>
      <c r="M972" s="30" t="n"/>
      <c r="N972" s="32" t="n"/>
      <c r="O972" s="30" t="n"/>
      <c r="P972" s="32" t="n"/>
      <c r="Q972" s="30" t="n"/>
      <c r="R972" s="32" t="n"/>
      <c r="S972" s="30" t="n"/>
      <c r="T972" s="30" t="n"/>
      <c r="U972" s="30" t="n"/>
      <c r="V972" s="30" t="n"/>
      <c r="W972" s="29">
        <f>IF(H972="","",IF(H972="Kenya","Yes","No"))</f>
        <v/>
      </c>
      <c r="X972" s="29">
        <f>IF(B972="","",IF(COUNTIF($B$5:$B$3004,B972)&gt;1,"DUPLICATE","OK"))</f>
        <v/>
      </c>
      <c r="Y972" s="29">
        <f>IF(OR(U972="",V972="",V972="Excluded"),"",IF(COUNTIFS($U$5:$U$3004,U972,$V$5:$V$3004,"&lt;&gt;"&amp;V972,$V$5:$V$3004,"&lt;&gt;",$V$5:$V$3004,"&lt;&gt;Excluded")&gt;0,"LEAK RISK","OK"))</f>
        <v/>
      </c>
      <c r="Z972" s="30" t="n"/>
    </row>
    <row r="973">
      <c r="A973" s="30" t="n"/>
      <c r="B973" s="30" t="n"/>
      <c r="C973" s="30" t="n"/>
      <c r="D973" s="30" t="n"/>
      <c r="E973" s="30" t="n"/>
      <c r="F973" s="30" t="n"/>
      <c r="G973" s="30" t="n"/>
      <c r="H973" s="30" t="n"/>
      <c r="I973" s="31" t="n"/>
      <c r="J973" s="30" t="n"/>
      <c r="K973" s="30" t="n"/>
      <c r="L973" s="30" t="n"/>
      <c r="M973" s="30" t="n"/>
      <c r="N973" s="32" t="n"/>
      <c r="O973" s="30" t="n"/>
      <c r="P973" s="32" t="n"/>
      <c r="Q973" s="30" t="n"/>
      <c r="R973" s="32" t="n"/>
      <c r="S973" s="30" t="n"/>
      <c r="T973" s="30" t="n"/>
      <c r="U973" s="30" t="n"/>
      <c r="V973" s="30" t="n"/>
      <c r="W973" s="29">
        <f>IF(H973="","",IF(H973="Kenya","Yes","No"))</f>
        <v/>
      </c>
      <c r="X973" s="29">
        <f>IF(B973="","",IF(COUNTIF($B$5:$B$3004,B973)&gt;1,"DUPLICATE","OK"))</f>
        <v/>
      </c>
      <c r="Y973" s="29">
        <f>IF(OR(U973="",V973="",V973="Excluded"),"",IF(COUNTIFS($U$5:$U$3004,U973,$V$5:$V$3004,"&lt;&gt;"&amp;V973,$V$5:$V$3004,"&lt;&gt;",$V$5:$V$3004,"&lt;&gt;Excluded")&gt;0,"LEAK RISK","OK"))</f>
        <v/>
      </c>
      <c r="Z973" s="30" t="n"/>
    </row>
    <row r="974">
      <c r="A974" s="30" t="n"/>
      <c r="B974" s="30" t="n"/>
      <c r="C974" s="30" t="n"/>
      <c r="D974" s="30" t="n"/>
      <c r="E974" s="30" t="n"/>
      <c r="F974" s="30" t="n"/>
      <c r="G974" s="30" t="n"/>
      <c r="H974" s="30" t="n"/>
      <c r="I974" s="31" t="n"/>
      <c r="J974" s="30" t="n"/>
      <c r="K974" s="30" t="n"/>
      <c r="L974" s="30" t="n"/>
      <c r="M974" s="30" t="n"/>
      <c r="N974" s="32" t="n"/>
      <c r="O974" s="30" t="n"/>
      <c r="P974" s="32" t="n"/>
      <c r="Q974" s="30" t="n"/>
      <c r="R974" s="32" t="n"/>
      <c r="S974" s="30" t="n"/>
      <c r="T974" s="30" t="n"/>
      <c r="U974" s="30" t="n"/>
      <c r="V974" s="30" t="n"/>
      <c r="W974" s="29">
        <f>IF(H974="","",IF(H974="Kenya","Yes","No"))</f>
        <v/>
      </c>
      <c r="X974" s="29">
        <f>IF(B974="","",IF(COUNTIF($B$5:$B$3004,B974)&gt;1,"DUPLICATE","OK"))</f>
        <v/>
      </c>
      <c r="Y974" s="29">
        <f>IF(OR(U974="",V974="",V974="Excluded"),"",IF(COUNTIFS($U$5:$U$3004,U974,$V$5:$V$3004,"&lt;&gt;"&amp;V974,$V$5:$V$3004,"&lt;&gt;",$V$5:$V$3004,"&lt;&gt;Excluded")&gt;0,"LEAK RISK","OK"))</f>
        <v/>
      </c>
      <c r="Z974" s="30" t="n"/>
    </row>
    <row r="975">
      <c r="A975" s="30" t="n"/>
      <c r="B975" s="30" t="n"/>
      <c r="C975" s="30" t="n"/>
      <c r="D975" s="30" t="n"/>
      <c r="E975" s="30" t="n"/>
      <c r="F975" s="30" t="n"/>
      <c r="G975" s="30" t="n"/>
      <c r="H975" s="30" t="n"/>
      <c r="I975" s="31" t="n"/>
      <c r="J975" s="30" t="n"/>
      <c r="K975" s="30" t="n"/>
      <c r="L975" s="30" t="n"/>
      <c r="M975" s="30" t="n"/>
      <c r="N975" s="32" t="n"/>
      <c r="O975" s="30" t="n"/>
      <c r="P975" s="32" t="n"/>
      <c r="Q975" s="30" t="n"/>
      <c r="R975" s="32" t="n"/>
      <c r="S975" s="30" t="n"/>
      <c r="T975" s="30" t="n"/>
      <c r="U975" s="30" t="n"/>
      <c r="V975" s="30" t="n"/>
      <c r="W975" s="29">
        <f>IF(H975="","",IF(H975="Kenya","Yes","No"))</f>
        <v/>
      </c>
      <c r="X975" s="29">
        <f>IF(B975="","",IF(COUNTIF($B$5:$B$3004,B975)&gt;1,"DUPLICATE","OK"))</f>
        <v/>
      </c>
      <c r="Y975" s="29">
        <f>IF(OR(U975="",V975="",V975="Excluded"),"",IF(COUNTIFS($U$5:$U$3004,U975,$V$5:$V$3004,"&lt;&gt;"&amp;V975,$V$5:$V$3004,"&lt;&gt;",$V$5:$V$3004,"&lt;&gt;Excluded")&gt;0,"LEAK RISK","OK"))</f>
        <v/>
      </c>
      <c r="Z975" s="30" t="n"/>
    </row>
    <row r="976">
      <c r="A976" s="30" t="n"/>
      <c r="B976" s="30" t="n"/>
      <c r="C976" s="30" t="n"/>
      <c r="D976" s="30" t="n"/>
      <c r="E976" s="30" t="n"/>
      <c r="F976" s="30" t="n"/>
      <c r="G976" s="30" t="n"/>
      <c r="H976" s="30" t="n"/>
      <c r="I976" s="31" t="n"/>
      <c r="J976" s="30" t="n"/>
      <c r="K976" s="30" t="n"/>
      <c r="L976" s="30" t="n"/>
      <c r="M976" s="30" t="n"/>
      <c r="N976" s="32" t="n"/>
      <c r="O976" s="30" t="n"/>
      <c r="P976" s="32" t="n"/>
      <c r="Q976" s="30" t="n"/>
      <c r="R976" s="32" t="n"/>
      <c r="S976" s="30" t="n"/>
      <c r="T976" s="30" t="n"/>
      <c r="U976" s="30" t="n"/>
      <c r="V976" s="30" t="n"/>
      <c r="W976" s="29">
        <f>IF(H976="","",IF(H976="Kenya","Yes","No"))</f>
        <v/>
      </c>
      <c r="X976" s="29">
        <f>IF(B976="","",IF(COUNTIF($B$5:$B$3004,B976)&gt;1,"DUPLICATE","OK"))</f>
        <v/>
      </c>
      <c r="Y976" s="29">
        <f>IF(OR(U976="",V976="",V976="Excluded"),"",IF(COUNTIFS($U$5:$U$3004,U976,$V$5:$V$3004,"&lt;&gt;"&amp;V976,$V$5:$V$3004,"&lt;&gt;",$V$5:$V$3004,"&lt;&gt;Excluded")&gt;0,"LEAK RISK","OK"))</f>
        <v/>
      </c>
      <c r="Z976" s="30" t="n"/>
    </row>
    <row r="977">
      <c r="A977" s="30" t="n"/>
      <c r="B977" s="30" t="n"/>
      <c r="C977" s="30" t="n"/>
      <c r="D977" s="30" t="n"/>
      <c r="E977" s="30" t="n"/>
      <c r="F977" s="30" t="n"/>
      <c r="G977" s="30" t="n"/>
      <c r="H977" s="30" t="n"/>
      <c r="I977" s="31" t="n"/>
      <c r="J977" s="30" t="n"/>
      <c r="K977" s="30" t="n"/>
      <c r="L977" s="30" t="n"/>
      <c r="M977" s="30" t="n"/>
      <c r="N977" s="32" t="n"/>
      <c r="O977" s="30" t="n"/>
      <c r="P977" s="32" t="n"/>
      <c r="Q977" s="30" t="n"/>
      <c r="R977" s="32" t="n"/>
      <c r="S977" s="30" t="n"/>
      <c r="T977" s="30" t="n"/>
      <c r="U977" s="30" t="n"/>
      <c r="V977" s="30" t="n"/>
      <c r="W977" s="29">
        <f>IF(H977="","",IF(H977="Kenya","Yes","No"))</f>
        <v/>
      </c>
      <c r="X977" s="29">
        <f>IF(B977="","",IF(COUNTIF($B$5:$B$3004,B977)&gt;1,"DUPLICATE","OK"))</f>
        <v/>
      </c>
      <c r="Y977" s="29">
        <f>IF(OR(U977="",V977="",V977="Excluded"),"",IF(COUNTIFS($U$5:$U$3004,U977,$V$5:$V$3004,"&lt;&gt;"&amp;V977,$V$5:$V$3004,"&lt;&gt;",$V$5:$V$3004,"&lt;&gt;Excluded")&gt;0,"LEAK RISK","OK"))</f>
        <v/>
      </c>
      <c r="Z977" s="30" t="n"/>
    </row>
    <row r="978">
      <c r="A978" s="30" t="n"/>
      <c r="B978" s="30" t="n"/>
      <c r="C978" s="30" t="n"/>
      <c r="D978" s="30" t="n"/>
      <c r="E978" s="30" t="n"/>
      <c r="F978" s="30" t="n"/>
      <c r="G978" s="30" t="n"/>
      <c r="H978" s="30" t="n"/>
      <c r="I978" s="31" t="n"/>
      <c r="J978" s="30" t="n"/>
      <c r="K978" s="30" t="n"/>
      <c r="L978" s="30" t="n"/>
      <c r="M978" s="30" t="n"/>
      <c r="N978" s="32" t="n"/>
      <c r="O978" s="30" t="n"/>
      <c r="P978" s="32" t="n"/>
      <c r="Q978" s="30" t="n"/>
      <c r="R978" s="32" t="n"/>
      <c r="S978" s="30" t="n"/>
      <c r="T978" s="30" t="n"/>
      <c r="U978" s="30" t="n"/>
      <c r="V978" s="30" t="n"/>
      <c r="W978" s="29">
        <f>IF(H978="","",IF(H978="Kenya","Yes","No"))</f>
        <v/>
      </c>
      <c r="X978" s="29">
        <f>IF(B978="","",IF(COUNTIF($B$5:$B$3004,B978)&gt;1,"DUPLICATE","OK"))</f>
        <v/>
      </c>
      <c r="Y978" s="29">
        <f>IF(OR(U978="",V978="",V978="Excluded"),"",IF(COUNTIFS($U$5:$U$3004,U978,$V$5:$V$3004,"&lt;&gt;"&amp;V978,$V$5:$V$3004,"&lt;&gt;",$V$5:$V$3004,"&lt;&gt;Excluded")&gt;0,"LEAK RISK","OK"))</f>
        <v/>
      </c>
      <c r="Z978" s="30" t="n"/>
    </row>
    <row r="979">
      <c r="A979" s="30" t="n"/>
      <c r="B979" s="30" t="n"/>
      <c r="C979" s="30" t="n"/>
      <c r="D979" s="30" t="n"/>
      <c r="E979" s="30" t="n"/>
      <c r="F979" s="30" t="n"/>
      <c r="G979" s="30" t="n"/>
      <c r="H979" s="30" t="n"/>
      <c r="I979" s="31" t="n"/>
      <c r="J979" s="30" t="n"/>
      <c r="K979" s="30" t="n"/>
      <c r="L979" s="30" t="n"/>
      <c r="M979" s="30" t="n"/>
      <c r="N979" s="32" t="n"/>
      <c r="O979" s="30" t="n"/>
      <c r="P979" s="32" t="n"/>
      <c r="Q979" s="30" t="n"/>
      <c r="R979" s="32" t="n"/>
      <c r="S979" s="30" t="n"/>
      <c r="T979" s="30" t="n"/>
      <c r="U979" s="30" t="n"/>
      <c r="V979" s="30" t="n"/>
      <c r="W979" s="29">
        <f>IF(H979="","",IF(H979="Kenya","Yes","No"))</f>
        <v/>
      </c>
      <c r="X979" s="29">
        <f>IF(B979="","",IF(COUNTIF($B$5:$B$3004,B979)&gt;1,"DUPLICATE","OK"))</f>
        <v/>
      </c>
      <c r="Y979" s="29">
        <f>IF(OR(U979="",V979="",V979="Excluded"),"",IF(COUNTIFS($U$5:$U$3004,U979,$V$5:$V$3004,"&lt;&gt;"&amp;V979,$V$5:$V$3004,"&lt;&gt;",$V$5:$V$3004,"&lt;&gt;Excluded")&gt;0,"LEAK RISK","OK"))</f>
        <v/>
      </c>
      <c r="Z979" s="30" t="n"/>
    </row>
    <row r="980">
      <c r="A980" s="30" t="n"/>
      <c r="B980" s="30" t="n"/>
      <c r="C980" s="30" t="n"/>
      <c r="D980" s="30" t="n"/>
      <c r="E980" s="30" t="n"/>
      <c r="F980" s="30" t="n"/>
      <c r="G980" s="30" t="n"/>
      <c r="H980" s="30" t="n"/>
      <c r="I980" s="31" t="n"/>
      <c r="J980" s="30" t="n"/>
      <c r="K980" s="30" t="n"/>
      <c r="L980" s="30" t="n"/>
      <c r="M980" s="30" t="n"/>
      <c r="N980" s="32" t="n"/>
      <c r="O980" s="30" t="n"/>
      <c r="P980" s="32" t="n"/>
      <c r="Q980" s="30" t="n"/>
      <c r="R980" s="32" t="n"/>
      <c r="S980" s="30" t="n"/>
      <c r="T980" s="30" t="n"/>
      <c r="U980" s="30" t="n"/>
      <c r="V980" s="30" t="n"/>
      <c r="W980" s="29">
        <f>IF(H980="","",IF(H980="Kenya","Yes","No"))</f>
        <v/>
      </c>
      <c r="X980" s="29">
        <f>IF(B980="","",IF(COUNTIF($B$5:$B$3004,B980)&gt;1,"DUPLICATE","OK"))</f>
        <v/>
      </c>
      <c r="Y980" s="29">
        <f>IF(OR(U980="",V980="",V980="Excluded"),"",IF(COUNTIFS($U$5:$U$3004,U980,$V$5:$V$3004,"&lt;&gt;"&amp;V980,$V$5:$V$3004,"&lt;&gt;",$V$5:$V$3004,"&lt;&gt;Excluded")&gt;0,"LEAK RISK","OK"))</f>
        <v/>
      </c>
      <c r="Z980" s="30" t="n"/>
    </row>
    <row r="981">
      <c r="A981" s="30" t="n"/>
      <c r="B981" s="30" t="n"/>
      <c r="C981" s="30" t="n"/>
      <c r="D981" s="30" t="n"/>
      <c r="E981" s="30" t="n"/>
      <c r="F981" s="30" t="n"/>
      <c r="G981" s="30" t="n"/>
      <c r="H981" s="30" t="n"/>
      <c r="I981" s="31" t="n"/>
      <c r="J981" s="30" t="n"/>
      <c r="K981" s="30" t="n"/>
      <c r="L981" s="30" t="n"/>
      <c r="M981" s="30" t="n"/>
      <c r="N981" s="32" t="n"/>
      <c r="O981" s="30" t="n"/>
      <c r="P981" s="32" t="n"/>
      <c r="Q981" s="30" t="n"/>
      <c r="R981" s="32" t="n"/>
      <c r="S981" s="30" t="n"/>
      <c r="T981" s="30" t="n"/>
      <c r="U981" s="30" t="n"/>
      <c r="V981" s="30" t="n"/>
      <c r="W981" s="29">
        <f>IF(H981="","",IF(H981="Kenya","Yes","No"))</f>
        <v/>
      </c>
      <c r="X981" s="29">
        <f>IF(B981="","",IF(COUNTIF($B$5:$B$3004,B981)&gt;1,"DUPLICATE","OK"))</f>
        <v/>
      </c>
      <c r="Y981" s="29">
        <f>IF(OR(U981="",V981="",V981="Excluded"),"",IF(COUNTIFS($U$5:$U$3004,U981,$V$5:$V$3004,"&lt;&gt;"&amp;V981,$V$5:$V$3004,"&lt;&gt;",$V$5:$V$3004,"&lt;&gt;Excluded")&gt;0,"LEAK RISK","OK"))</f>
        <v/>
      </c>
      <c r="Z981" s="30" t="n"/>
    </row>
    <row r="982">
      <c r="A982" s="30" t="n"/>
      <c r="B982" s="30" t="n"/>
      <c r="C982" s="30" t="n"/>
      <c r="D982" s="30" t="n"/>
      <c r="E982" s="30" t="n"/>
      <c r="F982" s="30" t="n"/>
      <c r="G982" s="30" t="n"/>
      <c r="H982" s="30" t="n"/>
      <c r="I982" s="31" t="n"/>
      <c r="J982" s="30" t="n"/>
      <c r="K982" s="30" t="n"/>
      <c r="L982" s="30" t="n"/>
      <c r="M982" s="30" t="n"/>
      <c r="N982" s="32" t="n"/>
      <c r="O982" s="30" t="n"/>
      <c r="P982" s="32" t="n"/>
      <c r="Q982" s="30" t="n"/>
      <c r="R982" s="32" t="n"/>
      <c r="S982" s="30" t="n"/>
      <c r="T982" s="30" t="n"/>
      <c r="U982" s="30" t="n"/>
      <c r="V982" s="30" t="n"/>
      <c r="W982" s="29">
        <f>IF(H982="","",IF(H982="Kenya","Yes","No"))</f>
        <v/>
      </c>
      <c r="X982" s="29">
        <f>IF(B982="","",IF(COUNTIF($B$5:$B$3004,B982)&gt;1,"DUPLICATE","OK"))</f>
        <v/>
      </c>
      <c r="Y982" s="29">
        <f>IF(OR(U982="",V982="",V982="Excluded"),"",IF(COUNTIFS($U$5:$U$3004,U982,$V$5:$V$3004,"&lt;&gt;"&amp;V982,$V$5:$V$3004,"&lt;&gt;",$V$5:$V$3004,"&lt;&gt;Excluded")&gt;0,"LEAK RISK","OK"))</f>
        <v/>
      </c>
      <c r="Z982" s="30" t="n"/>
    </row>
    <row r="983">
      <c r="A983" s="30" t="n"/>
      <c r="B983" s="30" t="n"/>
      <c r="C983" s="30" t="n"/>
      <c r="D983" s="30" t="n"/>
      <c r="E983" s="30" t="n"/>
      <c r="F983" s="30" t="n"/>
      <c r="G983" s="30" t="n"/>
      <c r="H983" s="30" t="n"/>
      <c r="I983" s="31" t="n"/>
      <c r="J983" s="30" t="n"/>
      <c r="K983" s="30" t="n"/>
      <c r="L983" s="30" t="n"/>
      <c r="M983" s="30" t="n"/>
      <c r="N983" s="32" t="n"/>
      <c r="O983" s="30" t="n"/>
      <c r="P983" s="32" t="n"/>
      <c r="Q983" s="30" t="n"/>
      <c r="R983" s="32" t="n"/>
      <c r="S983" s="30" t="n"/>
      <c r="T983" s="30" t="n"/>
      <c r="U983" s="30" t="n"/>
      <c r="V983" s="30" t="n"/>
      <c r="W983" s="29">
        <f>IF(H983="","",IF(H983="Kenya","Yes","No"))</f>
        <v/>
      </c>
      <c r="X983" s="29">
        <f>IF(B983="","",IF(COUNTIF($B$5:$B$3004,B983)&gt;1,"DUPLICATE","OK"))</f>
        <v/>
      </c>
      <c r="Y983" s="29">
        <f>IF(OR(U983="",V983="",V983="Excluded"),"",IF(COUNTIFS($U$5:$U$3004,U983,$V$5:$V$3004,"&lt;&gt;"&amp;V983,$V$5:$V$3004,"&lt;&gt;",$V$5:$V$3004,"&lt;&gt;Excluded")&gt;0,"LEAK RISK","OK"))</f>
        <v/>
      </c>
      <c r="Z983" s="30" t="n"/>
    </row>
    <row r="984">
      <c r="A984" s="30" t="n"/>
      <c r="B984" s="30" t="n"/>
      <c r="C984" s="30" t="n"/>
      <c r="D984" s="30" t="n"/>
      <c r="E984" s="30" t="n"/>
      <c r="F984" s="30" t="n"/>
      <c r="G984" s="30" t="n"/>
      <c r="H984" s="30" t="n"/>
      <c r="I984" s="31" t="n"/>
      <c r="J984" s="30" t="n"/>
      <c r="K984" s="30" t="n"/>
      <c r="L984" s="30" t="n"/>
      <c r="M984" s="30" t="n"/>
      <c r="N984" s="32" t="n"/>
      <c r="O984" s="30" t="n"/>
      <c r="P984" s="32" t="n"/>
      <c r="Q984" s="30" t="n"/>
      <c r="R984" s="32" t="n"/>
      <c r="S984" s="30" t="n"/>
      <c r="T984" s="30" t="n"/>
      <c r="U984" s="30" t="n"/>
      <c r="V984" s="30" t="n"/>
      <c r="W984" s="29">
        <f>IF(H984="","",IF(H984="Kenya","Yes","No"))</f>
        <v/>
      </c>
      <c r="X984" s="29">
        <f>IF(B984="","",IF(COUNTIF($B$5:$B$3004,B984)&gt;1,"DUPLICATE","OK"))</f>
        <v/>
      </c>
      <c r="Y984" s="29">
        <f>IF(OR(U984="",V984="",V984="Excluded"),"",IF(COUNTIFS($U$5:$U$3004,U984,$V$5:$V$3004,"&lt;&gt;"&amp;V984,$V$5:$V$3004,"&lt;&gt;",$V$5:$V$3004,"&lt;&gt;Excluded")&gt;0,"LEAK RISK","OK"))</f>
        <v/>
      </c>
      <c r="Z984" s="30" t="n"/>
    </row>
    <row r="985">
      <c r="A985" s="30" t="n"/>
      <c r="B985" s="30" t="n"/>
      <c r="C985" s="30" t="n"/>
      <c r="D985" s="30" t="n"/>
      <c r="E985" s="30" t="n"/>
      <c r="F985" s="30" t="n"/>
      <c r="G985" s="30" t="n"/>
      <c r="H985" s="30" t="n"/>
      <c r="I985" s="31" t="n"/>
      <c r="J985" s="30" t="n"/>
      <c r="K985" s="30" t="n"/>
      <c r="L985" s="30" t="n"/>
      <c r="M985" s="30" t="n"/>
      <c r="N985" s="32" t="n"/>
      <c r="O985" s="30" t="n"/>
      <c r="P985" s="32" t="n"/>
      <c r="Q985" s="30" t="n"/>
      <c r="R985" s="32" t="n"/>
      <c r="S985" s="30" t="n"/>
      <c r="T985" s="30" t="n"/>
      <c r="U985" s="30" t="n"/>
      <c r="V985" s="30" t="n"/>
      <c r="W985" s="29">
        <f>IF(H985="","",IF(H985="Kenya","Yes","No"))</f>
        <v/>
      </c>
      <c r="X985" s="29">
        <f>IF(B985="","",IF(COUNTIF($B$5:$B$3004,B985)&gt;1,"DUPLICATE","OK"))</f>
        <v/>
      </c>
      <c r="Y985" s="29">
        <f>IF(OR(U985="",V985="",V985="Excluded"),"",IF(COUNTIFS($U$5:$U$3004,U985,$V$5:$V$3004,"&lt;&gt;"&amp;V985,$V$5:$V$3004,"&lt;&gt;",$V$5:$V$3004,"&lt;&gt;Excluded")&gt;0,"LEAK RISK","OK"))</f>
        <v/>
      </c>
      <c r="Z985" s="30" t="n"/>
    </row>
    <row r="986">
      <c r="A986" s="30" t="n"/>
      <c r="B986" s="30" t="n"/>
      <c r="C986" s="30" t="n"/>
      <c r="D986" s="30" t="n"/>
      <c r="E986" s="30" t="n"/>
      <c r="F986" s="30" t="n"/>
      <c r="G986" s="30" t="n"/>
      <c r="H986" s="30" t="n"/>
      <c r="I986" s="31" t="n"/>
      <c r="J986" s="30" t="n"/>
      <c r="K986" s="30" t="n"/>
      <c r="L986" s="30" t="n"/>
      <c r="M986" s="30" t="n"/>
      <c r="N986" s="32" t="n"/>
      <c r="O986" s="30" t="n"/>
      <c r="P986" s="32" t="n"/>
      <c r="Q986" s="30" t="n"/>
      <c r="R986" s="32" t="n"/>
      <c r="S986" s="30" t="n"/>
      <c r="T986" s="30" t="n"/>
      <c r="U986" s="30" t="n"/>
      <c r="V986" s="30" t="n"/>
      <c r="W986" s="29">
        <f>IF(H986="","",IF(H986="Kenya","Yes","No"))</f>
        <v/>
      </c>
      <c r="X986" s="29">
        <f>IF(B986="","",IF(COUNTIF($B$5:$B$3004,B986)&gt;1,"DUPLICATE","OK"))</f>
        <v/>
      </c>
      <c r="Y986" s="29">
        <f>IF(OR(U986="",V986="",V986="Excluded"),"",IF(COUNTIFS($U$5:$U$3004,U986,$V$5:$V$3004,"&lt;&gt;"&amp;V986,$V$5:$V$3004,"&lt;&gt;",$V$5:$V$3004,"&lt;&gt;Excluded")&gt;0,"LEAK RISK","OK"))</f>
        <v/>
      </c>
      <c r="Z986" s="30" t="n"/>
    </row>
    <row r="987">
      <c r="A987" s="30" t="n"/>
      <c r="B987" s="30" t="n"/>
      <c r="C987" s="30" t="n"/>
      <c r="D987" s="30" t="n"/>
      <c r="E987" s="30" t="n"/>
      <c r="F987" s="30" t="n"/>
      <c r="G987" s="30" t="n"/>
      <c r="H987" s="30" t="n"/>
      <c r="I987" s="31" t="n"/>
      <c r="J987" s="30" t="n"/>
      <c r="K987" s="30" t="n"/>
      <c r="L987" s="30" t="n"/>
      <c r="M987" s="30" t="n"/>
      <c r="N987" s="32" t="n"/>
      <c r="O987" s="30" t="n"/>
      <c r="P987" s="32" t="n"/>
      <c r="Q987" s="30" t="n"/>
      <c r="R987" s="32" t="n"/>
      <c r="S987" s="30" t="n"/>
      <c r="T987" s="30" t="n"/>
      <c r="U987" s="30" t="n"/>
      <c r="V987" s="30" t="n"/>
      <c r="W987" s="29">
        <f>IF(H987="","",IF(H987="Kenya","Yes","No"))</f>
        <v/>
      </c>
      <c r="X987" s="29">
        <f>IF(B987="","",IF(COUNTIF($B$5:$B$3004,B987)&gt;1,"DUPLICATE","OK"))</f>
        <v/>
      </c>
      <c r="Y987" s="29">
        <f>IF(OR(U987="",V987="",V987="Excluded"),"",IF(COUNTIFS($U$5:$U$3004,U987,$V$5:$V$3004,"&lt;&gt;"&amp;V987,$V$5:$V$3004,"&lt;&gt;",$V$5:$V$3004,"&lt;&gt;Excluded")&gt;0,"LEAK RISK","OK"))</f>
        <v/>
      </c>
      <c r="Z987" s="30" t="n"/>
    </row>
    <row r="988">
      <c r="A988" s="30" t="n"/>
      <c r="B988" s="30" t="n"/>
      <c r="C988" s="30" t="n"/>
      <c r="D988" s="30" t="n"/>
      <c r="E988" s="30" t="n"/>
      <c r="F988" s="30" t="n"/>
      <c r="G988" s="30" t="n"/>
      <c r="H988" s="30" t="n"/>
      <c r="I988" s="31" t="n"/>
      <c r="J988" s="30" t="n"/>
      <c r="K988" s="30" t="n"/>
      <c r="L988" s="30" t="n"/>
      <c r="M988" s="30" t="n"/>
      <c r="N988" s="32" t="n"/>
      <c r="O988" s="30" t="n"/>
      <c r="P988" s="32" t="n"/>
      <c r="Q988" s="30" t="n"/>
      <c r="R988" s="32" t="n"/>
      <c r="S988" s="30" t="n"/>
      <c r="T988" s="30" t="n"/>
      <c r="U988" s="30" t="n"/>
      <c r="V988" s="30" t="n"/>
      <c r="W988" s="29">
        <f>IF(H988="","",IF(H988="Kenya","Yes","No"))</f>
        <v/>
      </c>
      <c r="X988" s="29">
        <f>IF(B988="","",IF(COUNTIF($B$5:$B$3004,B988)&gt;1,"DUPLICATE","OK"))</f>
        <v/>
      </c>
      <c r="Y988" s="29">
        <f>IF(OR(U988="",V988="",V988="Excluded"),"",IF(COUNTIFS($U$5:$U$3004,U988,$V$5:$V$3004,"&lt;&gt;"&amp;V988,$V$5:$V$3004,"&lt;&gt;",$V$5:$V$3004,"&lt;&gt;Excluded")&gt;0,"LEAK RISK","OK"))</f>
        <v/>
      </c>
      <c r="Z988" s="30" t="n"/>
    </row>
    <row r="989">
      <c r="A989" s="30" t="n"/>
      <c r="B989" s="30" t="n"/>
      <c r="C989" s="30" t="n"/>
      <c r="D989" s="30" t="n"/>
      <c r="E989" s="30" t="n"/>
      <c r="F989" s="30" t="n"/>
      <c r="G989" s="30" t="n"/>
      <c r="H989" s="30" t="n"/>
      <c r="I989" s="31" t="n"/>
      <c r="J989" s="30" t="n"/>
      <c r="K989" s="30" t="n"/>
      <c r="L989" s="30" t="n"/>
      <c r="M989" s="30" t="n"/>
      <c r="N989" s="32" t="n"/>
      <c r="O989" s="30" t="n"/>
      <c r="P989" s="32" t="n"/>
      <c r="Q989" s="30" t="n"/>
      <c r="R989" s="32" t="n"/>
      <c r="S989" s="30" t="n"/>
      <c r="T989" s="30" t="n"/>
      <c r="U989" s="30" t="n"/>
      <c r="V989" s="30" t="n"/>
      <c r="W989" s="29">
        <f>IF(H989="","",IF(H989="Kenya","Yes","No"))</f>
        <v/>
      </c>
      <c r="X989" s="29">
        <f>IF(B989="","",IF(COUNTIF($B$5:$B$3004,B989)&gt;1,"DUPLICATE","OK"))</f>
        <v/>
      </c>
      <c r="Y989" s="29">
        <f>IF(OR(U989="",V989="",V989="Excluded"),"",IF(COUNTIFS($U$5:$U$3004,U989,$V$5:$V$3004,"&lt;&gt;"&amp;V989,$V$5:$V$3004,"&lt;&gt;",$V$5:$V$3004,"&lt;&gt;Excluded")&gt;0,"LEAK RISK","OK"))</f>
        <v/>
      </c>
      <c r="Z989" s="30" t="n"/>
    </row>
    <row r="990">
      <c r="A990" s="30" t="n"/>
      <c r="B990" s="30" t="n"/>
      <c r="C990" s="30" t="n"/>
      <c r="D990" s="30" t="n"/>
      <c r="E990" s="30" t="n"/>
      <c r="F990" s="30" t="n"/>
      <c r="G990" s="30" t="n"/>
      <c r="H990" s="30" t="n"/>
      <c r="I990" s="31" t="n"/>
      <c r="J990" s="30" t="n"/>
      <c r="K990" s="30" t="n"/>
      <c r="L990" s="30" t="n"/>
      <c r="M990" s="30" t="n"/>
      <c r="N990" s="32" t="n"/>
      <c r="O990" s="30" t="n"/>
      <c r="P990" s="32" t="n"/>
      <c r="Q990" s="30" t="n"/>
      <c r="R990" s="32" t="n"/>
      <c r="S990" s="30" t="n"/>
      <c r="T990" s="30" t="n"/>
      <c r="U990" s="30" t="n"/>
      <c r="V990" s="30" t="n"/>
      <c r="W990" s="29">
        <f>IF(H990="","",IF(H990="Kenya","Yes","No"))</f>
        <v/>
      </c>
      <c r="X990" s="29">
        <f>IF(B990="","",IF(COUNTIF($B$5:$B$3004,B990)&gt;1,"DUPLICATE","OK"))</f>
        <v/>
      </c>
      <c r="Y990" s="29">
        <f>IF(OR(U990="",V990="",V990="Excluded"),"",IF(COUNTIFS($U$5:$U$3004,U990,$V$5:$V$3004,"&lt;&gt;"&amp;V990,$V$5:$V$3004,"&lt;&gt;",$V$5:$V$3004,"&lt;&gt;Excluded")&gt;0,"LEAK RISK","OK"))</f>
        <v/>
      </c>
      <c r="Z990" s="30" t="n"/>
    </row>
    <row r="991">
      <c r="A991" s="30" t="n"/>
      <c r="B991" s="30" t="n"/>
      <c r="C991" s="30" t="n"/>
      <c r="D991" s="30" t="n"/>
      <c r="E991" s="30" t="n"/>
      <c r="F991" s="30" t="n"/>
      <c r="G991" s="30" t="n"/>
      <c r="H991" s="30" t="n"/>
      <c r="I991" s="31" t="n"/>
      <c r="J991" s="30" t="n"/>
      <c r="K991" s="30" t="n"/>
      <c r="L991" s="30" t="n"/>
      <c r="M991" s="30" t="n"/>
      <c r="N991" s="32" t="n"/>
      <c r="O991" s="30" t="n"/>
      <c r="P991" s="32" t="n"/>
      <c r="Q991" s="30" t="n"/>
      <c r="R991" s="32" t="n"/>
      <c r="S991" s="30" t="n"/>
      <c r="T991" s="30" t="n"/>
      <c r="U991" s="30" t="n"/>
      <c r="V991" s="30" t="n"/>
      <c r="W991" s="29">
        <f>IF(H991="","",IF(H991="Kenya","Yes","No"))</f>
        <v/>
      </c>
      <c r="X991" s="29">
        <f>IF(B991="","",IF(COUNTIF($B$5:$B$3004,B991)&gt;1,"DUPLICATE","OK"))</f>
        <v/>
      </c>
      <c r="Y991" s="29">
        <f>IF(OR(U991="",V991="",V991="Excluded"),"",IF(COUNTIFS($U$5:$U$3004,U991,$V$5:$V$3004,"&lt;&gt;"&amp;V991,$V$5:$V$3004,"&lt;&gt;",$V$5:$V$3004,"&lt;&gt;Excluded")&gt;0,"LEAK RISK","OK"))</f>
        <v/>
      </c>
      <c r="Z991" s="30" t="n"/>
    </row>
    <row r="992">
      <c r="A992" s="30" t="n"/>
      <c r="B992" s="30" t="n"/>
      <c r="C992" s="30" t="n"/>
      <c r="D992" s="30" t="n"/>
      <c r="E992" s="30" t="n"/>
      <c r="F992" s="30" t="n"/>
      <c r="G992" s="30" t="n"/>
      <c r="H992" s="30" t="n"/>
      <c r="I992" s="31" t="n"/>
      <c r="J992" s="30" t="n"/>
      <c r="K992" s="30" t="n"/>
      <c r="L992" s="30" t="n"/>
      <c r="M992" s="30" t="n"/>
      <c r="N992" s="32" t="n"/>
      <c r="O992" s="30" t="n"/>
      <c r="P992" s="32" t="n"/>
      <c r="Q992" s="30" t="n"/>
      <c r="R992" s="32" t="n"/>
      <c r="S992" s="30" t="n"/>
      <c r="T992" s="30" t="n"/>
      <c r="U992" s="30" t="n"/>
      <c r="V992" s="30" t="n"/>
      <c r="W992" s="29">
        <f>IF(H992="","",IF(H992="Kenya","Yes","No"))</f>
        <v/>
      </c>
      <c r="X992" s="29">
        <f>IF(B992="","",IF(COUNTIF($B$5:$B$3004,B992)&gt;1,"DUPLICATE","OK"))</f>
        <v/>
      </c>
      <c r="Y992" s="29">
        <f>IF(OR(U992="",V992="",V992="Excluded"),"",IF(COUNTIFS($U$5:$U$3004,U992,$V$5:$V$3004,"&lt;&gt;"&amp;V992,$V$5:$V$3004,"&lt;&gt;",$V$5:$V$3004,"&lt;&gt;Excluded")&gt;0,"LEAK RISK","OK"))</f>
        <v/>
      </c>
      <c r="Z992" s="30" t="n"/>
    </row>
    <row r="993">
      <c r="A993" s="30" t="n"/>
      <c r="B993" s="30" t="n"/>
      <c r="C993" s="30" t="n"/>
      <c r="D993" s="30" t="n"/>
      <c r="E993" s="30" t="n"/>
      <c r="F993" s="30" t="n"/>
      <c r="G993" s="30" t="n"/>
      <c r="H993" s="30" t="n"/>
      <c r="I993" s="31" t="n"/>
      <c r="J993" s="30" t="n"/>
      <c r="K993" s="30" t="n"/>
      <c r="L993" s="30" t="n"/>
      <c r="M993" s="30" t="n"/>
      <c r="N993" s="32" t="n"/>
      <c r="O993" s="30" t="n"/>
      <c r="P993" s="32" t="n"/>
      <c r="Q993" s="30" t="n"/>
      <c r="R993" s="32" t="n"/>
      <c r="S993" s="30" t="n"/>
      <c r="T993" s="30" t="n"/>
      <c r="U993" s="30" t="n"/>
      <c r="V993" s="30" t="n"/>
      <c r="W993" s="29">
        <f>IF(H993="","",IF(H993="Kenya","Yes","No"))</f>
        <v/>
      </c>
      <c r="X993" s="29">
        <f>IF(B993="","",IF(COUNTIF($B$5:$B$3004,B993)&gt;1,"DUPLICATE","OK"))</f>
        <v/>
      </c>
      <c r="Y993" s="29">
        <f>IF(OR(U993="",V993="",V993="Excluded"),"",IF(COUNTIFS($U$5:$U$3004,U993,$V$5:$V$3004,"&lt;&gt;"&amp;V993,$V$5:$V$3004,"&lt;&gt;",$V$5:$V$3004,"&lt;&gt;Excluded")&gt;0,"LEAK RISK","OK"))</f>
        <v/>
      </c>
      <c r="Z993" s="30" t="n"/>
    </row>
    <row r="994">
      <c r="A994" s="30" t="n"/>
      <c r="B994" s="30" t="n"/>
      <c r="C994" s="30" t="n"/>
      <c r="D994" s="30" t="n"/>
      <c r="E994" s="30" t="n"/>
      <c r="F994" s="30" t="n"/>
      <c r="G994" s="30" t="n"/>
      <c r="H994" s="30" t="n"/>
      <c r="I994" s="31" t="n"/>
      <c r="J994" s="30" t="n"/>
      <c r="K994" s="30" t="n"/>
      <c r="L994" s="30" t="n"/>
      <c r="M994" s="30" t="n"/>
      <c r="N994" s="32" t="n"/>
      <c r="O994" s="30" t="n"/>
      <c r="P994" s="32" t="n"/>
      <c r="Q994" s="30" t="n"/>
      <c r="R994" s="32" t="n"/>
      <c r="S994" s="30" t="n"/>
      <c r="T994" s="30" t="n"/>
      <c r="U994" s="30" t="n"/>
      <c r="V994" s="30" t="n"/>
      <c r="W994" s="29">
        <f>IF(H994="","",IF(H994="Kenya","Yes","No"))</f>
        <v/>
      </c>
      <c r="X994" s="29">
        <f>IF(B994="","",IF(COUNTIF($B$5:$B$3004,B994)&gt;1,"DUPLICATE","OK"))</f>
        <v/>
      </c>
      <c r="Y994" s="29">
        <f>IF(OR(U994="",V994="",V994="Excluded"),"",IF(COUNTIFS($U$5:$U$3004,U994,$V$5:$V$3004,"&lt;&gt;"&amp;V994,$V$5:$V$3004,"&lt;&gt;",$V$5:$V$3004,"&lt;&gt;Excluded")&gt;0,"LEAK RISK","OK"))</f>
        <v/>
      </c>
      <c r="Z994" s="30" t="n"/>
    </row>
    <row r="995">
      <c r="A995" s="30" t="n"/>
      <c r="B995" s="30" t="n"/>
      <c r="C995" s="30" t="n"/>
      <c r="D995" s="30" t="n"/>
      <c r="E995" s="30" t="n"/>
      <c r="F995" s="30" t="n"/>
      <c r="G995" s="30" t="n"/>
      <c r="H995" s="30" t="n"/>
      <c r="I995" s="31" t="n"/>
      <c r="J995" s="30" t="n"/>
      <c r="K995" s="30" t="n"/>
      <c r="L995" s="30" t="n"/>
      <c r="M995" s="30" t="n"/>
      <c r="N995" s="32" t="n"/>
      <c r="O995" s="30" t="n"/>
      <c r="P995" s="32" t="n"/>
      <c r="Q995" s="30" t="n"/>
      <c r="R995" s="32" t="n"/>
      <c r="S995" s="30" t="n"/>
      <c r="T995" s="30" t="n"/>
      <c r="U995" s="30" t="n"/>
      <c r="V995" s="30" t="n"/>
      <c r="W995" s="29">
        <f>IF(H995="","",IF(H995="Kenya","Yes","No"))</f>
        <v/>
      </c>
      <c r="X995" s="29">
        <f>IF(B995="","",IF(COUNTIF($B$5:$B$3004,B995)&gt;1,"DUPLICATE","OK"))</f>
        <v/>
      </c>
      <c r="Y995" s="29">
        <f>IF(OR(U995="",V995="",V995="Excluded"),"",IF(COUNTIFS($U$5:$U$3004,U995,$V$5:$V$3004,"&lt;&gt;"&amp;V995,$V$5:$V$3004,"&lt;&gt;",$V$5:$V$3004,"&lt;&gt;Excluded")&gt;0,"LEAK RISK","OK"))</f>
        <v/>
      </c>
      <c r="Z995" s="30" t="n"/>
    </row>
    <row r="996">
      <c r="A996" s="30" t="n"/>
      <c r="B996" s="30" t="n"/>
      <c r="C996" s="30" t="n"/>
      <c r="D996" s="30" t="n"/>
      <c r="E996" s="30" t="n"/>
      <c r="F996" s="30" t="n"/>
      <c r="G996" s="30" t="n"/>
      <c r="H996" s="30" t="n"/>
      <c r="I996" s="31" t="n"/>
      <c r="J996" s="30" t="n"/>
      <c r="K996" s="30" t="n"/>
      <c r="L996" s="30" t="n"/>
      <c r="M996" s="30" t="n"/>
      <c r="N996" s="32" t="n"/>
      <c r="O996" s="30" t="n"/>
      <c r="P996" s="32" t="n"/>
      <c r="Q996" s="30" t="n"/>
      <c r="R996" s="32" t="n"/>
      <c r="S996" s="30" t="n"/>
      <c r="T996" s="30" t="n"/>
      <c r="U996" s="30" t="n"/>
      <c r="V996" s="30" t="n"/>
      <c r="W996" s="29">
        <f>IF(H996="","",IF(H996="Kenya","Yes","No"))</f>
        <v/>
      </c>
      <c r="X996" s="29">
        <f>IF(B996="","",IF(COUNTIF($B$5:$B$3004,B996)&gt;1,"DUPLICATE","OK"))</f>
        <v/>
      </c>
      <c r="Y996" s="29">
        <f>IF(OR(U996="",V996="",V996="Excluded"),"",IF(COUNTIFS($U$5:$U$3004,U996,$V$5:$V$3004,"&lt;&gt;"&amp;V996,$V$5:$V$3004,"&lt;&gt;",$V$5:$V$3004,"&lt;&gt;Excluded")&gt;0,"LEAK RISK","OK"))</f>
        <v/>
      </c>
      <c r="Z996" s="30" t="n"/>
    </row>
    <row r="997">
      <c r="A997" s="30" t="n"/>
      <c r="B997" s="30" t="n"/>
      <c r="C997" s="30" t="n"/>
      <c r="D997" s="30" t="n"/>
      <c r="E997" s="30" t="n"/>
      <c r="F997" s="30" t="n"/>
      <c r="G997" s="30" t="n"/>
      <c r="H997" s="30" t="n"/>
      <c r="I997" s="31" t="n"/>
      <c r="J997" s="30" t="n"/>
      <c r="K997" s="30" t="n"/>
      <c r="L997" s="30" t="n"/>
      <c r="M997" s="30" t="n"/>
      <c r="N997" s="32" t="n"/>
      <c r="O997" s="30" t="n"/>
      <c r="P997" s="32" t="n"/>
      <c r="Q997" s="30" t="n"/>
      <c r="R997" s="32" t="n"/>
      <c r="S997" s="30" t="n"/>
      <c r="T997" s="30" t="n"/>
      <c r="U997" s="30" t="n"/>
      <c r="V997" s="30" t="n"/>
      <c r="W997" s="29">
        <f>IF(H997="","",IF(H997="Kenya","Yes","No"))</f>
        <v/>
      </c>
      <c r="X997" s="29">
        <f>IF(B997="","",IF(COUNTIF($B$5:$B$3004,B997)&gt;1,"DUPLICATE","OK"))</f>
        <v/>
      </c>
      <c r="Y997" s="29">
        <f>IF(OR(U997="",V997="",V997="Excluded"),"",IF(COUNTIFS($U$5:$U$3004,U997,$V$5:$V$3004,"&lt;&gt;"&amp;V997,$V$5:$V$3004,"&lt;&gt;",$V$5:$V$3004,"&lt;&gt;Excluded")&gt;0,"LEAK RISK","OK"))</f>
        <v/>
      </c>
      <c r="Z997" s="30" t="n"/>
    </row>
    <row r="998">
      <c r="A998" s="30" t="n"/>
      <c r="B998" s="30" t="n"/>
      <c r="C998" s="30" t="n"/>
      <c r="D998" s="30" t="n"/>
      <c r="E998" s="30" t="n"/>
      <c r="F998" s="30" t="n"/>
      <c r="G998" s="30" t="n"/>
      <c r="H998" s="30" t="n"/>
      <c r="I998" s="31" t="n"/>
      <c r="J998" s="30" t="n"/>
      <c r="K998" s="30" t="n"/>
      <c r="L998" s="30" t="n"/>
      <c r="M998" s="30" t="n"/>
      <c r="N998" s="32" t="n"/>
      <c r="O998" s="30" t="n"/>
      <c r="P998" s="32" t="n"/>
      <c r="Q998" s="30" t="n"/>
      <c r="R998" s="32" t="n"/>
      <c r="S998" s="30" t="n"/>
      <c r="T998" s="30" t="n"/>
      <c r="U998" s="30" t="n"/>
      <c r="V998" s="30" t="n"/>
      <c r="W998" s="29">
        <f>IF(H998="","",IF(H998="Kenya","Yes","No"))</f>
        <v/>
      </c>
      <c r="X998" s="29">
        <f>IF(B998="","",IF(COUNTIF($B$5:$B$3004,B998)&gt;1,"DUPLICATE","OK"))</f>
        <v/>
      </c>
      <c r="Y998" s="29">
        <f>IF(OR(U998="",V998="",V998="Excluded"),"",IF(COUNTIFS($U$5:$U$3004,U998,$V$5:$V$3004,"&lt;&gt;"&amp;V998,$V$5:$V$3004,"&lt;&gt;",$V$5:$V$3004,"&lt;&gt;Excluded")&gt;0,"LEAK RISK","OK"))</f>
        <v/>
      </c>
      <c r="Z998" s="30" t="n"/>
    </row>
    <row r="999">
      <c r="A999" s="30" t="n"/>
      <c r="B999" s="30" t="n"/>
      <c r="C999" s="30" t="n"/>
      <c r="D999" s="30" t="n"/>
      <c r="E999" s="30" t="n"/>
      <c r="F999" s="30" t="n"/>
      <c r="G999" s="30" t="n"/>
      <c r="H999" s="30" t="n"/>
      <c r="I999" s="31" t="n"/>
      <c r="J999" s="30" t="n"/>
      <c r="K999" s="30" t="n"/>
      <c r="L999" s="30" t="n"/>
      <c r="M999" s="30" t="n"/>
      <c r="N999" s="32" t="n"/>
      <c r="O999" s="30" t="n"/>
      <c r="P999" s="32" t="n"/>
      <c r="Q999" s="30" t="n"/>
      <c r="R999" s="32" t="n"/>
      <c r="S999" s="30" t="n"/>
      <c r="T999" s="30" t="n"/>
      <c r="U999" s="30" t="n"/>
      <c r="V999" s="30" t="n"/>
      <c r="W999" s="29">
        <f>IF(H999="","",IF(H999="Kenya","Yes","No"))</f>
        <v/>
      </c>
      <c r="X999" s="29">
        <f>IF(B999="","",IF(COUNTIF($B$5:$B$3004,B999)&gt;1,"DUPLICATE","OK"))</f>
        <v/>
      </c>
      <c r="Y999" s="29">
        <f>IF(OR(U999="",V999="",V999="Excluded"),"",IF(COUNTIFS($U$5:$U$3004,U999,$V$5:$V$3004,"&lt;&gt;"&amp;V999,$V$5:$V$3004,"&lt;&gt;",$V$5:$V$3004,"&lt;&gt;Excluded")&gt;0,"LEAK RISK","OK"))</f>
        <v/>
      </c>
      <c r="Z999" s="30" t="n"/>
    </row>
    <row r="1000">
      <c r="A1000" s="30" t="n"/>
      <c r="B1000" s="30" t="n"/>
      <c r="C1000" s="30" t="n"/>
      <c r="D1000" s="30" t="n"/>
      <c r="E1000" s="30" t="n"/>
      <c r="F1000" s="30" t="n"/>
      <c r="G1000" s="30" t="n"/>
      <c r="H1000" s="30" t="n"/>
      <c r="I1000" s="31" t="n"/>
      <c r="J1000" s="30" t="n"/>
      <c r="K1000" s="30" t="n"/>
      <c r="L1000" s="30" t="n"/>
      <c r="M1000" s="30" t="n"/>
      <c r="N1000" s="32" t="n"/>
      <c r="O1000" s="30" t="n"/>
      <c r="P1000" s="32" t="n"/>
      <c r="Q1000" s="30" t="n"/>
      <c r="R1000" s="32" t="n"/>
      <c r="S1000" s="30" t="n"/>
      <c r="T1000" s="30" t="n"/>
      <c r="U1000" s="30" t="n"/>
      <c r="V1000" s="30" t="n"/>
      <c r="W1000" s="29">
        <f>IF(H1000="","",IF(H1000="Kenya","Yes","No"))</f>
        <v/>
      </c>
      <c r="X1000" s="29">
        <f>IF(B1000="","",IF(COUNTIF($B$5:$B$3004,B1000)&gt;1,"DUPLICATE","OK"))</f>
        <v/>
      </c>
      <c r="Y1000" s="29">
        <f>IF(OR(U1000="",V1000="",V1000="Excluded"),"",IF(COUNTIFS($U$5:$U$3004,U1000,$V$5:$V$3004,"&lt;&gt;"&amp;V1000,$V$5:$V$3004,"&lt;&gt;",$V$5:$V$3004,"&lt;&gt;Excluded")&gt;0,"LEAK RISK","OK"))</f>
        <v/>
      </c>
      <c r="Z1000" s="30" t="n"/>
    </row>
    <row r="1001">
      <c r="A1001" s="30" t="n"/>
      <c r="B1001" s="30" t="n"/>
      <c r="C1001" s="30" t="n"/>
      <c r="D1001" s="30" t="n"/>
      <c r="E1001" s="30" t="n"/>
      <c r="F1001" s="30" t="n"/>
      <c r="G1001" s="30" t="n"/>
      <c r="H1001" s="30" t="n"/>
      <c r="I1001" s="31" t="n"/>
      <c r="J1001" s="30" t="n"/>
      <c r="K1001" s="30" t="n"/>
      <c r="L1001" s="30" t="n"/>
      <c r="M1001" s="30" t="n"/>
      <c r="N1001" s="32" t="n"/>
      <c r="O1001" s="30" t="n"/>
      <c r="P1001" s="32" t="n"/>
      <c r="Q1001" s="30" t="n"/>
      <c r="R1001" s="32" t="n"/>
      <c r="S1001" s="30" t="n"/>
      <c r="T1001" s="30" t="n"/>
      <c r="U1001" s="30" t="n"/>
      <c r="V1001" s="30" t="n"/>
      <c r="W1001" s="29">
        <f>IF(H1001="","",IF(H1001="Kenya","Yes","No"))</f>
        <v/>
      </c>
      <c r="X1001" s="29">
        <f>IF(B1001="","",IF(COUNTIF($B$5:$B$3004,B1001)&gt;1,"DUPLICATE","OK"))</f>
        <v/>
      </c>
      <c r="Y1001" s="29">
        <f>IF(OR(U1001="",V1001="",V1001="Excluded"),"",IF(COUNTIFS($U$5:$U$3004,U1001,$V$5:$V$3004,"&lt;&gt;"&amp;V1001,$V$5:$V$3004,"&lt;&gt;",$V$5:$V$3004,"&lt;&gt;Excluded")&gt;0,"LEAK RISK","OK"))</f>
        <v/>
      </c>
      <c r="Z1001" s="30" t="n"/>
    </row>
    <row r="1002">
      <c r="A1002" s="30" t="n"/>
      <c r="B1002" s="30" t="n"/>
      <c r="C1002" s="30" t="n"/>
      <c r="D1002" s="30" t="n"/>
      <c r="E1002" s="30" t="n"/>
      <c r="F1002" s="30" t="n"/>
      <c r="G1002" s="30" t="n"/>
      <c r="H1002" s="30" t="n"/>
      <c r="I1002" s="31" t="n"/>
      <c r="J1002" s="30" t="n"/>
      <c r="K1002" s="30" t="n"/>
      <c r="L1002" s="30" t="n"/>
      <c r="M1002" s="30" t="n"/>
      <c r="N1002" s="32" t="n"/>
      <c r="O1002" s="30" t="n"/>
      <c r="P1002" s="32" t="n"/>
      <c r="Q1002" s="30" t="n"/>
      <c r="R1002" s="32" t="n"/>
      <c r="S1002" s="30" t="n"/>
      <c r="T1002" s="30" t="n"/>
      <c r="U1002" s="30" t="n"/>
      <c r="V1002" s="30" t="n"/>
      <c r="W1002" s="29">
        <f>IF(H1002="","",IF(H1002="Kenya","Yes","No"))</f>
        <v/>
      </c>
      <c r="X1002" s="29">
        <f>IF(B1002="","",IF(COUNTIF($B$5:$B$3004,B1002)&gt;1,"DUPLICATE","OK"))</f>
        <v/>
      </c>
      <c r="Y1002" s="29">
        <f>IF(OR(U1002="",V1002="",V1002="Excluded"),"",IF(COUNTIFS($U$5:$U$3004,U1002,$V$5:$V$3004,"&lt;&gt;"&amp;V1002,$V$5:$V$3004,"&lt;&gt;",$V$5:$V$3004,"&lt;&gt;Excluded")&gt;0,"LEAK RISK","OK"))</f>
        <v/>
      </c>
      <c r="Z1002" s="30" t="n"/>
    </row>
    <row r="1003">
      <c r="A1003" s="30" t="n"/>
      <c r="B1003" s="30" t="n"/>
      <c r="C1003" s="30" t="n"/>
      <c r="D1003" s="30" t="n"/>
      <c r="E1003" s="30" t="n"/>
      <c r="F1003" s="30" t="n"/>
      <c r="G1003" s="30" t="n"/>
      <c r="H1003" s="30" t="n"/>
      <c r="I1003" s="31" t="n"/>
      <c r="J1003" s="30" t="n"/>
      <c r="K1003" s="30" t="n"/>
      <c r="L1003" s="30" t="n"/>
      <c r="M1003" s="30" t="n"/>
      <c r="N1003" s="32" t="n"/>
      <c r="O1003" s="30" t="n"/>
      <c r="P1003" s="32" t="n"/>
      <c r="Q1003" s="30" t="n"/>
      <c r="R1003" s="32" t="n"/>
      <c r="S1003" s="30" t="n"/>
      <c r="T1003" s="30" t="n"/>
      <c r="U1003" s="30" t="n"/>
      <c r="V1003" s="30" t="n"/>
      <c r="W1003" s="29">
        <f>IF(H1003="","",IF(H1003="Kenya","Yes","No"))</f>
        <v/>
      </c>
      <c r="X1003" s="29">
        <f>IF(B1003="","",IF(COUNTIF($B$5:$B$3004,B1003)&gt;1,"DUPLICATE","OK"))</f>
        <v/>
      </c>
      <c r="Y1003" s="29">
        <f>IF(OR(U1003="",V1003="",V1003="Excluded"),"",IF(COUNTIFS($U$5:$U$3004,U1003,$V$5:$V$3004,"&lt;&gt;"&amp;V1003,$V$5:$V$3004,"&lt;&gt;",$V$5:$V$3004,"&lt;&gt;Excluded")&gt;0,"LEAK RISK","OK"))</f>
        <v/>
      </c>
      <c r="Z1003" s="30" t="n"/>
    </row>
    <row r="1004">
      <c r="A1004" s="30" t="n"/>
      <c r="B1004" s="30" t="n"/>
      <c r="C1004" s="30" t="n"/>
      <c r="D1004" s="30" t="n"/>
      <c r="E1004" s="30" t="n"/>
      <c r="F1004" s="30" t="n"/>
      <c r="G1004" s="30" t="n"/>
      <c r="H1004" s="30" t="n"/>
      <c r="I1004" s="31" t="n"/>
      <c r="J1004" s="30" t="n"/>
      <c r="K1004" s="30" t="n"/>
      <c r="L1004" s="30" t="n"/>
      <c r="M1004" s="30" t="n"/>
      <c r="N1004" s="32" t="n"/>
      <c r="O1004" s="30" t="n"/>
      <c r="P1004" s="32" t="n"/>
      <c r="Q1004" s="30" t="n"/>
      <c r="R1004" s="32" t="n"/>
      <c r="S1004" s="30" t="n"/>
      <c r="T1004" s="30" t="n"/>
      <c r="U1004" s="30" t="n"/>
      <c r="V1004" s="30" t="n"/>
      <c r="W1004" s="29">
        <f>IF(H1004="","",IF(H1004="Kenya","Yes","No"))</f>
        <v/>
      </c>
      <c r="X1004" s="29">
        <f>IF(B1004="","",IF(COUNTIF($B$5:$B$3004,B1004)&gt;1,"DUPLICATE","OK"))</f>
        <v/>
      </c>
      <c r="Y1004" s="29">
        <f>IF(OR(U1004="",V1004="",V1004="Excluded"),"",IF(COUNTIFS($U$5:$U$3004,U1004,$V$5:$V$3004,"&lt;&gt;"&amp;V1004,$V$5:$V$3004,"&lt;&gt;",$V$5:$V$3004,"&lt;&gt;Excluded")&gt;0,"LEAK RISK","OK"))</f>
        <v/>
      </c>
      <c r="Z1004" s="30" t="n"/>
    </row>
    <row r="1005">
      <c r="A1005" s="30" t="n"/>
      <c r="B1005" s="30" t="n"/>
      <c r="C1005" s="30" t="n"/>
      <c r="D1005" s="30" t="n"/>
      <c r="E1005" s="30" t="n"/>
      <c r="F1005" s="30" t="n"/>
      <c r="G1005" s="30" t="n"/>
      <c r="H1005" s="30" t="n"/>
      <c r="I1005" s="31" t="n"/>
      <c r="J1005" s="30" t="n"/>
      <c r="K1005" s="30" t="n"/>
      <c r="L1005" s="30" t="n"/>
      <c r="M1005" s="30" t="n"/>
      <c r="N1005" s="32" t="n"/>
      <c r="O1005" s="30" t="n"/>
      <c r="P1005" s="32" t="n"/>
      <c r="Q1005" s="30" t="n"/>
      <c r="R1005" s="32" t="n"/>
      <c r="S1005" s="30" t="n"/>
      <c r="T1005" s="30" t="n"/>
      <c r="U1005" s="30" t="n"/>
      <c r="V1005" s="30" t="n"/>
      <c r="W1005" s="29">
        <f>IF(H1005="","",IF(H1005="Kenya","Yes","No"))</f>
        <v/>
      </c>
      <c r="X1005" s="29">
        <f>IF(B1005="","",IF(COUNTIF($B$5:$B$3004,B1005)&gt;1,"DUPLICATE","OK"))</f>
        <v/>
      </c>
      <c r="Y1005" s="29">
        <f>IF(OR(U1005="",V1005="",V1005="Excluded"),"",IF(COUNTIFS($U$5:$U$3004,U1005,$V$5:$V$3004,"&lt;&gt;"&amp;V1005,$V$5:$V$3004,"&lt;&gt;",$V$5:$V$3004,"&lt;&gt;Excluded")&gt;0,"LEAK RISK","OK"))</f>
        <v/>
      </c>
      <c r="Z1005" s="30" t="n"/>
    </row>
    <row r="1006">
      <c r="A1006" s="30" t="n"/>
      <c r="B1006" s="30" t="n"/>
      <c r="C1006" s="30" t="n"/>
      <c r="D1006" s="30" t="n"/>
      <c r="E1006" s="30" t="n"/>
      <c r="F1006" s="30" t="n"/>
      <c r="G1006" s="30" t="n"/>
      <c r="H1006" s="30" t="n"/>
      <c r="I1006" s="31" t="n"/>
      <c r="J1006" s="30" t="n"/>
      <c r="K1006" s="30" t="n"/>
      <c r="L1006" s="30" t="n"/>
      <c r="M1006" s="30" t="n"/>
      <c r="N1006" s="32" t="n"/>
      <c r="O1006" s="30" t="n"/>
      <c r="P1006" s="32" t="n"/>
      <c r="Q1006" s="30" t="n"/>
      <c r="R1006" s="32" t="n"/>
      <c r="S1006" s="30" t="n"/>
      <c r="T1006" s="30" t="n"/>
      <c r="U1006" s="30" t="n"/>
      <c r="V1006" s="30" t="n"/>
      <c r="W1006" s="29">
        <f>IF(H1006="","",IF(H1006="Kenya","Yes","No"))</f>
        <v/>
      </c>
      <c r="X1006" s="29">
        <f>IF(B1006="","",IF(COUNTIF($B$5:$B$3004,B1006)&gt;1,"DUPLICATE","OK"))</f>
        <v/>
      </c>
      <c r="Y1006" s="29">
        <f>IF(OR(U1006="",V1006="",V1006="Excluded"),"",IF(COUNTIFS($U$5:$U$3004,U1006,$V$5:$V$3004,"&lt;&gt;"&amp;V1006,$V$5:$V$3004,"&lt;&gt;",$V$5:$V$3004,"&lt;&gt;Excluded")&gt;0,"LEAK RISK","OK"))</f>
        <v/>
      </c>
      <c r="Z1006" s="30" t="n"/>
    </row>
    <row r="1007">
      <c r="A1007" s="30" t="n"/>
      <c r="B1007" s="30" t="n"/>
      <c r="C1007" s="30" t="n"/>
      <c r="D1007" s="30" t="n"/>
      <c r="E1007" s="30" t="n"/>
      <c r="F1007" s="30" t="n"/>
      <c r="G1007" s="30" t="n"/>
      <c r="H1007" s="30" t="n"/>
      <c r="I1007" s="31" t="n"/>
      <c r="J1007" s="30" t="n"/>
      <c r="K1007" s="30" t="n"/>
      <c r="L1007" s="30" t="n"/>
      <c r="M1007" s="30" t="n"/>
      <c r="N1007" s="32" t="n"/>
      <c r="O1007" s="30" t="n"/>
      <c r="P1007" s="32" t="n"/>
      <c r="Q1007" s="30" t="n"/>
      <c r="R1007" s="32" t="n"/>
      <c r="S1007" s="30" t="n"/>
      <c r="T1007" s="30" t="n"/>
      <c r="U1007" s="30" t="n"/>
      <c r="V1007" s="30" t="n"/>
      <c r="W1007" s="29">
        <f>IF(H1007="","",IF(H1007="Kenya","Yes","No"))</f>
        <v/>
      </c>
      <c r="X1007" s="29">
        <f>IF(B1007="","",IF(COUNTIF($B$5:$B$3004,B1007)&gt;1,"DUPLICATE","OK"))</f>
        <v/>
      </c>
      <c r="Y1007" s="29">
        <f>IF(OR(U1007="",V1007="",V1007="Excluded"),"",IF(COUNTIFS($U$5:$U$3004,U1007,$V$5:$V$3004,"&lt;&gt;"&amp;V1007,$V$5:$V$3004,"&lt;&gt;",$V$5:$V$3004,"&lt;&gt;Excluded")&gt;0,"LEAK RISK","OK"))</f>
        <v/>
      </c>
      <c r="Z1007" s="30" t="n"/>
    </row>
    <row r="1008">
      <c r="A1008" s="30" t="n"/>
      <c r="B1008" s="30" t="n"/>
      <c r="C1008" s="30" t="n"/>
      <c r="D1008" s="30" t="n"/>
      <c r="E1008" s="30" t="n"/>
      <c r="F1008" s="30" t="n"/>
      <c r="G1008" s="30" t="n"/>
      <c r="H1008" s="30" t="n"/>
      <c r="I1008" s="31" t="n"/>
      <c r="J1008" s="30" t="n"/>
      <c r="K1008" s="30" t="n"/>
      <c r="L1008" s="30" t="n"/>
      <c r="M1008" s="30" t="n"/>
      <c r="N1008" s="32" t="n"/>
      <c r="O1008" s="30" t="n"/>
      <c r="P1008" s="32" t="n"/>
      <c r="Q1008" s="30" t="n"/>
      <c r="R1008" s="32" t="n"/>
      <c r="S1008" s="30" t="n"/>
      <c r="T1008" s="30" t="n"/>
      <c r="U1008" s="30" t="n"/>
      <c r="V1008" s="30" t="n"/>
      <c r="W1008" s="29">
        <f>IF(H1008="","",IF(H1008="Kenya","Yes","No"))</f>
        <v/>
      </c>
      <c r="X1008" s="29">
        <f>IF(B1008="","",IF(COUNTIF($B$5:$B$3004,B1008)&gt;1,"DUPLICATE","OK"))</f>
        <v/>
      </c>
      <c r="Y1008" s="29">
        <f>IF(OR(U1008="",V1008="",V1008="Excluded"),"",IF(COUNTIFS($U$5:$U$3004,U1008,$V$5:$V$3004,"&lt;&gt;"&amp;V1008,$V$5:$V$3004,"&lt;&gt;",$V$5:$V$3004,"&lt;&gt;Excluded")&gt;0,"LEAK RISK","OK"))</f>
        <v/>
      </c>
      <c r="Z1008" s="30" t="n"/>
    </row>
    <row r="1009">
      <c r="A1009" s="30" t="n"/>
      <c r="B1009" s="30" t="n"/>
      <c r="C1009" s="30" t="n"/>
      <c r="D1009" s="30" t="n"/>
      <c r="E1009" s="30" t="n"/>
      <c r="F1009" s="30" t="n"/>
      <c r="G1009" s="30" t="n"/>
      <c r="H1009" s="30" t="n"/>
      <c r="I1009" s="31" t="n"/>
      <c r="J1009" s="30" t="n"/>
      <c r="K1009" s="30" t="n"/>
      <c r="L1009" s="30" t="n"/>
      <c r="M1009" s="30" t="n"/>
      <c r="N1009" s="32" t="n"/>
      <c r="O1009" s="30" t="n"/>
      <c r="P1009" s="32" t="n"/>
      <c r="Q1009" s="30" t="n"/>
      <c r="R1009" s="32" t="n"/>
      <c r="S1009" s="30" t="n"/>
      <c r="T1009" s="30" t="n"/>
      <c r="U1009" s="30" t="n"/>
      <c r="V1009" s="30" t="n"/>
      <c r="W1009" s="29">
        <f>IF(H1009="","",IF(H1009="Kenya","Yes","No"))</f>
        <v/>
      </c>
      <c r="X1009" s="29">
        <f>IF(B1009="","",IF(COUNTIF($B$5:$B$3004,B1009)&gt;1,"DUPLICATE","OK"))</f>
        <v/>
      </c>
      <c r="Y1009" s="29">
        <f>IF(OR(U1009="",V1009="",V1009="Excluded"),"",IF(COUNTIFS($U$5:$U$3004,U1009,$V$5:$V$3004,"&lt;&gt;"&amp;V1009,$V$5:$V$3004,"&lt;&gt;",$V$5:$V$3004,"&lt;&gt;Excluded")&gt;0,"LEAK RISK","OK"))</f>
        <v/>
      </c>
      <c r="Z1009" s="30" t="n"/>
    </row>
    <row r="1010">
      <c r="A1010" s="30" t="n"/>
      <c r="B1010" s="30" t="n"/>
      <c r="C1010" s="30" t="n"/>
      <c r="D1010" s="30" t="n"/>
      <c r="E1010" s="30" t="n"/>
      <c r="F1010" s="30" t="n"/>
      <c r="G1010" s="30" t="n"/>
      <c r="H1010" s="30" t="n"/>
      <c r="I1010" s="31" t="n"/>
      <c r="J1010" s="30" t="n"/>
      <c r="K1010" s="30" t="n"/>
      <c r="L1010" s="30" t="n"/>
      <c r="M1010" s="30" t="n"/>
      <c r="N1010" s="32" t="n"/>
      <c r="O1010" s="30" t="n"/>
      <c r="P1010" s="32" t="n"/>
      <c r="Q1010" s="30" t="n"/>
      <c r="R1010" s="32" t="n"/>
      <c r="S1010" s="30" t="n"/>
      <c r="T1010" s="30" t="n"/>
      <c r="U1010" s="30" t="n"/>
      <c r="V1010" s="30" t="n"/>
      <c r="W1010" s="29">
        <f>IF(H1010="","",IF(H1010="Kenya","Yes","No"))</f>
        <v/>
      </c>
      <c r="X1010" s="29">
        <f>IF(B1010="","",IF(COUNTIF($B$5:$B$3004,B1010)&gt;1,"DUPLICATE","OK"))</f>
        <v/>
      </c>
      <c r="Y1010" s="29">
        <f>IF(OR(U1010="",V1010="",V1010="Excluded"),"",IF(COUNTIFS($U$5:$U$3004,U1010,$V$5:$V$3004,"&lt;&gt;"&amp;V1010,$V$5:$V$3004,"&lt;&gt;",$V$5:$V$3004,"&lt;&gt;Excluded")&gt;0,"LEAK RISK","OK"))</f>
        <v/>
      </c>
      <c r="Z1010" s="30" t="n"/>
    </row>
    <row r="1011">
      <c r="A1011" s="30" t="n"/>
      <c r="B1011" s="30" t="n"/>
      <c r="C1011" s="30" t="n"/>
      <c r="D1011" s="30" t="n"/>
      <c r="E1011" s="30" t="n"/>
      <c r="F1011" s="30" t="n"/>
      <c r="G1011" s="30" t="n"/>
      <c r="H1011" s="30" t="n"/>
      <c r="I1011" s="31" t="n"/>
      <c r="J1011" s="30" t="n"/>
      <c r="K1011" s="30" t="n"/>
      <c r="L1011" s="30" t="n"/>
      <c r="M1011" s="30" t="n"/>
      <c r="N1011" s="32" t="n"/>
      <c r="O1011" s="30" t="n"/>
      <c r="P1011" s="32" t="n"/>
      <c r="Q1011" s="30" t="n"/>
      <c r="R1011" s="32" t="n"/>
      <c r="S1011" s="30" t="n"/>
      <c r="T1011" s="30" t="n"/>
      <c r="U1011" s="30" t="n"/>
      <c r="V1011" s="30" t="n"/>
      <c r="W1011" s="29">
        <f>IF(H1011="","",IF(H1011="Kenya","Yes","No"))</f>
        <v/>
      </c>
      <c r="X1011" s="29">
        <f>IF(B1011="","",IF(COUNTIF($B$5:$B$3004,B1011)&gt;1,"DUPLICATE","OK"))</f>
        <v/>
      </c>
      <c r="Y1011" s="29">
        <f>IF(OR(U1011="",V1011="",V1011="Excluded"),"",IF(COUNTIFS($U$5:$U$3004,U1011,$V$5:$V$3004,"&lt;&gt;"&amp;V1011,$V$5:$V$3004,"&lt;&gt;",$V$5:$V$3004,"&lt;&gt;Excluded")&gt;0,"LEAK RISK","OK"))</f>
        <v/>
      </c>
      <c r="Z1011" s="30" t="n"/>
    </row>
    <row r="1012">
      <c r="A1012" s="30" t="n"/>
      <c r="B1012" s="30" t="n"/>
      <c r="C1012" s="30" t="n"/>
      <c r="D1012" s="30" t="n"/>
      <c r="E1012" s="30" t="n"/>
      <c r="F1012" s="30" t="n"/>
      <c r="G1012" s="30" t="n"/>
      <c r="H1012" s="30" t="n"/>
      <c r="I1012" s="31" t="n"/>
      <c r="J1012" s="30" t="n"/>
      <c r="K1012" s="30" t="n"/>
      <c r="L1012" s="30" t="n"/>
      <c r="M1012" s="30" t="n"/>
      <c r="N1012" s="32" t="n"/>
      <c r="O1012" s="30" t="n"/>
      <c r="P1012" s="32" t="n"/>
      <c r="Q1012" s="30" t="n"/>
      <c r="R1012" s="32" t="n"/>
      <c r="S1012" s="30" t="n"/>
      <c r="T1012" s="30" t="n"/>
      <c r="U1012" s="30" t="n"/>
      <c r="V1012" s="30" t="n"/>
      <c r="W1012" s="29">
        <f>IF(H1012="","",IF(H1012="Kenya","Yes","No"))</f>
        <v/>
      </c>
      <c r="X1012" s="29">
        <f>IF(B1012="","",IF(COUNTIF($B$5:$B$3004,B1012)&gt;1,"DUPLICATE","OK"))</f>
        <v/>
      </c>
      <c r="Y1012" s="29">
        <f>IF(OR(U1012="",V1012="",V1012="Excluded"),"",IF(COUNTIFS($U$5:$U$3004,U1012,$V$5:$V$3004,"&lt;&gt;"&amp;V1012,$V$5:$V$3004,"&lt;&gt;",$V$5:$V$3004,"&lt;&gt;Excluded")&gt;0,"LEAK RISK","OK"))</f>
        <v/>
      </c>
      <c r="Z1012" s="30" t="n"/>
    </row>
    <row r="1013">
      <c r="A1013" s="30" t="n"/>
      <c r="B1013" s="30" t="n"/>
      <c r="C1013" s="30" t="n"/>
      <c r="D1013" s="30" t="n"/>
      <c r="E1013" s="30" t="n"/>
      <c r="F1013" s="30" t="n"/>
      <c r="G1013" s="30" t="n"/>
      <c r="H1013" s="30" t="n"/>
      <c r="I1013" s="31" t="n"/>
      <c r="J1013" s="30" t="n"/>
      <c r="K1013" s="30" t="n"/>
      <c r="L1013" s="30" t="n"/>
      <c r="M1013" s="30" t="n"/>
      <c r="N1013" s="32" t="n"/>
      <c r="O1013" s="30" t="n"/>
      <c r="P1013" s="32" t="n"/>
      <c r="Q1013" s="30" t="n"/>
      <c r="R1013" s="32" t="n"/>
      <c r="S1013" s="30" t="n"/>
      <c r="T1013" s="30" t="n"/>
      <c r="U1013" s="30" t="n"/>
      <c r="V1013" s="30" t="n"/>
      <c r="W1013" s="29">
        <f>IF(H1013="","",IF(H1013="Kenya","Yes","No"))</f>
        <v/>
      </c>
      <c r="X1013" s="29">
        <f>IF(B1013="","",IF(COUNTIF($B$5:$B$3004,B1013)&gt;1,"DUPLICATE","OK"))</f>
        <v/>
      </c>
      <c r="Y1013" s="29">
        <f>IF(OR(U1013="",V1013="",V1013="Excluded"),"",IF(COUNTIFS($U$5:$U$3004,U1013,$V$5:$V$3004,"&lt;&gt;"&amp;V1013,$V$5:$V$3004,"&lt;&gt;",$V$5:$V$3004,"&lt;&gt;Excluded")&gt;0,"LEAK RISK","OK"))</f>
        <v/>
      </c>
      <c r="Z1013" s="30" t="n"/>
    </row>
    <row r="1014">
      <c r="A1014" s="30" t="n"/>
      <c r="B1014" s="30" t="n"/>
      <c r="C1014" s="30" t="n"/>
      <c r="D1014" s="30" t="n"/>
      <c r="E1014" s="30" t="n"/>
      <c r="F1014" s="30" t="n"/>
      <c r="G1014" s="30" t="n"/>
      <c r="H1014" s="30" t="n"/>
      <c r="I1014" s="31" t="n"/>
      <c r="J1014" s="30" t="n"/>
      <c r="K1014" s="30" t="n"/>
      <c r="L1014" s="30" t="n"/>
      <c r="M1014" s="30" t="n"/>
      <c r="N1014" s="32" t="n"/>
      <c r="O1014" s="30" t="n"/>
      <c r="P1014" s="32" t="n"/>
      <c r="Q1014" s="30" t="n"/>
      <c r="R1014" s="32" t="n"/>
      <c r="S1014" s="30" t="n"/>
      <c r="T1014" s="30" t="n"/>
      <c r="U1014" s="30" t="n"/>
      <c r="V1014" s="30" t="n"/>
      <c r="W1014" s="29">
        <f>IF(H1014="","",IF(H1014="Kenya","Yes","No"))</f>
        <v/>
      </c>
      <c r="X1014" s="29">
        <f>IF(B1014="","",IF(COUNTIF($B$5:$B$3004,B1014)&gt;1,"DUPLICATE","OK"))</f>
        <v/>
      </c>
      <c r="Y1014" s="29">
        <f>IF(OR(U1014="",V1014="",V1014="Excluded"),"",IF(COUNTIFS($U$5:$U$3004,U1014,$V$5:$V$3004,"&lt;&gt;"&amp;V1014,$V$5:$V$3004,"&lt;&gt;",$V$5:$V$3004,"&lt;&gt;Excluded")&gt;0,"LEAK RISK","OK"))</f>
        <v/>
      </c>
      <c r="Z1014" s="30" t="n"/>
    </row>
    <row r="1015">
      <c r="A1015" s="30" t="n"/>
      <c r="B1015" s="30" t="n"/>
      <c r="C1015" s="30" t="n"/>
      <c r="D1015" s="30" t="n"/>
      <c r="E1015" s="30" t="n"/>
      <c r="F1015" s="30" t="n"/>
      <c r="G1015" s="30" t="n"/>
      <c r="H1015" s="30" t="n"/>
      <c r="I1015" s="31" t="n"/>
      <c r="J1015" s="30" t="n"/>
      <c r="K1015" s="30" t="n"/>
      <c r="L1015" s="30" t="n"/>
      <c r="M1015" s="30" t="n"/>
      <c r="N1015" s="32" t="n"/>
      <c r="O1015" s="30" t="n"/>
      <c r="P1015" s="32" t="n"/>
      <c r="Q1015" s="30" t="n"/>
      <c r="R1015" s="32" t="n"/>
      <c r="S1015" s="30" t="n"/>
      <c r="T1015" s="30" t="n"/>
      <c r="U1015" s="30" t="n"/>
      <c r="V1015" s="30" t="n"/>
      <c r="W1015" s="29">
        <f>IF(H1015="","",IF(H1015="Kenya","Yes","No"))</f>
        <v/>
      </c>
      <c r="X1015" s="29">
        <f>IF(B1015="","",IF(COUNTIF($B$5:$B$3004,B1015)&gt;1,"DUPLICATE","OK"))</f>
        <v/>
      </c>
      <c r="Y1015" s="29">
        <f>IF(OR(U1015="",V1015="",V1015="Excluded"),"",IF(COUNTIFS($U$5:$U$3004,U1015,$V$5:$V$3004,"&lt;&gt;"&amp;V1015,$V$5:$V$3004,"&lt;&gt;",$V$5:$V$3004,"&lt;&gt;Excluded")&gt;0,"LEAK RISK","OK"))</f>
        <v/>
      </c>
      <c r="Z1015" s="30" t="n"/>
    </row>
    <row r="1016">
      <c r="A1016" s="30" t="n"/>
      <c r="B1016" s="30" t="n"/>
      <c r="C1016" s="30" t="n"/>
      <c r="D1016" s="30" t="n"/>
      <c r="E1016" s="30" t="n"/>
      <c r="F1016" s="30" t="n"/>
      <c r="G1016" s="30" t="n"/>
      <c r="H1016" s="30" t="n"/>
      <c r="I1016" s="31" t="n"/>
      <c r="J1016" s="30" t="n"/>
      <c r="K1016" s="30" t="n"/>
      <c r="L1016" s="30" t="n"/>
      <c r="M1016" s="30" t="n"/>
      <c r="N1016" s="32" t="n"/>
      <c r="O1016" s="30" t="n"/>
      <c r="P1016" s="32" t="n"/>
      <c r="Q1016" s="30" t="n"/>
      <c r="R1016" s="32" t="n"/>
      <c r="S1016" s="30" t="n"/>
      <c r="T1016" s="30" t="n"/>
      <c r="U1016" s="30" t="n"/>
      <c r="V1016" s="30" t="n"/>
      <c r="W1016" s="29">
        <f>IF(H1016="","",IF(H1016="Kenya","Yes","No"))</f>
        <v/>
      </c>
      <c r="X1016" s="29">
        <f>IF(B1016="","",IF(COUNTIF($B$5:$B$3004,B1016)&gt;1,"DUPLICATE","OK"))</f>
        <v/>
      </c>
      <c r="Y1016" s="29">
        <f>IF(OR(U1016="",V1016="",V1016="Excluded"),"",IF(COUNTIFS($U$5:$U$3004,U1016,$V$5:$V$3004,"&lt;&gt;"&amp;V1016,$V$5:$V$3004,"&lt;&gt;",$V$5:$V$3004,"&lt;&gt;Excluded")&gt;0,"LEAK RISK","OK"))</f>
        <v/>
      </c>
      <c r="Z1016" s="30" t="n"/>
    </row>
    <row r="1017">
      <c r="A1017" s="30" t="n"/>
      <c r="B1017" s="30" t="n"/>
      <c r="C1017" s="30" t="n"/>
      <c r="D1017" s="30" t="n"/>
      <c r="E1017" s="30" t="n"/>
      <c r="F1017" s="30" t="n"/>
      <c r="G1017" s="30" t="n"/>
      <c r="H1017" s="30" t="n"/>
      <c r="I1017" s="31" t="n"/>
      <c r="J1017" s="30" t="n"/>
      <c r="K1017" s="30" t="n"/>
      <c r="L1017" s="30" t="n"/>
      <c r="M1017" s="30" t="n"/>
      <c r="N1017" s="32" t="n"/>
      <c r="O1017" s="30" t="n"/>
      <c r="P1017" s="32" t="n"/>
      <c r="Q1017" s="30" t="n"/>
      <c r="R1017" s="32" t="n"/>
      <c r="S1017" s="30" t="n"/>
      <c r="T1017" s="30" t="n"/>
      <c r="U1017" s="30" t="n"/>
      <c r="V1017" s="30" t="n"/>
      <c r="W1017" s="29">
        <f>IF(H1017="","",IF(H1017="Kenya","Yes","No"))</f>
        <v/>
      </c>
      <c r="X1017" s="29">
        <f>IF(B1017="","",IF(COUNTIF($B$5:$B$3004,B1017)&gt;1,"DUPLICATE","OK"))</f>
        <v/>
      </c>
      <c r="Y1017" s="29">
        <f>IF(OR(U1017="",V1017="",V1017="Excluded"),"",IF(COUNTIFS($U$5:$U$3004,U1017,$V$5:$V$3004,"&lt;&gt;"&amp;V1017,$V$5:$V$3004,"&lt;&gt;",$V$5:$V$3004,"&lt;&gt;Excluded")&gt;0,"LEAK RISK","OK"))</f>
        <v/>
      </c>
      <c r="Z1017" s="30" t="n"/>
    </row>
    <row r="1018">
      <c r="A1018" s="30" t="n"/>
      <c r="B1018" s="30" t="n"/>
      <c r="C1018" s="30" t="n"/>
      <c r="D1018" s="30" t="n"/>
      <c r="E1018" s="30" t="n"/>
      <c r="F1018" s="30" t="n"/>
      <c r="G1018" s="30" t="n"/>
      <c r="H1018" s="30" t="n"/>
      <c r="I1018" s="31" t="n"/>
      <c r="J1018" s="30" t="n"/>
      <c r="K1018" s="30" t="n"/>
      <c r="L1018" s="30" t="n"/>
      <c r="M1018" s="30" t="n"/>
      <c r="N1018" s="32" t="n"/>
      <c r="O1018" s="30" t="n"/>
      <c r="P1018" s="32" t="n"/>
      <c r="Q1018" s="30" t="n"/>
      <c r="R1018" s="32" t="n"/>
      <c r="S1018" s="30" t="n"/>
      <c r="T1018" s="30" t="n"/>
      <c r="U1018" s="30" t="n"/>
      <c r="V1018" s="30" t="n"/>
      <c r="W1018" s="29">
        <f>IF(H1018="","",IF(H1018="Kenya","Yes","No"))</f>
        <v/>
      </c>
      <c r="X1018" s="29">
        <f>IF(B1018="","",IF(COUNTIF($B$5:$B$3004,B1018)&gt;1,"DUPLICATE","OK"))</f>
        <v/>
      </c>
      <c r="Y1018" s="29">
        <f>IF(OR(U1018="",V1018="",V1018="Excluded"),"",IF(COUNTIFS($U$5:$U$3004,U1018,$V$5:$V$3004,"&lt;&gt;"&amp;V1018,$V$5:$V$3004,"&lt;&gt;",$V$5:$V$3004,"&lt;&gt;Excluded")&gt;0,"LEAK RISK","OK"))</f>
        <v/>
      </c>
      <c r="Z1018" s="30" t="n"/>
    </row>
    <row r="1019">
      <c r="A1019" s="30" t="n"/>
      <c r="B1019" s="30" t="n"/>
      <c r="C1019" s="30" t="n"/>
      <c r="D1019" s="30" t="n"/>
      <c r="E1019" s="30" t="n"/>
      <c r="F1019" s="30" t="n"/>
      <c r="G1019" s="30" t="n"/>
      <c r="H1019" s="30" t="n"/>
      <c r="I1019" s="31" t="n"/>
      <c r="J1019" s="30" t="n"/>
      <c r="K1019" s="30" t="n"/>
      <c r="L1019" s="30" t="n"/>
      <c r="M1019" s="30" t="n"/>
      <c r="N1019" s="32" t="n"/>
      <c r="O1019" s="30" t="n"/>
      <c r="P1019" s="32" t="n"/>
      <c r="Q1019" s="30" t="n"/>
      <c r="R1019" s="32" t="n"/>
      <c r="S1019" s="30" t="n"/>
      <c r="T1019" s="30" t="n"/>
      <c r="U1019" s="30" t="n"/>
      <c r="V1019" s="30" t="n"/>
      <c r="W1019" s="29">
        <f>IF(H1019="","",IF(H1019="Kenya","Yes","No"))</f>
        <v/>
      </c>
      <c r="X1019" s="29">
        <f>IF(B1019="","",IF(COUNTIF($B$5:$B$3004,B1019)&gt;1,"DUPLICATE","OK"))</f>
        <v/>
      </c>
      <c r="Y1019" s="29">
        <f>IF(OR(U1019="",V1019="",V1019="Excluded"),"",IF(COUNTIFS($U$5:$U$3004,U1019,$V$5:$V$3004,"&lt;&gt;"&amp;V1019,$V$5:$V$3004,"&lt;&gt;",$V$5:$V$3004,"&lt;&gt;Excluded")&gt;0,"LEAK RISK","OK"))</f>
        <v/>
      </c>
      <c r="Z1019" s="30" t="n"/>
    </row>
    <row r="1020">
      <c r="A1020" s="30" t="n"/>
      <c r="B1020" s="30" t="n"/>
      <c r="C1020" s="30" t="n"/>
      <c r="D1020" s="30" t="n"/>
      <c r="E1020" s="30" t="n"/>
      <c r="F1020" s="30" t="n"/>
      <c r="G1020" s="30" t="n"/>
      <c r="H1020" s="30" t="n"/>
      <c r="I1020" s="31" t="n"/>
      <c r="J1020" s="30" t="n"/>
      <c r="K1020" s="30" t="n"/>
      <c r="L1020" s="30" t="n"/>
      <c r="M1020" s="30" t="n"/>
      <c r="N1020" s="32" t="n"/>
      <c r="O1020" s="30" t="n"/>
      <c r="P1020" s="32" t="n"/>
      <c r="Q1020" s="30" t="n"/>
      <c r="R1020" s="32" t="n"/>
      <c r="S1020" s="30" t="n"/>
      <c r="T1020" s="30" t="n"/>
      <c r="U1020" s="30" t="n"/>
      <c r="V1020" s="30" t="n"/>
      <c r="W1020" s="29">
        <f>IF(H1020="","",IF(H1020="Kenya","Yes","No"))</f>
        <v/>
      </c>
      <c r="X1020" s="29">
        <f>IF(B1020="","",IF(COUNTIF($B$5:$B$3004,B1020)&gt;1,"DUPLICATE","OK"))</f>
        <v/>
      </c>
      <c r="Y1020" s="29">
        <f>IF(OR(U1020="",V1020="",V1020="Excluded"),"",IF(COUNTIFS($U$5:$U$3004,U1020,$V$5:$V$3004,"&lt;&gt;"&amp;V1020,$V$5:$V$3004,"&lt;&gt;",$V$5:$V$3004,"&lt;&gt;Excluded")&gt;0,"LEAK RISK","OK"))</f>
        <v/>
      </c>
      <c r="Z1020" s="30" t="n"/>
    </row>
    <row r="1021">
      <c r="A1021" s="30" t="n"/>
      <c r="B1021" s="30" t="n"/>
      <c r="C1021" s="30" t="n"/>
      <c r="D1021" s="30" t="n"/>
      <c r="E1021" s="30" t="n"/>
      <c r="F1021" s="30" t="n"/>
      <c r="G1021" s="30" t="n"/>
      <c r="H1021" s="30" t="n"/>
      <c r="I1021" s="31" t="n"/>
      <c r="J1021" s="30" t="n"/>
      <c r="K1021" s="30" t="n"/>
      <c r="L1021" s="30" t="n"/>
      <c r="M1021" s="30" t="n"/>
      <c r="N1021" s="32" t="n"/>
      <c r="O1021" s="30" t="n"/>
      <c r="P1021" s="32" t="n"/>
      <c r="Q1021" s="30" t="n"/>
      <c r="R1021" s="32" t="n"/>
      <c r="S1021" s="30" t="n"/>
      <c r="T1021" s="30" t="n"/>
      <c r="U1021" s="30" t="n"/>
      <c r="V1021" s="30" t="n"/>
      <c r="W1021" s="29">
        <f>IF(H1021="","",IF(H1021="Kenya","Yes","No"))</f>
        <v/>
      </c>
      <c r="X1021" s="29">
        <f>IF(B1021="","",IF(COUNTIF($B$5:$B$3004,B1021)&gt;1,"DUPLICATE","OK"))</f>
        <v/>
      </c>
      <c r="Y1021" s="29">
        <f>IF(OR(U1021="",V1021="",V1021="Excluded"),"",IF(COUNTIFS($U$5:$U$3004,U1021,$V$5:$V$3004,"&lt;&gt;"&amp;V1021,$V$5:$V$3004,"&lt;&gt;",$V$5:$V$3004,"&lt;&gt;Excluded")&gt;0,"LEAK RISK","OK"))</f>
        <v/>
      </c>
      <c r="Z1021" s="30" t="n"/>
    </row>
    <row r="1022">
      <c r="A1022" s="30" t="n"/>
      <c r="B1022" s="30" t="n"/>
      <c r="C1022" s="30" t="n"/>
      <c r="D1022" s="30" t="n"/>
      <c r="E1022" s="30" t="n"/>
      <c r="F1022" s="30" t="n"/>
      <c r="G1022" s="30" t="n"/>
      <c r="H1022" s="30" t="n"/>
      <c r="I1022" s="31" t="n"/>
      <c r="J1022" s="30" t="n"/>
      <c r="K1022" s="30" t="n"/>
      <c r="L1022" s="30" t="n"/>
      <c r="M1022" s="30" t="n"/>
      <c r="N1022" s="32" t="n"/>
      <c r="O1022" s="30" t="n"/>
      <c r="P1022" s="32" t="n"/>
      <c r="Q1022" s="30" t="n"/>
      <c r="R1022" s="32" t="n"/>
      <c r="S1022" s="30" t="n"/>
      <c r="T1022" s="30" t="n"/>
      <c r="U1022" s="30" t="n"/>
      <c r="V1022" s="30" t="n"/>
      <c r="W1022" s="29">
        <f>IF(H1022="","",IF(H1022="Kenya","Yes","No"))</f>
        <v/>
      </c>
      <c r="X1022" s="29">
        <f>IF(B1022="","",IF(COUNTIF($B$5:$B$3004,B1022)&gt;1,"DUPLICATE","OK"))</f>
        <v/>
      </c>
      <c r="Y1022" s="29">
        <f>IF(OR(U1022="",V1022="",V1022="Excluded"),"",IF(COUNTIFS($U$5:$U$3004,U1022,$V$5:$V$3004,"&lt;&gt;"&amp;V1022,$V$5:$V$3004,"&lt;&gt;",$V$5:$V$3004,"&lt;&gt;Excluded")&gt;0,"LEAK RISK","OK"))</f>
        <v/>
      </c>
      <c r="Z1022" s="30" t="n"/>
    </row>
    <row r="1023">
      <c r="A1023" s="30" t="n"/>
      <c r="B1023" s="30" t="n"/>
      <c r="C1023" s="30" t="n"/>
      <c r="D1023" s="30" t="n"/>
      <c r="E1023" s="30" t="n"/>
      <c r="F1023" s="30" t="n"/>
      <c r="G1023" s="30" t="n"/>
      <c r="H1023" s="30" t="n"/>
      <c r="I1023" s="31" t="n"/>
      <c r="J1023" s="30" t="n"/>
      <c r="K1023" s="30" t="n"/>
      <c r="L1023" s="30" t="n"/>
      <c r="M1023" s="30" t="n"/>
      <c r="N1023" s="32" t="n"/>
      <c r="O1023" s="30" t="n"/>
      <c r="P1023" s="32" t="n"/>
      <c r="Q1023" s="30" t="n"/>
      <c r="R1023" s="32" t="n"/>
      <c r="S1023" s="30" t="n"/>
      <c r="T1023" s="30" t="n"/>
      <c r="U1023" s="30" t="n"/>
      <c r="V1023" s="30" t="n"/>
      <c r="W1023" s="29">
        <f>IF(H1023="","",IF(H1023="Kenya","Yes","No"))</f>
        <v/>
      </c>
      <c r="X1023" s="29">
        <f>IF(B1023="","",IF(COUNTIF($B$5:$B$3004,B1023)&gt;1,"DUPLICATE","OK"))</f>
        <v/>
      </c>
      <c r="Y1023" s="29">
        <f>IF(OR(U1023="",V1023="",V1023="Excluded"),"",IF(COUNTIFS($U$5:$U$3004,U1023,$V$5:$V$3004,"&lt;&gt;"&amp;V1023,$V$5:$V$3004,"&lt;&gt;",$V$5:$V$3004,"&lt;&gt;Excluded")&gt;0,"LEAK RISK","OK"))</f>
        <v/>
      </c>
      <c r="Z1023" s="30" t="n"/>
    </row>
    <row r="1024">
      <c r="A1024" s="30" t="n"/>
      <c r="B1024" s="30" t="n"/>
      <c r="C1024" s="30" t="n"/>
      <c r="D1024" s="30" t="n"/>
      <c r="E1024" s="30" t="n"/>
      <c r="F1024" s="30" t="n"/>
      <c r="G1024" s="30" t="n"/>
      <c r="H1024" s="30" t="n"/>
      <c r="I1024" s="31" t="n"/>
      <c r="J1024" s="30" t="n"/>
      <c r="K1024" s="30" t="n"/>
      <c r="L1024" s="30" t="n"/>
      <c r="M1024" s="30" t="n"/>
      <c r="N1024" s="32" t="n"/>
      <c r="O1024" s="30" t="n"/>
      <c r="P1024" s="32" t="n"/>
      <c r="Q1024" s="30" t="n"/>
      <c r="R1024" s="32" t="n"/>
      <c r="S1024" s="30" t="n"/>
      <c r="T1024" s="30" t="n"/>
      <c r="U1024" s="30" t="n"/>
      <c r="V1024" s="30" t="n"/>
      <c r="W1024" s="29">
        <f>IF(H1024="","",IF(H1024="Kenya","Yes","No"))</f>
        <v/>
      </c>
      <c r="X1024" s="29">
        <f>IF(B1024="","",IF(COUNTIF($B$5:$B$3004,B1024)&gt;1,"DUPLICATE","OK"))</f>
        <v/>
      </c>
      <c r="Y1024" s="29">
        <f>IF(OR(U1024="",V1024="",V1024="Excluded"),"",IF(COUNTIFS($U$5:$U$3004,U1024,$V$5:$V$3004,"&lt;&gt;"&amp;V1024,$V$5:$V$3004,"&lt;&gt;",$V$5:$V$3004,"&lt;&gt;Excluded")&gt;0,"LEAK RISK","OK"))</f>
        <v/>
      </c>
      <c r="Z1024" s="30" t="n"/>
    </row>
    <row r="1025">
      <c r="A1025" s="30" t="n"/>
      <c r="B1025" s="30" t="n"/>
      <c r="C1025" s="30" t="n"/>
      <c r="D1025" s="30" t="n"/>
      <c r="E1025" s="30" t="n"/>
      <c r="F1025" s="30" t="n"/>
      <c r="G1025" s="30" t="n"/>
      <c r="H1025" s="30" t="n"/>
      <c r="I1025" s="31" t="n"/>
      <c r="J1025" s="30" t="n"/>
      <c r="K1025" s="30" t="n"/>
      <c r="L1025" s="30" t="n"/>
      <c r="M1025" s="30" t="n"/>
      <c r="N1025" s="32" t="n"/>
      <c r="O1025" s="30" t="n"/>
      <c r="P1025" s="32" t="n"/>
      <c r="Q1025" s="30" t="n"/>
      <c r="R1025" s="32" t="n"/>
      <c r="S1025" s="30" t="n"/>
      <c r="T1025" s="30" t="n"/>
      <c r="U1025" s="30" t="n"/>
      <c r="V1025" s="30" t="n"/>
      <c r="W1025" s="29">
        <f>IF(H1025="","",IF(H1025="Kenya","Yes","No"))</f>
        <v/>
      </c>
      <c r="X1025" s="29">
        <f>IF(B1025="","",IF(COUNTIF($B$5:$B$3004,B1025)&gt;1,"DUPLICATE","OK"))</f>
        <v/>
      </c>
      <c r="Y1025" s="29">
        <f>IF(OR(U1025="",V1025="",V1025="Excluded"),"",IF(COUNTIFS($U$5:$U$3004,U1025,$V$5:$V$3004,"&lt;&gt;"&amp;V1025,$V$5:$V$3004,"&lt;&gt;",$V$5:$V$3004,"&lt;&gt;Excluded")&gt;0,"LEAK RISK","OK"))</f>
        <v/>
      </c>
      <c r="Z1025" s="30" t="n"/>
    </row>
    <row r="1026">
      <c r="A1026" s="30" t="n"/>
      <c r="B1026" s="30" t="n"/>
      <c r="C1026" s="30" t="n"/>
      <c r="D1026" s="30" t="n"/>
      <c r="E1026" s="30" t="n"/>
      <c r="F1026" s="30" t="n"/>
      <c r="G1026" s="30" t="n"/>
      <c r="H1026" s="30" t="n"/>
      <c r="I1026" s="31" t="n"/>
      <c r="J1026" s="30" t="n"/>
      <c r="K1026" s="30" t="n"/>
      <c r="L1026" s="30" t="n"/>
      <c r="M1026" s="30" t="n"/>
      <c r="N1026" s="32" t="n"/>
      <c r="O1026" s="30" t="n"/>
      <c r="P1026" s="32" t="n"/>
      <c r="Q1026" s="30" t="n"/>
      <c r="R1026" s="32" t="n"/>
      <c r="S1026" s="30" t="n"/>
      <c r="T1026" s="30" t="n"/>
      <c r="U1026" s="30" t="n"/>
      <c r="V1026" s="30" t="n"/>
      <c r="W1026" s="29">
        <f>IF(H1026="","",IF(H1026="Kenya","Yes","No"))</f>
        <v/>
      </c>
      <c r="X1026" s="29">
        <f>IF(B1026="","",IF(COUNTIF($B$5:$B$3004,B1026)&gt;1,"DUPLICATE","OK"))</f>
        <v/>
      </c>
      <c r="Y1026" s="29">
        <f>IF(OR(U1026="",V1026="",V1026="Excluded"),"",IF(COUNTIFS($U$5:$U$3004,U1026,$V$5:$V$3004,"&lt;&gt;"&amp;V1026,$V$5:$V$3004,"&lt;&gt;",$V$5:$V$3004,"&lt;&gt;Excluded")&gt;0,"LEAK RISK","OK"))</f>
        <v/>
      </c>
      <c r="Z1026" s="30" t="n"/>
    </row>
    <row r="1027">
      <c r="A1027" s="30" t="n"/>
      <c r="B1027" s="30" t="n"/>
      <c r="C1027" s="30" t="n"/>
      <c r="D1027" s="30" t="n"/>
      <c r="E1027" s="30" t="n"/>
      <c r="F1027" s="30" t="n"/>
      <c r="G1027" s="30" t="n"/>
      <c r="H1027" s="30" t="n"/>
      <c r="I1027" s="31" t="n"/>
      <c r="J1027" s="30" t="n"/>
      <c r="K1027" s="30" t="n"/>
      <c r="L1027" s="30" t="n"/>
      <c r="M1027" s="30" t="n"/>
      <c r="N1027" s="32" t="n"/>
      <c r="O1027" s="30" t="n"/>
      <c r="P1027" s="32" t="n"/>
      <c r="Q1027" s="30" t="n"/>
      <c r="R1027" s="32" t="n"/>
      <c r="S1027" s="30" t="n"/>
      <c r="T1027" s="30" t="n"/>
      <c r="U1027" s="30" t="n"/>
      <c r="V1027" s="30" t="n"/>
      <c r="W1027" s="29">
        <f>IF(H1027="","",IF(H1027="Kenya","Yes","No"))</f>
        <v/>
      </c>
      <c r="X1027" s="29">
        <f>IF(B1027="","",IF(COUNTIF($B$5:$B$3004,B1027)&gt;1,"DUPLICATE","OK"))</f>
        <v/>
      </c>
      <c r="Y1027" s="29">
        <f>IF(OR(U1027="",V1027="",V1027="Excluded"),"",IF(COUNTIFS($U$5:$U$3004,U1027,$V$5:$V$3004,"&lt;&gt;"&amp;V1027,$V$5:$V$3004,"&lt;&gt;",$V$5:$V$3004,"&lt;&gt;Excluded")&gt;0,"LEAK RISK","OK"))</f>
        <v/>
      </c>
      <c r="Z1027" s="30" t="n"/>
    </row>
    <row r="1028">
      <c r="A1028" s="30" t="n"/>
      <c r="B1028" s="30" t="n"/>
      <c r="C1028" s="30" t="n"/>
      <c r="D1028" s="30" t="n"/>
      <c r="E1028" s="30" t="n"/>
      <c r="F1028" s="30" t="n"/>
      <c r="G1028" s="30" t="n"/>
      <c r="H1028" s="30" t="n"/>
      <c r="I1028" s="31" t="n"/>
      <c r="J1028" s="30" t="n"/>
      <c r="K1028" s="30" t="n"/>
      <c r="L1028" s="30" t="n"/>
      <c r="M1028" s="30" t="n"/>
      <c r="N1028" s="32" t="n"/>
      <c r="O1028" s="30" t="n"/>
      <c r="P1028" s="32" t="n"/>
      <c r="Q1028" s="30" t="n"/>
      <c r="R1028" s="32" t="n"/>
      <c r="S1028" s="30" t="n"/>
      <c r="T1028" s="30" t="n"/>
      <c r="U1028" s="30" t="n"/>
      <c r="V1028" s="30" t="n"/>
      <c r="W1028" s="29">
        <f>IF(H1028="","",IF(H1028="Kenya","Yes","No"))</f>
        <v/>
      </c>
      <c r="X1028" s="29">
        <f>IF(B1028="","",IF(COUNTIF($B$5:$B$3004,B1028)&gt;1,"DUPLICATE","OK"))</f>
        <v/>
      </c>
      <c r="Y1028" s="29">
        <f>IF(OR(U1028="",V1028="",V1028="Excluded"),"",IF(COUNTIFS($U$5:$U$3004,U1028,$V$5:$V$3004,"&lt;&gt;"&amp;V1028,$V$5:$V$3004,"&lt;&gt;",$V$5:$V$3004,"&lt;&gt;Excluded")&gt;0,"LEAK RISK","OK"))</f>
        <v/>
      </c>
      <c r="Z1028" s="30" t="n"/>
    </row>
    <row r="1029">
      <c r="A1029" s="30" t="n"/>
      <c r="B1029" s="30" t="n"/>
      <c r="C1029" s="30" t="n"/>
      <c r="D1029" s="30" t="n"/>
      <c r="E1029" s="30" t="n"/>
      <c r="F1029" s="30" t="n"/>
      <c r="G1029" s="30" t="n"/>
      <c r="H1029" s="30" t="n"/>
      <c r="I1029" s="31" t="n"/>
      <c r="J1029" s="30" t="n"/>
      <c r="K1029" s="30" t="n"/>
      <c r="L1029" s="30" t="n"/>
      <c r="M1029" s="30" t="n"/>
      <c r="N1029" s="32" t="n"/>
      <c r="O1029" s="30" t="n"/>
      <c r="P1029" s="32" t="n"/>
      <c r="Q1029" s="30" t="n"/>
      <c r="R1029" s="32" t="n"/>
      <c r="S1029" s="30" t="n"/>
      <c r="T1029" s="30" t="n"/>
      <c r="U1029" s="30" t="n"/>
      <c r="V1029" s="30" t="n"/>
      <c r="W1029" s="29">
        <f>IF(H1029="","",IF(H1029="Kenya","Yes","No"))</f>
        <v/>
      </c>
      <c r="X1029" s="29">
        <f>IF(B1029="","",IF(COUNTIF($B$5:$B$3004,B1029)&gt;1,"DUPLICATE","OK"))</f>
        <v/>
      </c>
      <c r="Y1029" s="29">
        <f>IF(OR(U1029="",V1029="",V1029="Excluded"),"",IF(COUNTIFS($U$5:$U$3004,U1029,$V$5:$V$3004,"&lt;&gt;"&amp;V1029,$V$5:$V$3004,"&lt;&gt;",$V$5:$V$3004,"&lt;&gt;Excluded")&gt;0,"LEAK RISK","OK"))</f>
        <v/>
      </c>
      <c r="Z1029" s="30" t="n"/>
    </row>
    <row r="1030">
      <c r="A1030" s="30" t="n"/>
      <c r="B1030" s="30" t="n"/>
      <c r="C1030" s="30" t="n"/>
      <c r="D1030" s="30" t="n"/>
      <c r="E1030" s="30" t="n"/>
      <c r="F1030" s="30" t="n"/>
      <c r="G1030" s="30" t="n"/>
      <c r="H1030" s="30" t="n"/>
      <c r="I1030" s="31" t="n"/>
      <c r="J1030" s="30" t="n"/>
      <c r="K1030" s="30" t="n"/>
      <c r="L1030" s="30" t="n"/>
      <c r="M1030" s="30" t="n"/>
      <c r="N1030" s="32" t="n"/>
      <c r="O1030" s="30" t="n"/>
      <c r="P1030" s="32" t="n"/>
      <c r="Q1030" s="30" t="n"/>
      <c r="R1030" s="32" t="n"/>
      <c r="S1030" s="30" t="n"/>
      <c r="T1030" s="30" t="n"/>
      <c r="U1030" s="30" t="n"/>
      <c r="V1030" s="30" t="n"/>
      <c r="W1030" s="29">
        <f>IF(H1030="","",IF(H1030="Kenya","Yes","No"))</f>
        <v/>
      </c>
      <c r="X1030" s="29">
        <f>IF(B1030="","",IF(COUNTIF($B$5:$B$3004,B1030)&gt;1,"DUPLICATE","OK"))</f>
        <v/>
      </c>
      <c r="Y1030" s="29">
        <f>IF(OR(U1030="",V1030="",V1030="Excluded"),"",IF(COUNTIFS($U$5:$U$3004,U1030,$V$5:$V$3004,"&lt;&gt;"&amp;V1030,$V$5:$V$3004,"&lt;&gt;",$V$5:$V$3004,"&lt;&gt;Excluded")&gt;0,"LEAK RISK","OK"))</f>
        <v/>
      </c>
      <c r="Z1030" s="30" t="n"/>
    </row>
    <row r="1031">
      <c r="A1031" s="30" t="n"/>
      <c r="B1031" s="30" t="n"/>
      <c r="C1031" s="30" t="n"/>
      <c r="D1031" s="30" t="n"/>
      <c r="E1031" s="30" t="n"/>
      <c r="F1031" s="30" t="n"/>
      <c r="G1031" s="30" t="n"/>
      <c r="H1031" s="30" t="n"/>
      <c r="I1031" s="31" t="n"/>
      <c r="J1031" s="30" t="n"/>
      <c r="K1031" s="30" t="n"/>
      <c r="L1031" s="30" t="n"/>
      <c r="M1031" s="30" t="n"/>
      <c r="N1031" s="32" t="n"/>
      <c r="O1031" s="30" t="n"/>
      <c r="P1031" s="32" t="n"/>
      <c r="Q1031" s="30" t="n"/>
      <c r="R1031" s="32" t="n"/>
      <c r="S1031" s="30" t="n"/>
      <c r="T1031" s="30" t="n"/>
      <c r="U1031" s="30" t="n"/>
      <c r="V1031" s="30" t="n"/>
      <c r="W1031" s="29">
        <f>IF(H1031="","",IF(H1031="Kenya","Yes","No"))</f>
        <v/>
      </c>
      <c r="X1031" s="29">
        <f>IF(B1031="","",IF(COUNTIF($B$5:$B$3004,B1031)&gt;1,"DUPLICATE","OK"))</f>
        <v/>
      </c>
      <c r="Y1031" s="29">
        <f>IF(OR(U1031="",V1031="",V1031="Excluded"),"",IF(COUNTIFS($U$5:$U$3004,U1031,$V$5:$V$3004,"&lt;&gt;"&amp;V1031,$V$5:$V$3004,"&lt;&gt;",$V$5:$V$3004,"&lt;&gt;Excluded")&gt;0,"LEAK RISK","OK"))</f>
        <v/>
      </c>
      <c r="Z1031" s="30" t="n"/>
    </row>
    <row r="1032">
      <c r="A1032" s="30" t="n"/>
      <c r="B1032" s="30" t="n"/>
      <c r="C1032" s="30" t="n"/>
      <c r="D1032" s="30" t="n"/>
      <c r="E1032" s="30" t="n"/>
      <c r="F1032" s="30" t="n"/>
      <c r="G1032" s="30" t="n"/>
      <c r="H1032" s="30" t="n"/>
      <c r="I1032" s="31" t="n"/>
      <c r="J1032" s="30" t="n"/>
      <c r="K1032" s="30" t="n"/>
      <c r="L1032" s="30" t="n"/>
      <c r="M1032" s="30" t="n"/>
      <c r="N1032" s="32" t="n"/>
      <c r="O1032" s="30" t="n"/>
      <c r="P1032" s="32" t="n"/>
      <c r="Q1032" s="30" t="n"/>
      <c r="R1032" s="32" t="n"/>
      <c r="S1032" s="30" t="n"/>
      <c r="T1032" s="30" t="n"/>
      <c r="U1032" s="30" t="n"/>
      <c r="V1032" s="30" t="n"/>
      <c r="W1032" s="29">
        <f>IF(H1032="","",IF(H1032="Kenya","Yes","No"))</f>
        <v/>
      </c>
      <c r="X1032" s="29">
        <f>IF(B1032="","",IF(COUNTIF($B$5:$B$3004,B1032)&gt;1,"DUPLICATE","OK"))</f>
        <v/>
      </c>
      <c r="Y1032" s="29">
        <f>IF(OR(U1032="",V1032="",V1032="Excluded"),"",IF(COUNTIFS($U$5:$U$3004,U1032,$V$5:$V$3004,"&lt;&gt;"&amp;V1032,$V$5:$V$3004,"&lt;&gt;",$V$5:$V$3004,"&lt;&gt;Excluded")&gt;0,"LEAK RISK","OK"))</f>
        <v/>
      </c>
      <c r="Z1032" s="30" t="n"/>
    </row>
    <row r="1033">
      <c r="A1033" s="30" t="n"/>
      <c r="B1033" s="30" t="n"/>
      <c r="C1033" s="30" t="n"/>
      <c r="D1033" s="30" t="n"/>
      <c r="E1033" s="30" t="n"/>
      <c r="F1033" s="30" t="n"/>
      <c r="G1033" s="30" t="n"/>
      <c r="H1033" s="30" t="n"/>
      <c r="I1033" s="31" t="n"/>
      <c r="J1033" s="30" t="n"/>
      <c r="K1033" s="30" t="n"/>
      <c r="L1033" s="30" t="n"/>
      <c r="M1033" s="30" t="n"/>
      <c r="N1033" s="32" t="n"/>
      <c r="O1033" s="30" t="n"/>
      <c r="P1033" s="32" t="n"/>
      <c r="Q1033" s="30" t="n"/>
      <c r="R1033" s="32" t="n"/>
      <c r="S1033" s="30" t="n"/>
      <c r="T1033" s="30" t="n"/>
      <c r="U1033" s="30" t="n"/>
      <c r="V1033" s="30" t="n"/>
      <c r="W1033" s="29">
        <f>IF(H1033="","",IF(H1033="Kenya","Yes","No"))</f>
        <v/>
      </c>
      <c r="X1033" s="29">
        <f>IF(B1033="","",IF(COUNTIF($B$5:$B$3004,B1033)&gt;1,"DUPLICATE","OK"))</f>
        <v/>
      </c>
      <c r="Y1033" s="29">
        <f>IF(OR(U1033="",V1033="",V1033="Excluded"),"",IF(COUNTIFS($U$5:$U$3004,U1033,$V$5:$V$3004,"&lt;&gt;"&amp;V1033,$V$5:$V$3004,"&lt;&gt;",$V$5:$V$3004,"&lt;&gt;Excluded")&gt;0,"LEAK RISK","OK"))</f>
        <v/>
      </c>
      <c r="Z1033" s="30" t="n"/>
    </row>
    <row r="1034">
      <c r="A1034" s="30" t="n"/>
      <c r="B1034" s="30" t="n"/>
      <c r="C1034" s="30" t="n"/>
      <c r="D1034" s="30" t="n"/>
      <c r="E1034" s="30" t="n"/>
      <c r="F1034" s="30" t="n"/>
      <c r="G1034" s="30" t="n"/>
      <c r="H1034" s="30" t="n"/>
      <c r="I1034" s="31" t="n"/>
      <c r="J1034" s="30" t="n"/>
      <c r="K1034" s="30" t="n"/>
      <c r="L1034" s="30" t="n"/>
      <c r="M1034" s="30" t="n"/>
      <c r="N1034" s="32" t="n"/>
      <c r="O1034" s="30" t="n"/>
      <c r="P1034" s="32" t="n"/>
      <c r="Q1034" s="30" t="n"/>
      <c r="R1034" s="32" t="n"/>
      <c r="S1034" s="30" t="n"/>
      <c r="T1034" s="30" t="n"/>
      <c r="U1034" s="30" t="n"/>
      <c r="V1034" s="30" t="n"/>
      <c r="W1034" s="29">
        <f>IF(H1034="","",IF(H1034="Kenya","Yes","No"))</f>
        <v/>
      </c>
      <c r="X1034" s="29">
        <f>IF(B1034="","",IF(COUNTIF($B$5:$B$3004,B1034)&gt;1,"DUPLICATE","OK"))</f>
        <v/>
      </c>
      <c r="Y1034" s="29">
        <f>IF(OR(U1034="",V1034="",V1034="Excluded"),"",IF(COUNTIFS($U$5:$U$3004,U1034,$V$5:$V$3004,"&lt;&gt;"&amp;V1034,$V$5:$V$3004,"&lt;&gt;",$V$5:$V$3004,"&lt;&gt;Excluded")&gt;0,"LEAK RISK","OK"))</f>
        <v/>
      </c>
      <c r="Z1034" s="30" t="n"/>
    </row>
    <row r="1035">
      <c r="A1035" s="30" t="n"/>
      <c r="B1035" s="30" t="n"/>
      <c r="C1035" s="30" t="n"/>
      <c r="D1035" s="30" t="n"/>
      <c r="E1035" s="30" t="n"/>
      <c r="F1035" s="30" t="n"/>
      <c r="G1035" s="30" t="n"/>
      <c r="H1035" s="30" t="n"/>
      <c r="I1035" s="31" t="n"/>
      <c r="J1035" s="30" t="n"/>
      <c r="K1035" s="30" t="n"/>
      <c r="L1035" s="30" t="n"/>
      <c r="M1035" s="30" t="n"/>
      <c r="N1035" s="32" t="n"/>
      <c r="O1035" s="30" t="n"/>
      <c r="P1035" s="32" t="n"/>
      <c r="Q1035" s="30" t="n"/>
      <c r="R1035" s="32" t="n"/>
      <c r="S1035" s="30" t="n"/>
      <c r="T1035" s="30" t="n"/>
      <c r="U1035" s="30" t="n"/>
      <c r="V1035" s="30" t="n"/>
      <c r="W1035" s="29">
        <f>IF(H1035="","",IF(H1035="Kenya","Yes","No"))</f>
        <v/>
      </c>
      <c r="X1035" s="29">
        <f>IF(B1035="","",IF(COUNTIF($B$5:$B$3004,B1035)&gt;1,"DUPLICATE","OK"))</f>
        <v/>
      </c>
      <c r="Y1035" s="29">
        <f>IF(OR(U1035="",V1035="",V1035="Excluded"),"",IF(COUNTIFS($U$5:$U$3004,U1035,$V$5:$V$3004,"&lt;&gt;"&amp;V1035,$V$5:$V$3004,"&lt;&gt;",$V$5:$V$3004,"&lt;&gt;Excluded")&gt;0,"LEAK RISK","OK"))</f>
        <v/>
      </c>
      <c r="Z1035" s="30" t="n"/>
    </row>
    <row r="1036">
      <c r="A1036" s="30" t="n"/>
      <c r="B1036" s="30" t="n"/>
      <c r="C1036" s="30" t="n"/>
      <c r="D1036" s="30" t="n"/>
      <c r="E1036" s="30" t="n"/>
      <c r="F1036" s="30" t="n"/>
      <c r="G1036" s="30" t="n"/>
      <c r="H1036" s="30" t="n"/>
      <c r="I1036" s="31" t="n"/>
      <c r="J1036" s="30" t="n"/>
      <c r="K1036" s="30" t="n"/>
      <c r="L1036" s="30" t="n"/>
      <c r="M1036" s="30" t="n"/>
      <c r="N1036" s="32" t="n"/>
      <c r="O1036" s="30" t="n"/>
      <c r="P1036" s="32" t="n"/>
      <c r="Q1036" s="30" t="n"/>
      <c r="R1036" s="32" t="n"/>
      <c r="S1036" s="30" t="n"/>
      <c r="T1036" s="30" t="n"/>
      <c r="U1036" s="30" t="n"/>
      <c r="V1036" s="30" t="n"/>
      <c r="W1036" s="29">
        <f>IF(H1036="","",IF(H1036="Kenya","Yes","No"))</f>
        <v/>
      </c>
      <c r="X1036" s="29">
        <f>IF(B1036="","",IF(COUNTIF($B$5:$B$3004,B1036)&gt;1,"DUPLICATE","OK"))</f>
        <v/>
      </c>
      <c r="Y1036" s="29">
        <f>IF(OR(U1036="",V1036="",V1036="Excluded"),"",IF(COUNTIFS($U$5:$U$3004,U1036,$V$5:$V$3004,"&lt;&gt;"&amp;V1036,$V$5:$V$3004,"&lt;&gt;",$V$5:$V$3004,"&lt;&gt;Excluded")&gt;0,"LEAK RISK","OK"))</f>
        <v/>
      </c>
      <c r="Z1036" s="30" t="n"/>
    </row>
    <row r="1037">
      <c r="A1037" s="30" t="n"/>
      <c r="B1037" s="30" t="n"/>
      <c r="C1037" s="30" t="n"/>
      <c r="D1037" s="30" t="n"/>
      <c r="E1037" s="30" t="n"/>
      <c r="F1037" s="30" t="n"/>
      <c r="G1037" s="30" t="n"/>
      <c r="H1037" s="30" t="n"/>
      <c r="I1037" s="31" t="n"/>
      <c r="J1037" s="30" t="n"/>
      <c r="K1037" s="30" t="n"/>
      <c r="L1037" s="30" t="n"/>
      <c r="M1037" s="30" t="n"/>
      <c r="N1037" s="32" t="n"/>
      <c r="O1037" s="30" t="n"/>
      <c r="P1037" s="32" t="n"/>
      <c r="Q1037" s="30" t="n"/>
      <c r="R1037" s="32" t="n"/>
      <c r="S1037" s="30" t="n"/>
      <c r="T1037" s="30" t="n"/>
      <c r="U1037" s="30" t="n"/>
      <c r="V1037" s="30" t="n"/>
      <c r="W1037" s="29">
        <f>IF(H1037="","",IF(H1037="Kenya","Yes","No"))</f>
        <v/>
      </c>
      <c r="X1037" s="29">
        <f>IF(B1037="","",IF(COUNTIF($B$5:$B$3004,B1037)&gt;1,"DUPLICATE","OK"))</f>
        <v/>
      </c>
      <c r="Y1037" s="29">
        <f>IF(OR(U1037="",V1037="",V1037="Excluded"),"",IF(COUNTIFS($U$5:$U$3004,U1037,$V$5:$V$3004,"&lt;&gt;"&amp;V1037,$V$5:$V$3004,"&lt;&gt;",$V$5:$V$3004,"&lt;&gt;Excluded")&gt;0,"LEAK RISK","OK"))</f>
        <v/>
      </c>
      <c r="Z1037" s="30" t="n"/>
    </row>
    <row r="1038">
      <c r="A1038" s="30" t="n"/>
      <c r="B1038" s="30" t="n"/>
      <c r="C1038" s="30" t="n"/>
      <c r="D1038" s="30" t="n"/>
      <c r="E1038" s="30" t="n"/>
      <c r="F1038" s="30" t="n"/>
      <c r="G1038" s="30" t="n"/>
      <c r="H1038" s="30" t="n"/>
      <c r="I1038" s="31" t="n"/>
      <c r="J1038" s="30" t="n"/>
      <c r="K1038" s="30" t="n"/>
      <c r="L1038" s="30" t="n"/>
      <c r="M1038" s="30" t="n"/>
      <c r="N1038" s="32" t="n"/>
      <c r="O1038" s="30" t="n"/>
      <c r="P1038" s="32" t="n"/>
      <c r="Q1038" s="30" t="n"/>
      <c r="R1038" s="32" t="n"/>
      <c r="S1038" s="30" t="n"/>
      <c r="T1038" s="30" t="n"/>
      <c r="U1038" s="30" t="n"/>
      <c r="V1038" s="30" t="n"/>
      <c r="W1038" s="29">
        <f>IF(H1038="","",IF(H1038="Kenya","Yes","No"))</f>
        <v/>
      </c>
      <c r="X1038" s="29">
        <f>IF(B1038="","",IF(COUNTIF($B$5:$B$3004,B1038)&gt;1,"DUPLICATE","OK"))</f>
        <v/>
      </c>
      <c r="Y1038" s="29">
        <f>IF(OR(U1038="",V1038="",V1038="Excluded"),"",IF(COUNTIFS($U$5:$U$3004,U1038,$V$5:$V$3004,"&lt;&gt;"&amp;V1038,$V$5:$V$3004,"&lt;&gt;",$V$5:$V$3004,"&lt;&gt;Excluded")&gt;0,"LEAK RISK","OK"))</f>
        <v/>
      </c>
      <c r="Z1038" s="30" t="n"/>
    </row>
    <row r="1039">
      <c r="A1039" s="30" t="n"/>
      <c r="B1039" s="30" t="n"/>
      <c r="C1039" s="30" t="n"/>
      <c r="D1039" s="30" t="n"/>
      <c r="E1039" s="30" t="n"/>
      <c r="F1039" s="30" t="n"/>
      <c r="G1039" s="30" t="n"/>
      <c r="H1039" s="30" t="n"/>
      <c r="I1039" s="31" t="n"/>
      <c r="J1039" s="30" t="n"/>
      <c r="K1039" s="30" t="n"/>
      <c r="L1039" s="30" t="n"/>
      <c r="M1039" s="30" t="n"/>
      <c r="N1039" s="32" t="n"/>
      <c r="O1039" s="30" t="n"/>
      <c r="P1039" s="32" t="n"/>
      <c r="Q1039" s="30" t="n"/>
      <c r="R1039" s="32" t="n"/>
      <c r="S1039" s="30" t="n"/>
      <c r="T1039" s="30" t="n"/>
      <c r="U1039" s="30" t="n"/>
      <c r="V1039" s="30" t="n"/>
      <c r="W1039" s="29">
        <f>IF(H1039="","",IF(H1039="Kenya","Yes","No"))</f>
        <v/>
      </c>
      <c r="X1039" s="29">
        <f>IF(B1039="","",IF(COUNTIF($B$5:$B$3004,B1039)&gt;1,"DUPLICATE","OK"))</f>
        <v/>
      </c>
      <c r="Y1039" s="29">
        <f>IF(OR(U1039="",V1039="",V1039="Excluded"),"",IF(COUNTIFS($U$5:$U$3004,U1039,$V$5:$V$3004,"&lt;&gt;"&amp;V1039,$V$5:$V$3004,"&lt;&gt;",$V$5:$V$3004,"&lt;&gt;Excluded")&gt;0,"LEAK RISK","OK"))</f>
        <v/>
      </c>
      <c r="Z1039" s="30" t="n"/>
    </row>
    <row r="1040">
      <c r="A1040" s="30" t="n"/>
      <c r="B1040" s="30" t="n"/>
      <c r="C1040" s="30" t="n"/>
      <c r="D1040" s="30" t="n"/>
      <c r="E1040" s="30" t="n"/>
      <c r="F1040" s="30" t="n"/>
      <c r="G1040" s="30" t="n"/>
      <c r="H1040" s="30" t="n"/>
      <c r="I1040" s="31" t="n"/>
      <c r="J1040" s="30" t="n"/>
      <c r="K1040" s="30" t="n"/>
      <c r="L1040" s="30" t="n"/>
      <c r="M1040" s="30" t="n"/>
      <c r="N1040" s="32" t="n"/>
      <c r="O1040" s="30" t="n"/>
      <c r="P1040" s="32" t="n"/>
      <c r="Q1040" s="30" t="n"/>
      <c r="R1040" s="32" t="n"/>
      <c r="S1040" s="30" t="n"/>
      <c r="T1040" s="30" t="n"/>
      <c r="U1040" s="30" t="n"/>
      <c r="V1040" s="30" t="n"/>
      <c r="W1040" s="29">
        <f>IF(H1040="","",IF(H1040="Kenya","Yes","No"))</f>
        <v/>
      </c>
      <c r="X1040" s="29">
        <f>IF(B1040="","",IF(COUNTIF($B$5:$B$3004,B1040)&gt;1,"DUPLICATE","OK"))</f>
        <v/>
      </c>
      <c r="Y1040" s="29">
        <f>IF(OR(U1040="",V1040="",V1040="Excluded"),"",IF(COUNTIFS($U$5:$U$3004,U1040,$V$5:$V$3004,"&lt;&gt;"&amp;V1040,$V$5:$V$3004,"&lt;&gt;",$V$5:$V$3004,"&lt;&gt;Excluded")&gt;0,"LEAK RISK","OK"))</f>
        <v/>
      </c>
      <c r="Z1040" s="30" t="n"/>
    </row>
    <row r="1041">
      <c r="A1041" s="30" t="n"/>
      <c r="B1041" s="30" t="n"/>
      <c r="C1041" s="30" t="n"/>
      <c r="D1041" s="30" t="n"/>
      <c r="E1041" s="30" t="n"/>
      <c r="F1041" s="30" t="n"/>
      <c r="G1041" s="30" t="n"/>
      <c r="H1041" s="30" t="n"/>
      <c r="I1041" s="31" t="n"/>
      <c r="J1041" s="30" t="n"/>
      <c r="K1041" s="30" t="n"/>
      <c r="L1041" s="30" t="n"/>
      <c r="M1041" s="30" t="n"/>
      <c r="N1041" s="32" t="n"/>
      <c r="O1041" s="30" t="n"/>
      <c r="P1041" s="32" t="n"/>
      <c r="Q1041" s="30" t="n"/>
      <c r="R1041" s="32" t="n"/>
      <c r="S1041" s="30" t="n"/>
      <c r="T1041" s="30" t="n"/>
      <c r="U1041" s="30" t="n"/>
      <c r="V1041" s="30" t="n"/>
      <c r="W1041" s="29">
        <f>IF(H1041="","",IF(H1041="Kenya","Yes","No"))</f>
        <v/>
      </c>
      <c r="X1041" s="29">
        <f>IF(B1041="","",IF(COUNTIF($B$5:$B$3004,B1041)&gt;1,"DUPLICATE","OK"))</f>
        <v/>
      </c>
      <c r="Y1041" s="29">
        <f>IF(OR(U1041="",V1041="",V1041="Excluded"),"",IF(COUNTIFS($U$5:$U$3004,U1041,$V$5:$V$3004,"&lt;&gt;"&amp;V1041,$V$5:$V$3004,"&lt;&gt;",$V$5:$V$3004,"&lt;&gt;Excluded")&gt;0,"LEAK RISK","OK"))</f>
        <v/>
      </c>
      <c r="Z1041" s="30" t="n"/>
    </row>
    <row r="1042">
      <c r="A1042" s="30" t="n"/>
      <c r="B1042" s="30" t="n"/>
      <c r="C1042" s="30" t="n"/>
      <c r="D1042" s="30" t="n"/>
      <c r="E1042" s="30" t="n"/>
      <c r="F1042" s="30" t="n"/>
      <c r="G1042" s="30" t="n"/>
      <c r="H1042" s="30" t="n"/>
      <c r="I1042" s="31" t="n"/>
      <c r="J1042" s="30" t="n"/>
      <c r="K1042" s="30" t="n"/>
      <c r="L1042" s="30" t="n"/>
      <c r="M1042" s="30" t="n"/>
      <c r="N1042" s="32" t="n"/>
      <c r="O1042" s="30" t="n"/>
      <c r="P1042" s="32" t="n"/>
      <c r="Q1042" s="30" t="n"/>
      <c r="R1042" s="32" t="n"/>
      <c r="S1042" s="30" t="n"/>
      <c r="T1042" s="30" t="n"/>
      <c r="U1042" s="30" t="n"/>
      <c r="V1042" s="30" t="n"/>
      <c r="W1042" s="29">
        <f>IF(H1042="","",IF(H1042="Kenya","Yes","No"))</f>
        <v/>
      </c>
      <c r="X1042" s="29">
        <f>IF(B1042="","",IF(COUNTIF($B$5:$B$3004,B1042)&gt;1,"DUPLICATE","OK"))</f>
        <v/>
      </c>
      <c r="Y1042" s="29">
        <f>IF(OR(U1042="",V1042="",V1042="Excluded"),"",IF(COUNTIFS($U$5:$U$3004,U1042,$V$5:$V$3004,"&lt;&gt;"&amp;V1042,$V$5:$V$3004,"&lt;&gt;",$V$5:$V$3004,"&lt;&gt;Excluded")&gt;0,"LEAK RISK","OK"))</f>
        <v/>
      </c>
      <c r="Z1042" s="30" t="n"/>
    </row>
    <row r="1043">
      <c r="A1043" s="30" t="n"/>
      <c r="B1043" s="30" t="n"/>
      <c r="C1043" s="30" t="n"/>
      <c r="D1043" s="30" t="n"/>
      <c r="E1043" s="30" t="n"/>
      <c r="F1043" s="30" t="n"/>
      <c r="G1043" s="30" t="n"/>
      <c r="H1043" s="30" t="n"/>
      <c r="I1043" s="31" t="n"/>
      <c r="J1043" s="30" t="n"/>
      <c r="K1043" s="30" t="n"/>
      <c r="L1043" s="30" t="n"/>
      <c r="M1043" s="30" t="n"/>
      <c r="N1043" s="32" t="n"/>
      <c r="O1043" s="30" t="n"/>
      <c r="P1043" s="32" t="n"/>
      <c r="Q1043" s="30" t="n"/>
      <c r="R1043" s="32" t="n"/>
      <c r="S1043" s="30" t="n"/>
      <c r="T1043" s="30" t="n"/>
      <c r="U1043" s="30" t="n"/>
      <c r="V1043" s="30" t="n"/>
      <c r="W1043" s="29">
        <f>IF(H1043="","",IF(H1043="Kenya","Yes","No"))</f>
        <v/>
      </c>
      <c r="X1043" s="29">
        <f>IF(B1043="","",IF(COUNTIF($B$5:$B$3004,B1043)&gt;1,"DUPLICATE","OK"))</f>
        <v/>
      </c>
      <c r="Y1043" s="29">
        <f>IF(OR(U1043="",V1043="",V1043="Excluded"),"",IF(COUNTIFS($U$5:$U$3004,U1043,$V$5:$V$3004,"&lt;&gt;"&amp;V1043,$V$5:$V$3004,"&lt;&gt;",$V$5:$V$3004,"&lt;&gt;Excluded")&gt;0,"LEAK RISK","OK"))</f>
        <v/>
      </c>
      <c r="Z1043" s="30" t="n"/>
    </row>
    <row r="1044">
      <c r="A1044" s="30" t="n"/>
      <c r="B1044" s="30" t="n"/>
      <c r="C1044" s="30" t="n"/>
      <c r="D1044" s="30" t="n"/>
      <c r="E1044" s="30" t="n"/>
      <c r="F1044" s="30" t="n"/>
      <c r="G1044" s="30" t="n"/>
      <c r="H1044" s="30" t="n"/>
      <c r="I1044" s="31" t="n"/>
      <c r="J1044" s="30" t="n"/>
      <c r="K1044" s="30" t="n"/>
      <c r="L1044" s="30" t="n"/>
      <c r="M1044" s="30" t="n"/>
      <c r="N1044" s="32" t="n"/>
      <c r="O1044" s="30" t="n"/>
      <c r="P1044" s="32" t="n"/>
      <c r="Q1044" s="30" t="n"/>
      <c r="R1044" s="32" t="n"/>
      <c r="S1044" s="30" t="n"/>
      <c r="T1044" s="30" t="n"/>
      <c r="U1044" s="30" t="n"/>
      <c r="V1044" s="30" t="n"/>
      <c r="W1044" s="29">
        <f>IF(H1044="","",IF(H1044="Kenya","Yes","No"))</f>
        <v/>
      </c>
      <c r="X1044" s="29">
        <f>IF(B1044="","",IF(COUNTIF($B$5:$B$3004,B1044)&gt;1,"DUPLICATE","OK"))</f>
        <v/>
      </c>
      <c r="Y1044" s="29">
        <f>IF(OR(U1044="",V1044="",V1044="Excluded"),"",IF(COUNTIFS($U$5:$U$3004,U1044,$V$5:$V$3004,"&lt;&gt;"&amp;V1044,$V$5:$V$3004,"&lt;&gt;",$V$5:$V$3004,"&lt;&gt;Excluded")&gt;0,"LEAK RISK","OK"))</f>
        <v/>
      </c>
      <c r="Z1044" s="30" t="n"/>
    </row>
    <row r="1045">
      <c r="A1045" s="30" t="n"/>
      <c r="B1045" s="30" t="n"/>
      <c r="C1045" s="30" t="n"/>
      <c r="D1045" s="30" t="n"/>
      <c r="E1045" s="30" t="n"/>
      <c r="F1045" s="30" t="n"/>
      <c r="G1045" s="30" t="n"/>
      <c r="H1045" s="30" t="n"/>
      <c r="I1045" s="31" t="n"/>
      <c r="J1045" s="30" t="n"/>
      <c r="K1045" s="30" t="n"/>
      <c r="L1045" s="30" t="n"/>
      <c r="M1045" s="30" t="n"/>
      <c r="N1045" s="32" t="n"/>
      <c r="O1045" s="30" t="n"/>
      <c r="P1045" s="32" t="n"/>
      <c r="Q1045" s="30" t="n"/>
      <c r="R1045" s="32" t="n"/>
      <c r="S1045" s="30" t="n"/>
      <c r="T1045" s="30" t="n"/>
      <c r="U1045" s="30" t="n"/>
      <c r="V1045" s="30" t="n"/>
      <c r="W1045" s="29">
        <f>IF(H1045="","",IF(H1045="Kenya","Yes","No"))</f>
        <v/>
      </c>
      <c r="X1045" s="29">
        <f>IF(B1045="","",IF(COUNTIF($B$5:$B$3004,B1045)&gt;1,"DUPLICATE","OK"))</f>
        <v/>
      </c>
      <c r="Y1045" s="29">
        <f>IF(OR(U1045="",V1045="",V1045="Excluded"),"",IF(COUNTIFS($U$5:$U$3004,U1045,$V$5:$V$3004,"&lt;&gt;"&amp;V1045,$V$5:$V$3004,"&lt;&gt;",$V$5:$V$3004,"&lt;&gt;Excluded")&gt;0,"LEAK RISK","OK"))</f>
        <v/>
      </c>
      <c r="Z1045" s="30" t="n"/>
    </row>
    <row r="1046">
      <c r="A1046" s="30" t="n"/>
      <c r="B1046" s="30" t="n"/>
      <c r="C1046" s="30" t="n"/>
      <c r="D1046" s="30" t="n"/>
      <c r="E1046" s="30" t="n"/>
      <c r="F1046" s="30" t="n"/>
      <c r="G1046" s="30" t="n"/>
      <c r="H1046" s="30" t="n"/>
      <c r="I1046" s="31" t="n"/>
      <c r="J1046" s="30" t="n"/>
      <c r="K1046" s="30" t="n"/>
      <c r="L1046" s="30" t="n"/>
      <c r="M1046" s="30" t="n"/>
      <c r="N1046" s="32" t="n"/>
      <c r="O1046" s="30" t="n"/>
      <c r="P1046" s="32" t="n"/>
      <c r="Q1046" s="30" t="n"/>
      <c r="R1046" s="32" t="n"/>
      <c r="S1046" s="30" t="n"/>
      <c r="T1046" s="30" t="n"/>
      <c r="U1046" s="30" t="n"/>
      <c r="V1046" s="30" t="n"/>
      <c r="W1046" s="29">
        <f>IF(H1046="","",IF(H1046="Kenya","Yes","No"))</f>
        <v/>
      </c>
      <c r="X1046" s="29">
        <f>IF(B1046="","",IF(COUNTIF($B$5:$B$3004,B1046)&gt;1,"DUPLICATE","OK"))</f>
        <v/>
      </c>
      <c r="Y1046" s="29">
        <f>IF(OR(U1046="",V1046="",V1046="Excluded"),"",IF(COUNTIFS($U$5:$U$3004,U1046,$V$5:$V$3004,"&lt;&gt;"&amp;V1046,$V$5:$V$3004,"&lt;&gt;",$V$5:$V$3004,"&lt;&gt;Excluded")&gt;0,"LEAK RISK","OK"))</f>
        <v/>
      </c>
      <c r="Z1046" s="30" t="n"/>
    </row>
    <row r="1047">
      <c r="A1047" s="30" t="n"/>
      <c r="B1047" s="30" t="n"/>
      <c r="C1047" s="30" t="n"/>
      <c r="D1047" s="30" t="n"/>
      <c r="E1047" s="30" t="n"/>
      <c r="F1047" s="30" t="n"/>
      <c r="G1047" s="30" t="n"/>
      <c r="H1047" s="30" t="n"/>
      <c r="I1047" s="31" t="n"/>
      <c r="J1047" s="30" t="n"/>
      <c r="K1047" s="30" t="n"/>
      <c r="L1047" s="30" t="n"/>
      <c r="M1047" s="30" t="n"/>
      <c r="N1047" s="32" t="n"/>
      <c r="O1047" s="30" t="n"/>
      <c r="P1047" s="32" t="n"/>
      <c r="Q1047" s="30" t="n"/>
      <c r="R1047" s="32" t="n"/>
      <c r="S1047" s="30" t="n"/>
      <c r="T1047" s="30" t="n"/>
      <c r="U1047" s="30" t="n"/>
      <c r="V1047" s="30" t="n"/>
      <c r="W1047" s="29">
        <f>IF(H1047="","",IF(H1047="Kenya","Yes","No"))</f>
        <v/>
      </c>
      <c r="X1047" s="29">
        <f>IF(B1047="","",IF(COUNTIF($B$5:$B$3004,B1047)&gt;1,"DUPLICATE","OK"))</f>
        <v/>
      </c>
      <c r="Y1047" s="29">
        <f>IF(OR(U1047="",V1047="",V1047="Excluded"),"",IF(COUNTIFS($U$5:$U$3004,U1047,$V$5:$V$3004,"&lt;&gt;"&amp;V1047,$V$5:$V$3004,"&lt;&gt;",$V$5:$V$3004,"&lt;&gt;Excluded")&gt;0,"LEAK RISK","OK"))</f>
        <v/>
      </c>
      <c r="Z1047" s="30" t="n"/>
    </row>
    <row r="1048">
      <c r="A1048" s="30" t="n"/>
      <c r="B1048" s="30" t="n"/>
      <c r="C1048" s="30" t="n"/>
      <c r="D1048" s="30" t="n"/>
      <c r="E1048" s="30" t="n"/>
      <c r="F1048" s="30" t="n"/>
      <c r="G1048" s="30" t="n"/>
      <c r="H1048" s="30" t="n"/>
      <c r="I1048" s="31" t="n"/>
      <c r="J1048" s="30" t="n"/>
      <c r="K1048" s="30" t="n"/>
      <c r="L1048" s="30" t="n"/>
      <c r="M1048" s="30" t="n"/>
      <c r="N1048" s="32" t="n"/>
      <c r="O1048" s="30" t="n"/>
      <c r="P1048" s="32" t="n"/>
      <c r="Q1048" s="30" t="n"/>
      <c r="R1048" s="32" t="n"/>
      <c r="S1048" s="30" t="n"/>
      <c r="T1048" s="30" t="n"/>
      <c r="U1048" s="30" t="n"/>
      <c r="V1048" s="30" t="n"/>
      <c r="W1048" s="29">
        <f>IF(H1048="","",IF(H1048="Kenya","Yes","No"))</f>
        <v/>
      </c>
      <c r="X1048" s="29">
        <f>IF(B1048="","",IF(COUNTIF($B$5:$B$3004,B1048)&gt;1,"DUPLICATE","OK"))</f>
        <v/>
      </c>
      <c r="Y1048" s="29">
        <f>IF(OR(U1048="",V1048="",V1048="Excluded"),"",IF(COUNTIFS($U$5:$U$3004,U1048,$V$5:$V$3004,"&lt;&gt;"&amp;V1048,$V$5:$V$3004,"&lt;&gt;",$V$5:$V$3004,"&lt;&gt;Excluded")&gt;0,"LEAK RISK","OK"))</f>
        <v/>
      </c>
      <c r="Z1048" s="30" t="n"/>
    </row>
    <row r="1049">
      <c r="A1049" s="30" t="n"/>
      <c r="B1049" s="30" t="n"/>
      <c r="C1049" s="30" t="n"/>
      <c r="D1049" s="30" t="n"/>
      <c r="E1049" s="30" t="n"/>
      <c r="F1049" s="30" t="n"/>
      <c r="G1049" s="30" t="n"/>
      <c r="H1049" s="30" t="n"/>
      <c r="I1049" s="31" t="n"/>
      <c r="J1049" s="30" t="n"/>
      <c r="K1049" s="30" t="n"/>
      <c r="L1049" s="30" t="n"/>
      <c r="M1049" s="30" t="n"/>
      <c r="N1049" s="32" t="n"/>
      <c r="O1049" s="30" t="n"/>
      <c r="P1049" s="32" t="n"/>
      <c r="Q1049" s="30" t="n"/>
      <c r="R1049" s="32" t="n"/>
      <c r="S1049" s="30" t="n"/>
      <c r="T1049" s="30" t="n"/>
      <c r="U1049" s="30" t="n"/>
      <c r="V1049" s="30" t="n"/>
      <c r="W1049" s="29">
        <f>IF(H1049="","",IF(H1049="Kenya","Yes","No"))</f>
        <v/>
      </c>
      <c r="X1049" s="29">
        <f>IF(B1049="","",IF(COUNTIF($B$5:$B$3004,B1049)&gt;1,"DUPLICATE","OK"))</f>
        <v/>
      </c>
      <c r="Y1049" s="29">
        <f>IF(OR(U1049="",V1049="",V1049="Excluded"),"",IF(COUNTIFS($U$5:$U$3004,U1049,$V$5:$V$3004,"&lt;&gt;"&amp;V1049,$V$5:$V$3004,"&lt;&gt;",$V$5:$V$3004,"&lt;&gt;Excluded")&gt;0,"LEAK RISK","OK"))</f>
        <v/>
      </c>
      <c r="Z1049" s="30" t="n"/>
    </row>
    <row r="1050">
      <c r="A1050" s="30" t="n"/>
      <c r="B1050" s="30" t="n"/>
      <c r="C1050" s="30" t="n"/>
      <c r="D1050" s="30" t="n"/>
      <c r="E1050" s="30" t="n"/>
      <c r="F1050" s="30" t="n"/>
      <c r="G1050" s="30" t="n"/>
      <c r="H1050" s="30" t="n"/>
      <c r="I1050" s="31" t="n"/>
      <c r="J1050" s="30" t="n"/>
      <c r="K1050" s="30" t="n"/>
      <c r="L1050" s="30" t="n"/>
      <c r="M1050" s="30" t="n"/>
      <c r="N1050" s="32" t="n"/>
      <c r="O1050" s="30" t="n"/>
      <c r="P1050" s="32" t="n"/>
      <c r="Q1050" s="30" t="n"/>
      <c r="R1050" s="32" t="n"/>
      <c r="S1050" s="30" t="n"/>
      <c r="T1050" s="30" t="n"/>
      <c r="U1050" s="30" t="n"/>
      <c r="V1050" s="30" t="n"/>
      <c r="W1050" s="29">
        <f>IF(H1050="","",IF(H1050="Kenya","Yes","No"))</f>
        <v/>
      </c>
      <c r="X1050" s="29">
        <f>IF(B1050="","",IF(COUNTIF($B$5:$B$3004,B1050)&gt;1,"DUPLICATE","OK"))</f>
        <v/>
      </c>
      <c r="Y1050" s="29">
        <f>IF(OR(U1050="",V1050="",V1050="Excluded"),"",IF(COUNTIFS($U$5:$U$3004,U1050,$V$5:$V$3004,"&lt;&gt;"&amp;V1050,$V$5:$V$3004,"&lt;&gt;",$V$5:$V$3004,"&lt;&gt;Excluded")&gt;0,"LEAK RISK","OK"))</f>
        <v/>
      </c>
      <c r="Z1050" s="30" t="n"/>
    </row>
    <row r="1051">
      <c r="A1051" s="30" t="n"/>
      <c r="B1051" s="30" t="n"/>
      <c r="C1051" s="30" t="n"/>
      <c r="D1051" s="30" t="n"/>
      <c r="E1051" s="30" t="n"/>
      <c r="F1051" s="30" t="n"/>
      <c r="G1051" s="30" t="n"/>
      <c r="H1051" s="30" t="n"/>
      <c r="I1051" s="31" t="n"/>
      <c r="J1051" s="30" t="n"/>
      <c r="K1051" s="30" t="n"/>
      <c r="L1051" s="30" t="n"/>
      <c r="M1051" s="30" t="n"/>
      <c r="N1051" s="32" t="n"/>
      <c r="O1051" s="30" t="n"/>
      <c r="P1051" s="32" t="n"/>
      <c r="Q1051" s="30" t="n"/>
      <c r="R1051" s="32" t="n"/>
      <c r="S1051" s="30" t="n"/>
      <c r="T1051" s="30" t="n"/>
      <c r="U1051" s="30" t="n"/>
      <c r="V1051" s="30" t="n"/>
      <c r="W1051" s="29">
        <f>IF(H1051="","",IF(H1051="Kenya","Yes","No"))</f>
        <v/>
      </c>
      <c r="X1051" s="29">
        <f>IF(B1051="","",IF(COUNTIF($B$5:$B$3004,B1051)&gt;1,"DUPLICATE","OK"))</f>
        <v/>
      </c>
      <c r="Y1051" s="29">
        <f>IF(OR(U1051="",V1051="",V1051="Excluded"),"",IF(COUNTIFS($U$5:$U$3004,U1051,$V$5:$V$3004,"&lt;&gt;"&amp;V1051,$V$5:$V$3004,"&lt;&gt;",$V$5:$V$3004,"&lt;&gt;Excluded")&gt;0,"LEAK RISK","OK"))</f>
        <v/>
      </c>
      <c r="Z1051" s="30" t="n"/>
    </row>
    <row r="1052">
      <c r="A1052" s="30" t="n"/>
      <c r="B1052" s="30" t="n"/>
      <c r="C1052" s="30" t="n"/>
      <c r="D1052" s="30" t="n"/>
      <c r="E1052" s="30" t="n"/>
      <c r="F1052" s="30" t="n"/>
      <c r="G1052" s="30" t="n"/>
      <c r="H1052" s="30" t="n"/>
      <c r="I1052" s="31" t="n"/>
      <c r="J1052" s="30" t="n"/>
      <c r="K1052" s="30" t="n"/>
      <c r="L1052" s="30" t="n"/>
      <c r="M1052" s="30" t="n"/>
      <c r="N1052" s="32" t="n"/>
      <c r="O1052" s="30" t="n"/>
      <c r="P1052" s="32" t="n"/>
      <c r="Q1052" s="30" t="n"/>
      <c r="R1052" s="32" t="n"/>
      <c r="S1052" s="30" t="n"/>
      <c r="T1052" s="30" t="n"/>
      <c r="U1052" s="30" t="n"/>
      <c r="V1052" s="30" t="n"/>
      <c r="W1052" s="29">
        <f>IF(H1052="","",IF(H1052="Kenya","Yes","No"))</f>
        <v/>
      </c>
      <c r="X1052" s="29">
        <f>IF(B1052="","",IF(COUNTIF($B$5:$B$3004,B1052)&gt;1,"DUPLICATE","OK"))</f>
        <v/>
      </c>
      <c r="Y1052" s="29">
        <f>IF(OR(U1052="",V1052="",V1052="Excluded"),"",IF(COUNTIFS($U$5:$U$3004,U1052,$V$5:$V$3004,"&lt;&gt;"&amp;V1052,$V$5:$V$3004,"&lt;&gt;",$V$5:$V$3004,"&lt;&gt;Excluded")&gt;0,"LEAK RISK","OK"))</f>
        <v/>
      </c>
      <c r="Z1052" s="30" t="n"/>
    </row>
    <row r="1053">
      <c r="A1053" s="30" t="n"/>
      <c r="B1053" s="30" t="n"/>
      <c r="C1053" s="30" t="n"/>
      <c r="D1053" s="30" t="n"/>
      <c r="E1053" s="30" t="n"/>
      <c r="F1053" s="30" t="n"/>
      <c r="G1053" s="30" t="n"/>
      <c r="H1053" s="30" t="n"/>
      <c r="I1053" s="31" t="n"/>
      <c r="J1053" s="30" t="n"/>
      <c r="K1053" s="30" t="n"/>
      <c r="L1053" s="30" t="n"/>
      <c r="M1053" s="30" t="n"/>
      <c r="N1053" s="32" t="n"/>
      <c r="O1053" s="30" t="n"/>
      <c r="P1053" s="32" t="n"/>
      <c r="Q1053" s="30" t="n"/>
      <c r="R1053" s="32" t="n"/>
      <c r="S1053" s="30" t="n"/>
      <c r="T1053" s="30" t="n"/>
      <c r="U1053" s="30" t="n"/>
      <c r="V1053" s="30" t="n"/>
      <c r="W1053" s="29">
        <f>IF(H1053="","",IF(H1053="Kenya","Yes","No"))</f>
        <v/>
      </c>
      <c r="X1053" s="29">
        <f>IF(B1053="","",IF(COUNTIF($B$5:$B$3004,B1053)&gt;1,"DUPLICATE","OK"))</f>
        <v/>
      </c>
      <c r="Y1053" s="29">
        <f>IF(OR(U1053="",V1053="",V1053="Excluded"),"",IF(COUNTIFS($U$5:$U$3004,U1053,$V$5:$V$3004,"&lt;&gt;"&amp;V1053,$V$5:$V$3004,"&lt;&gt;",$V$5:$V$3004,"&lt;&gt;Excluded")&gt;0,"LEAK RISK","OK"))</f>
        <v/>
      </c>
      <c r="Z1053" s="30" t="n"/>
    </row>
    <row r="1054">
      <c r="A1054" s="30" t="n"/>
      <c r="B1054" s="30" t="n"/>
      <c r="C1054" s="30" t="n"/>
      <c r="D1054" s="30" t="n"/>
      <c r="E1054" s="30" t="n"/>
      <c r="F1054" s="30" t="n"/>
      <c r="G1054" s="30" t="n"/>
      <c r="H1054" s="30" t="n"/>
      <c r="I1054" s="31" t="n"/>
      <c r="J1054" s="30" t="n"/>
      <c r="K1054" s="30" t="n"/>
      <c r="L1054" s="30" t="n"/>
      <c r="M1054" s="30" t="n"/>
      <c r="N1054" s="32" t="n"/>
      <c r="O1054" s="30" t="n"/>
      <c r="P1054" s="32" t="n"/>
      <c r="Q1054" s="30" t="n"/>
      <c r="R1054" s="32" t="n"/>
      <c r="S1054" s="30" t="n"/>
      <c r="T1054" s="30" t="n"/>
      <c r="U1054" s="30" t="n"/>
      <c r="V1054" s="30" t="n"/>
      <c r="W1054" s="29">
        <f>IF(H1054="","",IF(H1054="Kenya","Yes","No"))</f>
        <v/>
      </c>
      <c r="X1054" s="29">
        <f>IF(B1054="","",IF(COUNTIF($B$5:$B$3004,B1054)&gt;1,"DUPLICATE","OK"))</f>
        <v/>
      </c>
      <c r="Y1054" s="29">
        <f>IF(OR(U1054="",V1054="",V1054="Excluded"),"",IF(COUNTIFS($U$5:$U$3004,U1054,$V$5:$V$3004,"&lt;&gt;"&amp;V1054,$V$5:$V$3004,"&lt;&gt;",$V$5:$V$3004,"&lt;&gt;Excluded")&gt;0,"LEAK RISK","OK"))</f>
        <v/>
      </c>
      <c r="Z1054" s="30" t="n"/>
    </row>
    <row r="1055">
      <c r="A1055" s="30" t="n"/>
      <c r="B1055" s="30" t="n"/>
      <c r="C1055" s="30" t="n"/>
      <c r="D1055" s="30" t="n"/>
      <c r="E1055" s="30" t="n"/>
      <c r="F1055" s="30" t="n"/>
      <c r="G1055" s="30" t="n"/>
      <c r="H1055" s="30" t="n"/>
      <c r="I1055" s="31" t="n"/>
      <c r="J1055" s="30" t="n"/>
      <c r="K1055" s="30" t="n"/>
      <c r="L1055" s="30" t="n"/>
      <c r="M1055" s="30" t="n"/>
      <c r="N1055" s="32" t="n"/>
      <c r="O1055" s="30" t="n"/>
      <c r="P1055" s="32" t="n"/>
      <c r="Q1055" s="30" t="n"/>
      <c r="R1055" s="32" t="n"/>
      <c r="S1055" s="30" t="n"/>
      <c r="T1055" s="30" t="n"/>
      <c r="U1055" s="30" t="n"/>
      <c r="V1055" s="30" t="n"/>
      <c r="W1055" s="29">
        <f>IF(H1055="","",IF(H1055="Kenya","Yes","No"))</f>
        <v/>
      </c>
      <c r="X1055" s="29">
        <f>IF(B1055="","",IF(COUNTIF($B$5:$B$3004,B1055)&gt;1,"DUPLICATE","OK"))</f>
        <v/>
      </c>
      <c r="Y1055" s="29">
        <f>IF(OR(U1055="",V1055="",V1055="Excluded"),"",IF(COUNTIFS($U$5:$U$3004,U1055,$V$5:$V$3004,"&lt;&gt;"&amp;V1055,$V$5:$V$3004,"&lt;&gt;",$V$5:$V$3004,"&lt;&gt;Excluded")&gt;0,"LEAK RISK","OK"))</f>
        <v/>
      </c>
      <c r="Z1055" s="30" t="n"/>
    </row>
    <row r="1056">
      <c r="A1056" s="30" t="n"/>
      <c r="B1056" s="30" t="n"/>
      <c r="C1056" s="30" t="n"/>
      <c r="D1056" s="30" t="n"/>
      <c r="E1056" s="30" t="n"/>
      <c r="F1056" s="30" t="n"/>
      <c r="G1056" s="30" t="n"/>
      <c r="H1056" s="30" t="n"/>
      <c r="I1056" s="31" t="n"/>
      <c r="J1056" s="30" t="n"/>
      <c r="K1056" s="30" t="n"/>
      <c r="L1056" s="30" t="n"/>
      <c r="M1056" s="30" t="n"/>
      <c r="N1056" s="32" t="n"/>
      <c r="O1056" s="30" t="n"/>
      <c r="P1056" s="32" t="n"/>
      <c r="Q1056" s="30" t="n"/>
      <c r="R1056" s="32" t="n"/>
      <c r="S1056" s="30" t="n"/>
      <c r="T1056" s="30" t="n"/>
      <c r="U1056" s="30" t="n"/>
      <c r="V1056" s="30" t="n"/>
      <c r="W1056" s="29">
        <f>IF(H1056="","",IF(H1056="Kenya","Yes","No"))</f>
        <v/>
      </c>
      <c r="X1056" s="29">
        <f>IF(B1056="","",IF(COUNTIF($B$5:$B$3004,B1056)&gt;1,"DUPLICATE","OK"))</f>
        <v/>
      </c>
      <c r="Y1056" s="29">
        <f>IF(OR(U1056="",V1056="",V1056="Excluded"),"",IF(COUNTIFS($U$5:$U$3004,U1056,$V$5:$V$3004,"&lt;&gt;"&amp;V1056,$V$5:$V$3004,"&lt;&gt;",$V$5:$V$3004,"&lt;&gt;Excluded")&gt;0,"LEAK RISK","OK"))</f>
        <v/>
      </c>
      <c r="Z1056" s="30" t="n"/>
    </row>
    <row r="1057">
      <c r="A1057" s="30" t="n"/>
      <c r="B1057" s="30" t="n"/>
      <c r="C1057" s="30" t="n"/>
      <c r="D1057" s="30" t="n"/>
      <c r="E1057" s="30" t="n"/>
      <c r="F1057" s="30" t="n"/>
      <c r="G1057" s="30" t="n"/>
      <c r="H1057" s="30" t="n"/>
      <c r="I1057" s="31" t="n"/>
      <c r="J1057" s="30" t="n"/>
      <c r="K1057" s="30" t="n"/>
      <c r="L1057" s="30" t="n"/>
      <c r="M1057" s="30" t="n"/>
      <c r="N1057" s="32" t="n"/>
      <c r="O1057" s="30" t="n"/>
      <c r="P1057" s="32" t="n"/>
      <c r="Q1057" s="30" t="n"/>
      <c r="R1057" s="32" t="n"/>
      <c r="S1057" s="30" t="n"/>
      <c r="T1057" s="30" t="n"/>
      <c r="U1057" s="30" t="n"/>
      <c r="V1057" s="30" t="n"/>
      <c r="W1057" s="29">
        <f>IF(H1057="","",IF(H1057="Kenya","Yes","No"))</f>
        <v/>
      </c>
      <c r="X1057" s="29">
        <f>IF(B1057="","",IF(COUNTIF($B$5:$B$3004,B1057)&gt;1,"DUPLICATE","OK"))</f>
        <v/>
      </c>
      <c r="Y1057" s="29">
        <f>IF(OR(U1057="",V1057="",V1057="Excluded"),"",IF(COUNTIFS($U$5:$U$3004,U1057,$V$5:$V$3004,"&lt;&gt;"&amp;V1057,$V$5:$V$3004,"&lt;&gt;",$V$5:$V$3004,"&lt;&gt;Excluded")&gt;0,"LEAK RISK","OK"))</f>
        <v/>
      </c>
      <c r="Z1057" s="30" t="n"/>
    </row>
    <row r="1058">
      <c r="A1058" s="30" t="n"/>
      <c r="B1058" s="30" t="n"/>
      <c r="C1058" s="30" t="n"/>
      <c r="D1058" s="30" t="n"/>
      <c r="E1058" s="30" t="n"/>
      <c r="F1058" s="30" t="n"/>
      <c r="G1058" s="30" t="n"/>
      <c r="H1058" s="30" t="n"/>
      <c r="I1058" s="31" t="n"/>
      <c r="J1058" s="30" t="n"/>
      <c r="K1058" s="30" t="n"/>
      <c r="L1058" s="30" t="n"/>
      <c r="M1058" s="30" t="n"/>
      <c r="N1058" s="32" t="n"/>
      <c r="O1058" s="30" t="n"/>
      <c r="P1058" s="32" t="n"/>
      <c r="Q1058" s="30" t="n"/>
      <c r="R1058" s="32" t="n"/>
      <c r="S1058" s="30" t="n"/>
      <c r="T1058" s="30" t="n"/>
      <c r="U1058" s="30" t="n"/>
      <c r="V1058" s="30" t="n"/>
      <c r="W1058" s="29">
        <f>IF(H1058="","",IF(H1058="Kenya","Yes","No"))</f>
        <v/>
      </c>
      <c r="X1058" s="29">
        <f>IF(B1058="","",IF(COUNTIF($B$5:$B$3004,B1058)&gt;1,"DUPLICATE","OK"))</f>
        <v/>
      </c>
      <c r="Y1058" s="29">
        <f>IF(OR(U1058="",V1058="",V1058="Excluded"),"",IF(COUNTIFS($U$5:$U$3004,U1058,$V$5:$V$3004,"&lt;&gt;"&amp;V1058,$V$5:$V$3004,"&lt;&gt;",$V$5:$V$3004,"&lt;&gt;Excluded")&gt;0,"LEAK RISK","OK"))</f>
        <v/>
      </c>
      <c r="Z1058" s="30" t="n"/>
    </row>
    <row r="1059">
      <c r="A1059" s="30" t="n"/>
      <c r="B1059" s="30" t="n"/>
      <c r="C1059" s="30" t="n"/>
      <c r="D1059" s="30" t="n"/>
      <c r="E1059" s="30" t="n"/>
      <c r="F1059" s="30" t="n"/>
      <c r="G1059" s="30" t="n"/>
      <c r="H1059" s="30" t="n"/>
      <c r="I1059" s="31" t="n"/>
      <c r="J1059" s="30" t="n"/>
      <c r="K1059" s="30" t="n"/>
      <c r="L1059" s="30" t="n"/>
      <c r="M1059" s="30" t="n"/>
      <c r="N1059" s="32" t="n"/>
      <c r="O1059" s="30" t="n"/>
      <c r="P1059" s="32" t="n"/>
      <c r="Q1059" s="30" t="n"/>
      <c r="R1059" s="32" t="n"/>
      <c r="S1059" s="30" t="n"/>
      <c r="T1059" s="30" t="n"/>
      <c r="U1059" s="30" t="n"/>
      <c r="V1059" s="30" t="n"/>
      <c r="W1059" s="29">
        <f>IF(H1059="","",IF(H1059="Kenya","Yes","No"))</f>
        <v/>
      </c>
      <c r="X1059" s="29">
        <f>IF(B1059="","",IF(COUNTIF($B$5:$B$3004,B1059)&gt;1,"DUPLICATE","OK"))</f>
        <v/>
      </c>
      <c r="Y1059" s="29">
        <f>IF(OR(U1059="",V1059="",V1059="Excluded"),"",IF(COUNTIFS($U$5:$U$3004,U1059,$V$5:$V$3004,"&lt;&gt;"&amp;V1059,$V$5:$V$3004,"&lt;&gt;",$V$5:$V$3004,"&lt;&gt;Excluded")&gt;0,"LEAK RISK","OK"))</f>
        <v/>
      </c>
      <c r="Z1059" s="30" t="n"/>
    </row>
    <row r="1060">
      <c r="A1060" s="30" t="n"/>
      <c r="B1060" s="30" t="n"/>
      <c r="C1060" s="30" t="n"/>
      <c r="D1060" s="30" t="n"/>
      <c r="E1060" s="30" t="n"/>
      <c r="F1060" s="30" t="n"/>
      <c r="G1060" s="30" t="n"/>
      <c r="H1060" s="30" t="n"/>
      <c r="I1060" s="31" t="n"/>
      <c r="J1060" s="30" t="n"/>
      <c r="K1060" s="30" t="n"/>
      <c r="L1060" s="30" t="n"/>
      <c r="M1060" s="30" t="n"/>
      <c r="N1060" s="32" t="n"/>
      <c r="O1060" s="30" t="n"/>
      <c r="P1060" s="32" t="n"/>
      <c r="Q1060" s="30" t="n"/>
      <c r="R1060" s="32" t="n"/>
      <c r="S1060" s="30" t="n"/>
      <c r="T1060" s="30" t="n"/>
      <c r="U1060" s="30" t="n"/>
      <c r="V1060" s="30" t="n"/>
      <c r="W1060" s="29">
        <f>IF(H1060="","",IF(H1060="Kenya","Yes","No"))</f>
        <v/>
      </c>
      <c r="X1060" s="29">
        <f>IF(B1060="","",IF(COUNTIF($B$5:$B$3004,B1060)&gt;1,"DUPLICATE","OK"))</f>
        <v/>
      </c>
      <c r="Y1060" s="29">
        <f>IF(OR(U1060="",V1060="",V1060="Excluded"),"",IF(COUNTIFS($U$5:$U$3004,U1060,$V$5:$V$3004,"&lt;&gt;"&amp;V1060,$V$5:$V$3004,"&lt;&gt;",$V$5:$V$3004,"&lt;&gt;Excluded")&gt;0,"LEAK RISK","OK"))</f>
        <v/>
      </c>
      <c r="Z1060" s="30" t="n"/>
    </row>
    <row r="1061">
      <c r="A1061" s="30" t="n"/>
      <c r="B1061" s="30" t="n"/>
      <c r="C1061" s="30" t="n"/>
      <c r="D1061" s="30" t="n"/>
      <c r="E1061" s="30" t="n"/>
      <c r="F1061" s="30" t="n"/>
      <c r="G1061" s="30" t="n"/>
      <c r="H1061" s="30" t="n"/>
      <c r="I1061" s="31" t="n"/>
      <c r="J1061" s="30" t="n"/>
      <c r="K1061" s="30" t="n"/>
      <c r="L1061" s="30" t="n"/>
      <c r="M1061" s="30" t="n"/>
      <c r="N1061" s="32" t="n"/>
      <c r="O1061" s="30" t="n"/>
      <c r="P1061" s="32" t="n"/>
      <c r="Q1061" s="30" t="n"/>
      <c r="R1061" s="32" t="n"/>
      <c r="S1061" s="30" t="n"/>
      <c r="T1061" s="30" t="n"/>
      <c r="U1061" s="30" t="n"/>
      <c r="V1061" s="30" t="n"/>
      <c r="W1061" s="29">
        <f>IF(H1061="","",IF(H1061="Kenya","Yes","No"))</f>
        <v/>
      </c>
      <c r="X1061" s="29">
        <f>IF(B1061="","",IF(COUNTIF($B$5:$B$3004,B1061)&gt;1,"DUPLICATE","OK"))</f>
        <v/>
      </c>
      <c r="Y1061" s="29">
        <f>IF(OR(U1061="",V1061="",V1061="Excluded"),"",IF(COUNTIFS($U$5:$U$3004,U1061,$V$5:$V$3004,"&lt;&gt;"&amp;V1061,$V$5:$V$3004,"&lt;&gt;",$V$5:$V$3004,"&lt;&gt;Excluded")&gt;0,"LEAK RISK","OK"))</f>
        <v/>
      </c>
      <c r="Z1061" s="30" t="n"/>
    </row>
    <row r="1062">
      <c r="A1062" s="30" t="n"/>
      <c r="B1062" s="30" t="n"/>
      <c r="C1062" s="30" t="n"/>
      <c r="D1062" s="30" t="n"/>
      <c r="E1062" s="30" t="n"/>
      <c r="F1062" s="30" t="n"/>
      <c r="G1062" s="30" t="n"/>
      <c r="H1062" s="30" t="n"/>
      <c r="I1062" s="31" t="n"/>
      <c r="J1062" s="30" t="n"/>
      <c r="K1062" s="30" t="n"/>
      <c r="L1062" s="30" t="n"/>
      <c r="M1062" s="30" t="n"/>
      <c r="N1062" s="32" t="n"/>
      <c r="O1062" s="30" t="n"/>
      <c r="P1062" s="32" t="n"/>
      <c r="Q1062" s="30" t="n"/>
      <c r="R1062" s="32" t="n"/>
      <c r="S1062" s="30" t="n"/>
      <c r="T1062" s="30" t="n"/>
      <c r="U1062" s="30" t="n"/>
      <c r="V1062" s="30" t="n"/>
      <c r="W1062" s="29">
        <f>IF(H1062="","",IF(H1062="Kenya","Yes","No"))</f>
        <v/>
      </c>
      <c r="X1062" s="29">
        <f>IF(B1062="","",IF(COUNTIF($B$5:$B$3004,B1062)&gt;1,"DUPLICATE","OK"))</f>
        <v/>
      </c>
      <c r="Y1062" s="29">
        <f>IF(OR(U1062="",V1062="",V1062="Excluded"),"",IF(COUNTIFS($U$5:$U$3004,U1062,$V$5:$V$3004,"&lt;&gt;"&amp;V1062,$V$5:$V$3004,"&lt;&gt;",$V$5:$V$3004,"&lt;&gt;Excluded")&gt;0,"LEAK RISK","OK"))</f>
        <v/>
      </c>
      <c r="Z1062" s="30" t="n"/>
    </row>
    <row r="1063">
      <c r="A1063" s="30" t="n"/>
      <c r="B1063" s="30" t="n"/>
      <c r="C1063" s="30" t="n"/>
      <c r="D1063" s="30" t="n"/>
      <c r="E1063" s="30" t="n"/>
      <c r="F1063" s="30" t="n"/>
      <c r="G1063" s="30" t="n"/>
      <c r="H1063" s="30" t="n"/>
      <c r="I1063" s="31" t="n"/>
      <c r="J1063" s="30" t="n"/>
      <c r="K1063" s="30" t="n"/>
      <c r="L1063" s="30" t="n"/>
      <c r="M1063" s="30" t="n"/>
      <c r="N1063" s="32" t="n"/>
      <c r="O1063" s="30" t="n"/>
      <c r="P1063" s="32" t="n"/>
      <c r="Q1063" s="30" t="n"/>
      <c r="R1063" s="32" t="n"/>
      <c r="S1063" s="30" t="n"/>
      <c r="T1063" s="30" t="n"/>
      <c r="U1063" s="30" t="n"/>
      <c r="V1063" s="30" t="n"/>
      <c r="W1063" s="29">
        <f>IF(H1063="","",IF(H1063="Kenya","Yes","No"))</f>
        <v/>
      </c>
      <c r="X1063" s="29">
        <f>IF(B1063="","",IF(COUNTIF($B$5:$B$3004,B1063)&gt;1,"DUPLICATE","OK"))</f>
        <v/>
      </c>
      <c r="Y1063" s="29">
        <f>IF(OR(U1063="",V1063="",V1063="Excluded"),"",IF(COUNTIFS($U$5:$U$3004,U1063,$V$5:$V$3004,"&lt;&gt;"&amp;V1063,$V$5:$V$3004,"&lt;&gt;",$V$5:$V$3004,"&lt;&gt;Excluded")&gt;0,"LEAK RISK","OK"))</f>
        <v/>
      </c>
      <c r="Z1063" s="30" t="n"/>
    </row>
    <row r="1064">
      <c r="A1064" s="30" t="n"/>
      <c r="B1064" s="30" t="n"/>
      <c r="C1064" s="30" t="n"/>
      <c r="D1064" s="30" t="n"/>
      <c r="E1064" s="30" t="n"/>
      <c r="F1064" s="30" t="n"/>
      <c r="G1064" s="30" t="n"/>
      <c r="H1064" s="30" t="n"/>
      <c r="I1064" s="31" t="n"/>
      <c r="J1064" s="30" t="n"/>
      <c r="K1064" s="30" t="n"/>
      <c r="L1064" s="30" t="n"/>
      <c r="M1064" s="30" t="n"/>
      <c r="N1064" s="32" t="n"/>
      <c r="O1064" s="30" t="n"/>
      <c r="P1064" s="32" t="n"/>
      <c r="Q1064" s="30" t="n"/>
      <c r="R1064" s="32" t="n"/>
      <c r="S1064" s="30" t="n"/>
      <c r="T1064" s="30" t="n"/>
      <c r="U1064" s="30" t="n"/>
      <c r="V1064" s="30" t="n"/>
      <c r="W1064" s="29">
        <f>IF(H1064="","",IF(H1064="Kenya","Yes","No"))</f>
        <v/>
      </c>
      <c r="X1064" s="29">
        <f>IF(B1064="","",IF(COUNTIF($B$5:$B$3004,B1064)&gt;1,"DUPLICATE","OK"))</f>
        <v/>
      </c>
      <c r="Y1064" s="29">
        <f>IF(OR(U1064="",V1064="",V1064="Excluded"),"",IF(COUNTIFS($U$5:$U$3004,U1064,$V$5:$V$3004,"&lt;&gt;"&amp;V1064,$V$5:$V$3004,"&lt;&gt;",$V$5:$V$3004,"&lt;&gt;Excluded")&gt;0,"LEAK RISK","OK"))</f>
        <v/>
      </c>
      <c r="Z1064" s="30" t="n"/>
    </row>
    <row r="1065">
      <c r="A1065" s="30" t="n"/>
      <c r="B1065" s="30" t="n"/>
      <c r="C1065" s="30" t="n"/>
      <c r="D1065" s="30" t="n"/>
      <c r="E1065" s="30" t="n"/>
      <c r="F1065" s="30" t="n"/>
      <c r="G1065" s="30" t="n"/>
      <c r="H1065" s="30" t="n"/>
      <c r="I1065" s="31" t="n"/>
      <c r="J1065" s="30" t="n"/>
      <c r="K1065" s="30" t="n"/>
      <c r="L1065" s="30" t="n"/>
      <c r="M1065" s="30" t="n"/>
      <c r="N1065" s="32" t="n"/>
      <c r="O1065" s="30" t="n"/>
      <c r="P1065" s="32" t="n"/>
      <c r="Q1065" s="30" t="n"/>
      <c r="R1065" s="32" t="n"/>
      <c r="S1065" s="30" t="n"/>
      <c r="T1065" s="30" t="n"/>
      <c r="U1065" s="30" t="n"/>
      <c r="V1065" s="30" t="n"/>
      <c r="W1065" s="29">
        <f>IF(H1065="","",IF(H1065="Kenya","Yes","No"))</f>
        <v/>
      </c>
      <c r="X1065" s="29">
        <f>IF(B1065="","",IF(COUNTIF($B$5:$B$3004,B1065)&gt;1,"DUPLICATE","OK"))</f>
        <v/>
      </c>
      <c r="Y1065" s="29">
        <f>IF(OR(U1065="",V1065="",V1065="Excluded"),"",IF(COUNTIFS($U$5:$U$3004,U1065,$V$5:$V$3004,"&lt;&gt;"&amp;V1065,$V$5:$V$3004,"&lt;&gt;",$V$5:$V$3004,"&lt;&gt;Excluded")&gt;0,"LEAK RISK","OK"))</f>
        <v/>
      </c>
      <c r="Z1065" s="30" t="n"/>
    </row>
    <row r="1066">
      <c r="A1066" s="30" t="n"/>
      <c r="B1066" s="30" t="n"/>
      <c r="C1066" s="30" t="n"/>
      <c r="D1066" s="30" t="n"/>
      <c r="E1066" s="30" t="n"/>
      <c r="F1066" s="30" t="n"/>
      <c r="G1066" s="30" t="n"/>
      <c r="H1066" s="30" t="n"/>
      <c r="I1066" s="31" t="n"/>
      <c r="J1066" s="30" t="n"/>
      <c r="K1066" s="30" t="n"/>
      <c r="L1066" s="30" t="n"/>
      <c r="M1066" s="30" t="n"/>
      <c r="N1066" s="32" t="n"/>
      <c r="O1066" s="30" t="n"/>
      <c r="P1066" s="32" t="n"/>
      <c r="Q1066" s="30" t="n"/>
      <c r="R1066" s="32" t="n"/>
      <c r="S1066" s="30" t="n"/>
      <c r="T1066" s="30" t="n"/>
      <c r="U1066" s="30" t="n"/>
      <c r="V1066" s="30" t="n"/>
      <c r="W1066" s="29">
        <f>IF(H1066="","",IF(H1066="Kenya","Yes","No"))</f>
        <v/>
      </c>
      <c r="X1066" s="29">
        <f>IF(B1066="","",IF(COUNTIF($B$5:$B$3004,B1066)&gt;1,"DUPLICATE","OK"))</f>
        <v/>
      </c>
      <c r="Y1066" s="29">
        <f>IF(OR(U1066="",V1066="",V1066="Excluded"),"",IF(COUNTIFS($U$5:$U$3004,U1066,$V$5:$V$3004,"&lt;&gt;"&amp;V1066,$V$5:$V$3004,"&lt;&gt;",$V$5:$V$3004,"&lt;&gt;Excluded")&gt;0,"LEAK RISK","OK"))</f>
        <v/>
      </c>
      <c r="Z1066" s="30" t="n"/>
    </row>
    <row r="1067">
      <c r="A1067" s="30" t="n"/>
      <c r="B1067" s="30" t="n"/>
      <c r="C1067" s="30" t="n"/>
      <c r="D1067" s="30" t="n"/>
      <c r="E1067" s="30" t="n"/>
      <c r="F1067" s="30" t="n"/>
      <c r="G1067" s="30" t="n"/>
      <c r="H1067" s="30" t="n"/>
      <c r="I1067" s="31" t="n"/>
      <c r="J1067" s="30" t="n"/>
      <c r="K1067" s="30" t="n"/>
      <c r="L1067" s="30" t="n"/>
      <c r="M1067" s="30" t="n"/>
      <c r="N1067" s="32" t="n"/>
      <c r="O1067" s="30" t="n"/>
      <c r="P1067" s="32" t="n"/>
      <c r="Q1067" s="30" t="n"/>
      <c r="R1067" s="32" t="n"/>
      <c r="S1067" s="30" t="n"/>
      <c r="T1067" s="30" t="n"/>
      <c r="U1067" s="30" t="n"/>
      <c r="V1067" s="30" t="n"/>
      <c r="W1067" s="29">
        <f>IF(H1067="","",IF(H1067="Kenya","Yes","No"))</f>
        <v/>
      </c>
      <c r="X1067" s="29">
        <f>IF(B1067="","",IF(COUNTIF($B$5:$B$3004,B1067)&gt;1,"DUPLICATE","OK"))</f>
        <v/>
      </c>
      <c r="Y1067" s="29">
        <f>IF(OR(U1067="",V1067="",V1067="Excluded"),"",IF(COUNTIFS($U$5:$U$3004,U1067,$V$5:$V$3004,"&lt;&gt;"&amp;V1067,$V$5:$V$3004,"&lt;&gt;",$V$5:$V$3004,"&lt;&gt;Excluded")&gt;0,"LEAK RISK","OK"))</f>
        <v/>
      </c>
      <c r="Z1067" s="30" t="n"/>
    </row>
    <row r="1068">
      <c r="A1068" s="30" t="n"/>
      <c r="B1068" s="30" t="n"/>
      <c r="C1068" s="30" t="n"/>
      <c r="D1068" s="30" t="n"/>
      <c r="E1068" s="30" t="n"/>
      <c r="F1068" s="30" t="n"/>
      <c r="G1068" s="30" t="n"/>
      <c r="H1068" s="30" t="n"/>
      <c r="I1068" s="31" t="n"/>
      <c r="J1068" s="30" t="n"/>
      <c r="K1068" s="30" t="n"/>
      <c r="L1068" s="30" t="n"/>
      <c r="M1068" s="30" t="n"/>
      <c r="N1068" s="32" t="n"/>
      <c r="O1068" s="30" t="n"/>
      <c r="P1068" s="32" t="n"/>
      <c r="Q1068" s="30" t="n"/>
      <c r="R1068" s="32" t="n"/>
      <c r="S1068" s="30" t="n"/>
      <c r="T1068" s="30" t="n"/>
      <c r="U1068" s="30" t="n"/>
      <c r="V1068" s="30" t="n"/>
      <c r="W1068" s="29">
        <f>IF(H1068="","",IF(H1068="Kenya","Yes","No"))</f>
        <v/>
      </c>
      <c r="X1068" s="29">
        <f>IF(B1068="","",IF(COUNTIF($B$5:$B$3004,B1068)&gt;1,"DUPLICATE","OK"))</f>
        <v/>
      </c>
      <c r="Y1068" s="29">
        <f>IF(OR(U1068="",V1068="",V1068="Excluded"),"",IF(COUNTIFS($U$5:$U$3004,U1068,$V$5:$V$3004,"&lt;&gt;"&amp;V1068,$V$5:$V$3004,"&lt;&gt;",$V$5:$V$3004,"&lt;&gt;Excluded")&gt;0,"LEAK RISK","OK"))</f>
        <v/>
      </c>
      <c r="Z1068" s="30" t="n"/>
    </row>
    <row r="1069">
      <c r="A1069" s="30" t="n"/>
      <c r="B1069" s="30" t="n"/>
      <c r="C1069" s="30" t="n"/>
      <c r="D1069" s="30" t="n"/>
      <c r="E1069" s="30" t="n"/>
      <c r="F1069" s="30" t="n"/>
      <c r="G1069" s="30" t="n"/>
      <c r="H1069" s="30" t="n"/>
      <c r="I1069" s="31" t="n"/>
      <c r="J1069" s="30" t="n"/>
      <c r="K1069" s="30" t="n"/>
      <c r="L1069" s="30" t="n"/>
      <c r="M1069" s="30" t="n"/>
      <c r="N1069" s="32" t="n"/>
      <c r="O1069" s="30" t="n"/>
      <c r="P1069" s="32" t="n"/>
      <c r="Q1069" s="30" t="n"/>
      <c r="R1069" s="32" t="n"/>
      <c r="S1069" s="30" t="n"/>
      <c r="T1069" s="30" t="n"/>
      <c r="U1069" s="30" t="n"/>
      <c r="V1069" s="30" t="n"/>
      <c r="W1069" s="29">
        <f>IF(H1069="","",IF(H1069="Kenya","Yes","No"))</f>
        <v/>
      </c>
      <c r="X1069" s="29">
        <f>IF(B1069="","",IF(COUNTIF($B$5:$B$3004,B1069)&gt;1,"DUPLICATE","OK"))</f>
        <v/>
      </c>
      <c r="Y1069" s="29">
        <f>IF(OR(U1069="",V1069="",V1069="Excluded"),"",IF(COUNTIFS($U$5:$U$3004,U1069,$V$5:$V$3004,"&lt;&gt;"&amp;V1069,$V$5:$V$3004,"&lt;&gt;",$V$5:$V$3004,"&lt;&gt;Excluded")&gt;0,"LEAK RISK","OK"))</f>
        <v/>
      </c>
      <c r="Z1069" s="30" t="n"/>
    </row>
    <row r="1070">
      <c r="A1070" s="30" t="n"/>
      <c r="B1070" s="30" t="n"/>
      <c r="C1070" s="30" t="n"/>
      <c r="D1070" s="30" t="n"/>
      <c r="E1070" s="30" t="n"/>
      <c r="F1070" s="30" t="n"/>
      <c r="G1070" s="30" t="n"/>
      <c r="H1070" s="30" t="n"/>
      <c r="I1070" s="31" t="n"/>
      <c r="J1070" s="30" t="n"/>
      <c r="K1070" s="30" t="n"/>
      <c r="L1070" s="30" t="n"/>
      <c r="M1070" s="30" t="n"/>
      <c r="N1070" s="32" t="n"/>
      <c r="O1070" s="30" t="n"/>
      <c r="P1070" s="32" t="n"/>
      <c r="Q1070" s="30" t="n"/>
      <c r="R1070" s="32" t="n"/>
      <c r="S1070" s="30" t="n"/>
      <c r="T1070" s="30" t="n"/>
      <c r="U1070" s="30" t="n"/>
      <c r="V1070" s="30" t="n"/>
      <c r="W1070" s="29">
        <f>IF(H1070="","",IF(H1070="Kenya","Yes","No"))</f>
        <v/>
      </c>
      <c r="X1070" s="29">
        <f>IF(B1070="","",IF(COUNTIF($B$5:$B$3004,B1070)&gt;1,"DUPLICATE","OK"))</f>
        <v/>
      </c>
      <c r="Y1070" s="29">
        <f>IF(OR(U1070="",V1070="",V1070="Excluded"),"",IF(COUNTIFS($U$5:$U$3004,U1070,$V$5:$V$3004,"&lt;&gt;"&amp;V1070,$V$5:$V$3004,"&lt;&gt;",$V$5:$V$3004,"&lt;&gt;Excluded")&gt;0,"LEAK RISK","OK"))</f>
        <v/>
      </c>
      <c r="Z1070" s="30" t="n"/>
    </row>
    <row r="1071">
      <c r="A1071" s="30" t="n"/>
      <c r="B1071" s="30" t="n"/>
      <c r="C1071" s="30" t="n"/>
      <c r="D1071" s="30" t="n"/>
      <c r="E1071" s="30" t="n"/>
      <c r="F1071" s="30" t="n"/>
      <c r="G1071" s="30" t="n"/>
      <c r="H1071" s="30" t="n"/>
      <c r="I1071" s="31" t="n"/>
      <c r="J1071" s="30" t="n"/>
      <c r="K1071" s="30" t="n"/>
      <c r="L1071" s="30" t="n"/>
      <c r="M1071" s="30" t="n"/>
      <c r="N1071" s="32" t="n"/>
      <c r="O1071" s="30" t="n"/>
      <c r="P1071" s="32" t="n"/>
      <c r="Q1071" s="30" t="n"/>
      <c r="R1071" s="32" t="n"/>
      <c r="S1071" s="30" t="n"/>
      <c r="T1071" s="30" t="n"/>
      <c r="U1071" s="30" t="n"/>
      <c r="V1071" s="30" t="n"/>
      <c r="W1071" s="29">
        <f>IF(H1071="","",IF(H1071="Kenya","Yes","No"))</f>
        <v/>
      </c>
      <c r="X1071" s="29">
        <f>IF(B1071="","",IF(COUNTIF($B$5:$B$3004,B1071)&gt;1,"DUPLICATE","OK"))</f>
        <v/>
      </c>
      <c r="Y1071" s="29">
        <f>IF(OR(U1071="",V1071="",V1071="Excluded"),"",IF(COUNTIFS($U$5:$U$3004,U1071,$V$5:$V$3004,"&lt;&gt;"&amp;V1071,$V$5:$V$3004,"&lt;&gt;",$V$5:$V$3004,"&lt;&gt;Excluded")&gt;0,"LEAK RISK","OK"))</f>
        <v/>
      </c>
      <c r="Z1071" s="30" t="n"/>
    </row>
    <row r="1072">
      <c r="A1072" s="30" t="n"/>
      <c r="B1072" s="30" t="n"/>
      <c r="C1072" s="30" t="n"/>
      <c r="D1072" s="30" t="n"/>
      <c r="E1072" s="30" t="n"/>
      <c r="F1072" s="30" t="n"/>
      <c r="G1072" s="30" t="n"/>
      <c r="H1072" s="30" t="n"/>
      <c r="I1072" s="31" t="n"/>
      <c r="J1072" s="30" t="n"/>
      <c r="K1072" s="30" t="n"/>
      <c r="L1072" s="30" t="n"/>
      <c r="M1072" s="30" t="n"/>
      <c r="N1072" s="32" t="n"/>
      <c r="O1072" s="30" t="n"/>
      <c r="P1072" s="32" t="n"/>
      <c r="Q1072" s="30" t="n"/>
      <c r="R1072" s="32" t="n"/>
      <c r="S1072" s="30" t="n"/>
      <c r="T1072" s="30" t="n"/>
      <c r="U1072" s="30" t="n"/>
      <c r="V1072" s="30" t="n"/>
      <c r="W1072" s="29">
        <f>IF(H1072="","",IF(H1072="Kenya","Yes","No"))</f>
        <v/>
      </c>
      <c r="X1072" s="29">
        <f>IF(B1072="","",IF(COUNTIF($B$5:$B$3004,B1072)&gt;1,"DUPLICATE","OK"))</f>
        <v/>
      </c>
      <c r="Y1072" s="29">
        <f>IF(OR(U1072="",V1072="",V1072="Excluded"),"",IF(COUNTIFS($U$5:$U$3004,U1072,$V$5:$V$3004,"&lt;&gt;"&amp;V1072,$V$5:$V$3004,"&lt;&gt;",$V$5:$V$3004,"&lt;&gt;Excluded")&gt;0,"LEAK RISK","OK"))</f>
        <v/>
      </c>
      <c r="Z1072" s="30" t="n"/>
    </row>
    <row r="1073">
      <c r="A1073" s="30" t="n"/>
      <c r="B1073" s="30" t="n"/>
      <c r="C1073" s="30" t="n"/>
      <c r="D1073" s="30" t="n"/>
      <c r="E1073" s="30" t="n"/>
      <c r="F1073" s="30" t="n"/>
      <c r="G1073" s="30" t="n"/>
      <c r="H1073" s="30" t="n"/>
      <c r="I1073" s="31" t="n"/>
      <c r="J1073" s="30" t="n"/>
      <c r="K1073" s="30" t="n"/>
      <c r="L1073" s="30" t="n"/>
      <c r="M1073" s="30" t="n"/>
      <c r="N1073" s="32" t="n"/>
      <c r="O1073" s="30" t="n"/>
      <c r="P1073" s="32" t="n"/>
      <c r="Q1073" s="30" t="n"/>
      <c r="R1073" s="32" t="n"/>
      <c r="S1073" s="30" t="n"/>
      <c r="T1073" s="30" t="n"/>
      <c r="U1073" s="30" t="n"/>
      <c r="V1073" s="30" t="n"/>
      <c r="W1073" s="29">
        <f>IF(H1073="","",IF(H1073="Kenya","Yes","No"))</f>
        <v/>
      </c>
      <c r="X1073" s="29">
        <f>IF(B1073="","",IF(COUNTIF($B$5:$B$3004,B1073)&gt;1,"DUPLICATE","OK"))</f>
        <v/>
      </c>
      <c r="Y1073" s="29">
        <f>IF(OR(U1073="",V1073="",V1073="Excluded"),"",IF(COUNTIFS($U$5:$U$3004,U1073,$V$5:$V$3004,"&lt;&gt;"&amp;V1073,$V$5:$V$3004,"&lt;&gt;",$V$5:$V$3004,"&lt;&gt;Excluded")&gt;0,"LEAK RISK","OK"))</f>
        <v/>
      </c>
      <c r="Z1073" s="30" t="n"/>
    </row>
    <row r="1074">
      <c r="A1074" s="30" t="n"/>
      <c r="B1074" s="30" t="n"/>
      <c r="C1074" s="30" t="n"/>
      <c r="D1074" s="30" t="n"/>
      <c r="E1074" s="30" t="n"/>
      <c r="F1074" s="30" t="n"/>
      <c r="G1074" s="30" t="n"/>
      <c r="H1074" s="30" t="n"/>
      <c r="I1074" s="31" t="n"/>
      <c r="J1074" s="30" t="n"/>
      <c r="K1074" s="30" t="n"/>
      <c r="L1074" s="30" t="n"/>
      <c r="M1074" s="30" t="n"/>
      <c r="N1074" s="32" t="n"/>
      <c r="O1074" s="30" t="n"/>
      <c r="P1074" s="32" t="n"/>
      <c r="Q1074" s="30" t="n"/>
      <c r="R1074" s="32" t="n"/>
      <c r="S1074" s="30" t="n"/>
      <c r="T1074" s="30" t="n"/>
      <c r="U1074" s="30" t="n"/>
      <c r="V1074" s="30" t="n"/>
      <c r="W1074" s="29">
        <f>IF(H1074="","",IF(H1074="Kenya","Yes","No"))</f>
        <v/>
      </c>
      <c r="X1074" s="29">
        <f>IF(B1074="","",IF(COUNTIF($B$5:$B$3004,B1074)&gt;1,"DUPLICATE","OK"))</f>
        <v/>
      </c>
      <c r="Y1074" s="29">
        <f>IF(OR(U1074="",V1074="",V1074="Excluded"),"",IF(COUNTIFS($U$5:$U$3004,U1074,$V$5:$V$3004,"&lt;&gt;"&amp;V1074,$V$5:$V$3004,"&lt;&gt;",$V$5:$V$3004,"&lt;&gt;Excluded")&gt;0,"LEAK RISK","OK"))</f>
        <v/>
      </c>
      <c r="Z1074" s="30" t="n"/>
    </row>
    <row r="1075">
      <c r="A1075" s="30" t="n"/>
      <c r="B1075" s="30" t="n"/>
      <c r="C1075" s="30" t="n"/>
      <c r="D1075" s="30" t="n"/>
      <c r="E1075" s="30" t="n"/>
      <c r="F1075" s="30" t="n"/>
      <c r="G1075" s="30" t="n"/>
      <c r="H1075" s="30" t="n"/>
      <c r="I1075" s="31" t="n"/>
      <c r="J1075" s="30" t="n"/>
      <c r="K1075" s="30" t="n"/>
      <c r="L1075" s="30" t="n"/>
      <c r="M1075" s="30" t="n"/>
      <c r="N1075" s="32" t="n"/>
      <c r="O1075" s="30" t="n"/>
      <c r="P1075" s="32" t="n"/>
      <c r="Q1075" s="30" t="n"/>
      <c r="R1075" s="32" t="n"/>
      <c r="S1075" s="30" t="n"/>
      <c r="T1075" s="30" t="n"/>
      <c r="U1075" s="30" t="n"/>
      <c r="V1075" s="30" t="n"/>
      <c r="W1075" s="29">
        <f>IF(H1075="","",IF(H1075="Kenya","Yes","No"))</f>
        <v/>
      </c>
      <c r="X1075" s="29">
        <f>IF(B1075="","",IF(COUNTIF($B$5:$B$3004,B1075)&gt;1,"DUPLICATE","OK"))</f>
        <v/>
      </c>
      <c r="Y1075" s="29">
        <f>IF(OR(U1075="",V1075="",V1075="Excluded"),"",IF(COUNTIFS($U$5:$U$3004,U1075,$V$5:$V$3004,"&lt;&gt;"&amp;V1075,$V$5:$V$3004,"&lt;&gt;",$V$5:$V$3004,"&lt;&gt;Excluded")&gt;0,"LEAK RISK","OK"))</f>
        <v/>
      </c>
      <c r="Z1075" s="30" t="n"/>
    </row>
    <row r="1076">
      <c r="A1076" s="30" t="n"/>
      <c r="B1076" s="30" t="n"/>
      <c r="C1076" s="30" t="n"/>
      <c r="D1076" s="30" t="n"/>
      <c r="E1076" s="30" t="n"/>
      <c r="F1076" s="30" t="n"/>
      <c r="G1076" s="30" t="n"/>
      <c r="H1076" s="30" t="n"/>
      <c r="I1076" s="31" t="n"/>
      <c r="J1076" s="30" t="n"/>
      <c r="K1076" s="30" t="n"/>
      <c r="L1076" s="30" t="n"/>
      <c r="M1076" s="30" t="n"/>
      <c r="N1076" s="32" t="n"/>
      <c r="O1076" s="30" t="n"/>
      <c r="P1076" s="32" t="n"/>
      <c r="Q1076" s="30" t="n"/>
      <c r="R1076" s="32" t="n"/>
      <c r="S1076" s="30" t="n"/>
      <c r="T1076" s="30" t="n"/>
      <c r="U1076" s="30" t="n"/>
      <c r="V1076" s="30" t="n"/>
      <c r="W1076" s="29">
        <f>IF(H1076="","",IF(H1076="Kenya","Yes","No"))</f>
        <v/>
      </c>
      <c r="X1076" s="29">
        <f>IF(B1076="","",IF(COUNTIF($B$5:$B$3004,B1076)&gt;1,"DUPLICATE","OK"))</f>
        <v/>
      </c>
      <c r="Y1076" s="29">
        <f>IF(OR(U1076="",V1076="",V1076="Excluded"),"",IF(COUNTIFS($U$5:$U$3004,U1076,$V$5:$V$3004,"&lt;&gt;"&amp;V1076,$V$5:$V$3004,"&lt;&gt;",$V$5:$V$3004,"&lt;&gt;Excluded")&gt;0,"LEAK RISK","OK"))</f>
        <v/>
      </c>
      <c r="Z1076" s="30" t="n"/>
    </row>
    <row r="1077">
      <c r="A1077" s="30" t="n"/>
      <c r="B1077" s="30" t="n"/>
      <c r="C1077" s="30" t="n"/>
      <c r="D1077" s="30" t="n"/>
      <c r="E1077" s="30" t="n"/>
      <c r="F1077" s="30" t="n"/>
      <c r="G1077" s="30" t="n"/>
      <c r="H1077" s="30" t="n"/>
      <c r="I1077" s="31" t="n"/>
      <c r="J1077" s="30" t="n"/>
      <c r="K1077" s="30" t="n"/>
      <c r="L1077" s="30" t="n"/>
      <c r="M1077" s="30" t="n"/>
      <c r="N1077" s="32" t="n"/>
      <c r="O1077" s="30" t="n"/>
      <c r="P1077" s="32" t="n"/>
      <c r="Q1077" s="30" t="n"/>
      <c r="R1077" s="32" t="n"/>
      <c r="S1077" s="30" t="n"/>
      <c r="T1077" s="30" t="n"/>
      <c r="U1077" s="30" t="n"/>
      <c r="V1077" s="30" t="n"/>
      <c r="W1077" s="29">
        <f>IF(H1077="","",IF(H1077="Kenya","Yes","No"))</f>
        <v/>
      </c>
      <c r="X1077" s="29">
        <f>IF(B1077="","",IF(COUNTIF($B$5:$B$3004,B1077)&gt;1,"DUPLICATE","OK"))</f>
        <v/>
      </c>
      <c r="Y1077" s="29">
        <f>IF(OR(U1077="",V1077="",V1077="Excluded"),"",IF(COUNTIFS($U$5:$U$3004,U1077,$V$5:$V$3004,"&lt;&gt;"&amp;V1077,$V$5:$V$3004,"&lt;&gt;",$V$5:$V$3004,"&lt;&gt;Excluded")&gt;0,"LEAK RISK","OK"))</f>
        <v/>
      </c>
      <c r="Z1077" s="30" t="n"/>
    </row>
    <row r="1078">
      <c r="A1078" s="30" t="n"/>
      <c r="B1078" s="30" t="n"/>
      <c r="C1078" s="30" t="n"/>
      <c r="D1078" s="30" t="n"/>
      <c r="E1078" s="30" t="n"/>
      <c r="F1078" s="30" t="n"/>
      <c r="G1078" s="30" t="n"/>
      <c r="H1078" s="30" t="n"/>
      <c r="I1078" s="31" t="n"/>
      <c r="J1078" s="30" t="n"/>
      <c r="K1078" s="30" t="n"/>
      <c r="L1078" s="30" t="n"/>
      <c r="M1078" s="30" t="n"/>
      <c r="N1078" s="32" t="n"/>
      <c r="O1078" s="30" t="n"/>
      <c r="P1078" s="32" t="n"/>
      <c r="Q1078" s="30" t="n"/>
      <c r="R1078" s="32" t="n"/>
      <c r="S1078" s="30" t="n"/>
      <c r="T1078" s="30" t="n"/>
      <c r="U1078" s="30" t="n"/>
      <c r="V1078" s="30" t="n"/>
      <c r="W1078" s="29">
        <f>IF(H1078="","",IF(H1078="Kenya","Yes","No"))</f>
        <v/>
      </c>
      <c r="X1078" s="29">
        <f>IF(B1078="","",IF(COUNTIF($B$5:$B$3004,B1078)&gt;1,"DUPLICATE","OK"))</f>
        <v/>
      </c>
      <c r="Y1078" s="29">
        <f>IF(OR(U1078="",V1078="",V1078="Excluded"),"",IF(COUNTIFS($U$5:$U$3004,U1078,$V$5:$V$3004,"&lt;&gt;"&amp;V1078,$V$5:$V$3004,"&lt;&gt;",$V$5:$V$3004,"&lt;&gt;Excluded")&gt;0,"LEAK RISK","OK"))</f>
        <v/>
      </c>
      <c r="Z1078" s="30" t="n"/>
    </row>
    <row r="1079">
      <c r="A1079" s="30" t="n"/>
      <c r="B1079" s="30" t="n"/>
      <c r="C1079" s="30" t="n"/>
      <c r="D1079" s="30" t="n"/>
      <c r="E1079" s="30" t="n"/>
      <c r="F1079" s="30" t="n"/>
      <c r="G1079" s="30" t="n"/>
      <c r="H1079" s="30" t="n"/>
      <c r="I1079" s="31" t="n"/>
      <c r="J1079" s="30" t="n"/>
      <c r="K1079" s="30" t="n"/>
      <c r="L1079" s="30" t="n"/>
      <c r="M1079" s="30" t="n"/>
      <c r="N1079" s="32" t="n"/>
      <c r="O1079" s="30" t="n"/>
      <c r="P1079" s="32" t="n"/>
      <c r="Q1079" s="30" t="n"/>
      <c r="R1079" s="32" t="n"/>
      <c r="S1079" s="30" t="n"/>
      <c r="T1079" s="30" t="n"/>
      <c r="U1079" s="30" t="n"/>
      <c r="V1079" s="30" t="n"/>
      <c r="W1079" s="29">
        <f>IF(H1079="","",IF(H1079="Kenya","Yes","No"))</f>
        <v/>
      </c>
      <c r="X1079" s="29">
        <f>IF(B1079="","",IF(COUNTIF($B$5:$B$3004,B1079)&gt;1,"DUPLICATE","OK"))</f>
        <v/>
      </c>
      <c r="Y1079" s="29">
        <f>IF(OR(U1079="",V1079="",V1079="Excluded"),"",IF(COUNTIFS($U$5:$U$3004,U1079,$V$5:$V$3004,"&lt;&gt;"&amp;V1079,$V$5:$V$3004,"&lt;&gt;",$V$5:$V$3004,"&lt;&gt;Excluded")&gt;0,"LEAK RISK","OK"))</f>
        <v/>
      </c>
      <c r="Z1079" s="30" t="n"/>
    </row>
    <row r="1080">
      <c r="A1080" s="30" t="n"/>
      <c r="B1080" s="30" t="n"/>
      <c r="C1080" s="30" t="n"/>
      <c r="D1080" s="30" t="n"/>
      <c r="E1080" s="30" t="n"/>
      <c r="F1080" s="30" t="n"/>
      <c r="G1080" s="30" t="n"/>
      <c r="H1080" s="30" t="n"/>
      <c r="I1080" s="31" t="n"/>
      <c r="J1080" s="30" t="n"/>
      <c r="K1080" s="30" t="n"/>
      <c r="L1080" s="30" t="n"/>
      <c r="M1080" s="30" t="n"/>
      <c r="N1080" s="32" t="n"/>
      <c r="O1080" s="30" t="n"/>
      <c r="P1080" s="32" t="n"/>
      <c r="Q1080" s="30" t="n"/>
      <c r="R1080" s="32" t="n"/>
      <c r="S1080" s="30" t="n"/>
      <c r="T1080" s="30" t="n"/>
      <c r="U1080" s="30" t="n"/>
      <c r="V1080" s="30" t="n"/>
      <c r="W1080" s="29">
        <f>IF(H1080="","",IF(H1080="Kenya","Yes","No"))</f>
        <v/>
      </c>
      <c r="X1080" s="29">
        <f>IF(B1080="","",IF(COUNTIF($B$5:$B$3004,B1080)&gt;1,"DUPLICATE","OK"))</f>
        <v/>
      </c>
      <c r="Y1080" s="29">
        <f>IF(OR(U1080="",V1080="",V1080="Excluded"),"",IF(COUNTIFS($U$5:$U$3004,U1080,$V$5:$V$3004,"&lt;&gt;"&amp;V1080,$V$5:$V$3004,"&lt;&gt;",$V$5:$V$3004,"&lt;&gt;Excluded")&gt;0,"LEAK RISK","OK"))</f>
        <v/>
      </c>
      <c r="Z1080" s="30" t="n"/>
    </row>
    <row r="1081">
      <c r="A1081" s="30" t="n"/>
      <c r="B1081" s="30" t="n"/>
      <c r="C1081" s="30" t="n"/>
      <c r="D1081" s="30" t="n"/>
      <c r="E1081" s="30" t="n"/>
      <c r="F1081" s="30" t="n"/>
      <c r="G1081" s="30" t="n"/>
      <c r="H1081" s="30" t="n"/>
      <c r="I1081" s="31" t="n"/>
      <c r="J1081" s="30" t="n"/>
      <c r="K1081" s="30" t="n"/>
      <c r="L1081" s="30" t="n"/>
      <c r="M1081" s="30" t="n"/>
      <c r="N1081" s="32" t="n"/>
      <c r="O1081" s="30" t="n"/>
      <c r="P1081" s="32" t="n"/>
      <c r="Q1081" s="30" t="n"/>
      <c r="R1081" s="32" t="n"/>
      <c r="S1081" s="30" t="n"/>
      <c r="T1081" s="30" t="n"/>
      <c r="U1081" s="30" t="n"/>
      <c r="V1081" s="30" t="n"/>
      <c r="W1081" s="29">
        <f>IF(H1081="","",IF(H1081="Kenya","Yes","No"))</f>
        <v/>
      </c>
      <c r="X1081" s="29">
        <f>IF(B1081="","",IF(COUNTIF($B$5:$B$3004,B1081)&gt;1,"DUPLICATE","OK"))</f>
        <v/>
      </c>
      <c r="Y1081" s="29">
        <f>IF(OR(U1081="",V1081="",V1081="Excluded"),"",IF(COUNTIFS($U$5:$U$3004,U1081,$V$5:$V$3004,"&lt;&gt;"&amp;V1081,$V$5:$V$3004,"&lt;&gt;",$V$5:$V$3004,"&lt;&gt;Excluded")&gt;0,"LEAK RISK","OK"))</f>
        <v/>
      </c>
      <c r="Z1081" s="30" t="n"/>
    </row>
    <row r="1082">
      <c r="A1082" s="30" t="n"/>
      <c r="B1082" s="30" t="n"/>
      <c r="C1082" s="30" t="n"/>
      <c r="D1082" s="30" t="n"/>
      <c r="E1082" s="30" t="n"/>
      <c r="F1082" s="30" t="n"/>
      <c r="G1082" s="30" t="n"/>
      <c r="H1082" s="30" t="n"/>
      <c r="I1082" s="31" t="n"/>
      <c r="J1082" s="30" t="n"/>
      <c r="K1082" s="30" t="n"/>
      <c r="L1082" s="30" t="n"/>
      <c r="M1082" s="30" t="n"/>
      <c r="N1082" s="32" t="n"/>
      <c r="O1082" s="30" t="n"/>
      <c r="P1082" s="32" t="n"/>
      <c r="Q1082" s="30" t="n"/>
      <c r="R1082" s="32" t="n"/>
      <c r="S1082" s="30" t="n"/>
      <c r="T1082" s="30" t="n"/>
      <c r="U1082" s="30" t="n"/>
      <c r="V1082" s="30" t="n"/>
      <c r="W1082" s="29">
        <f>IF(H1082="","",IF(H1082="Kenya","Yes","No"))</f>
        <v/>
      </c>
      <c r="X1082" s="29">
        <f>IF(B1082="","",IF(COUNTIF($B$5:$B$3004,B1082)&gt;1,"DUPLICATE","OK"))</f>
        <v/>
      </c>
      <c r="Y1082" s="29">
        <f>IF(OR(U1082="",V1082="",V1082="Excluded"),"",IF(COUNTIFS($U$5:$U$3004,U1082,$V$5:$V$3004,"&lt;&gt;"&amp;V1082,$V$5:$V$3004,"&lt;&gt;",$V$5:$V$3004,"&lt;&gt;Excluded")&gt;0,"LEAK RISK","OK"))</f>
        <v/>
      </c>
      <c r="Z1082" s="30" t="n"/>
    </row>
    <row r="1083">
      <c r="A1083" s="30" t="n"/>
      <c r="B1083" s="30" t="n"/>
      <c r="C1083" s="30" t="n"/>
      <c r="D1083" s="30" t="n"/>
      <c r="E1083" s="30" t="n"/>
      <c r="F1083" s="30" t="n"/>
      <c r="G1083" s="30" t="n"/>
      <c r="H1083" s="30" t="n"/>
      <c r="I1083" s="31" t="n"/>
      <c r="J1083" s="30" t="n"/>
      <c r="K1083" s="30" t="n"/>
      <c r="L1083" s="30" t="n"/>
      <c r="M1083" s="30" t="n"/>
      <c r="N1083" s="32" t="n"/>
      <c r="O1083" s="30" t="n"/>
      <c r="P1083" s="32" t="n"/>
      <c r="Q1083" s="30" t="n"/>
      <c r="R1083" s="32" t="n"/>
      <c r="S1083" s="30" t="n"/>
      <c r="T1083" s="30" t="n"/>
      <c r="U1083" s="30" t="n"/>
      <c r="V1083" s="30" t="n"/>
      <c r="W1083" s="29">
        <f>IF(H1083="","",IF(H1083="Kenya","Yes","No"))</f>
        <v/>
      </c>
      <c r="X1083" s="29">
        <f>IF(B1083="","",IF(COUNTIF($B$5:$B$3004,B1083)&gt;1,"DUPLICATE","OK"))</f>
        <v/>
      </c>
      <c r="Y1083" s="29">
        <f>IF(OR(U1083="",V1083="",V1083="Excluded"),"",IF(COUNTIFS($U$5:$U$3004,U1083,$V$5:$V$3004,"&lt;&gt;"&amp;V1083,$V$5:$V$3004,"&lt;&gt;",$V$5:$V$3004,"&lt;&gt;Excluded")&gt;0,"LEAK RISK","OK"))</f>
        <v/>
      </c>
      <c r="Z1083" s="30" t="n"/>
    </row>
    <row r="1084">
      <c r="A1084" s="30" t="n"/>
      <c r="B1084" s="30" t="n"/>
      <c r="C1084" s="30" t="n"/>
      <c r="D1084" s="30" t="n"/>
      <c r="E1084" s="30" t="n"/>
      <c r="F1084" s="30" t="n"/>
      <c r="G1084" s="30" t="n"/>
      <c r="H1084" s="30" t="n"/>
      <c r="I1084" s="31" t="n"/>
      <c r="J1084" s="30" t="n"/>
      <c r="K1084" s="30" t="n"/>
      <c r="L1084" s="30" t="n"/>
      <c r="M1084" s="30" t="n"/>
      <c r="N1084" s="32" t="n"/>
      <c r="O1084" s="30" t="n"/>
      <c r="P1084" s="32" t="n"/>
      <c r="Q1084" s="30" t="n"/>
      <c r="R1084" s="32" t="n"/>
      <c r="S1084" s="30" t="n"/>
      <c r="T1084" s="30" t="n"/>
      <c r="U1084" s="30" t="n"/>
      <c r="V1084" s="30" t="n"/>
      <c r="W1084" s="29">
        <f>IF(H1084="","",IF(H1084="Kenya","Yes","No"))</f>
        <v/>
      </c>
      <c r="X1084" s="29">
        <f>IF(B1084="","",IF(COUNTIF($B$5:$B$3004,B1084)&gt;1,"DUPLICATE","OK"))</f>
        <v/>
      </c>
      <c r="Y1084" s="29">
        <f>IF(OR(U1084="",V1084="",V1084="Excluded"),"",IF(COUNTIFS($U$5:$U$3004,U1084,$V$5:$V$3004,"&lt;&gt;"&amp;V1084,$V$5:$V$3004,"&lt;&gt;",$V$5:$V$3004,"&lt;&gt;Excluded")&gt;0,"LEAK RISK","OK"))</f>
        <v/>
      </c>
      <c r="Z1084" s="30" t="n"/>
    </row>
    <row r="1085">
      <c r="A1085" s="30" t="n"/>
      <c r="B1085" s="30" t="n"/>
      <c r="C1085" s="30" t="n"/>
      <c r="D1085" s="30" t="n"/>
      <c r="E1085" s="30" t="n"/>
      <c r="F1085" s="30" t="n"/>
      <c r="G1085" s="30" t="n"/>
      <c r="H1085" s="30" t="n"/>
      <c r="I1085" s="31" t="n"/>
      <c r="J1085" s="30" t="n"/>
      <c r="K1085" s="30" t="n"/>
      <c r="L1085" s="30" t="n"/>
      <c r="M1085" s="30" t="n"/>
      <c r="N1085" s="32" t="n"/>
      <c r="O1085" s="30" t="n"/>
      <c r="P1085" s="32" t="n"/>
      <c r="Q1085" s="30" t="n"/>
      <c r="R1085" s="32" t="n"/>
      <c r="S1085" s="30" t="n"/>
      <c r="T1085" s="30" t="n"/>
      <c r="U1085" s="30" t="n"/>
      <c r="V1085" s="30" t="n"/>
      <c r="W1085" s="29">
        <f>IF(H1085="","",IF(H1085="Kenya","Yes","No"))</f>
        <v/>
      </c>
      <c r="X1085" s="29">
        <f>IF(B1085="","",IF(COUNTIF($B$5:$B$3004,B1085)&gt;1,"DUPLICATE","OK"))</f>
        <v/>
      </c>
      <c r="Y1085" s="29">
        <f>IF(OR(U1085="",V1085="",V1085="Excluded"),"",IF(COUNTIFS($U$5:$U$3004,U1085,$V$5:$V$3004,"&lt;&gt;"&amp;V1085,$V$5:$V$3004,"&lt;&gt;",$V$5:$V$3004,"&lt;&gt;Excluded")&gt;0,"LEAK RISK","OK"))</f>
        <v/>
      </c>
      <c r="Z1085" s="30" t="n"/>
    </row>
    <row r="1086">
      <c r="A1086" s="30" t="n"/>
      <c r="B1086" s="30" t="n"/>
      <c r="C1086" s="30" t="n"/>
      <c r="D1086" s="30" t="n"/>
      <c r="E1086" s="30" t="n"/>
      <c r="F1086" s="30" t="n"/>
      <c r="G1086" s="30" t="n"/>
      <c r="H1086" s="30" t="n"/>
      <c r="I1086" s="31" t="n"/>
      <c r="J1086" s="30" t="n"/>
      <c r="K1086" s="30" t="n"/>
      <c r="L1086" s="30" t="n"/>
      <c r="M1086" s="30" t="n"/>
      <c r="N1086" s="32" t="n"/>
      <c r="O1086" s="30" t="n"/>
      <c r="P1086" s="32" t="n"/>
      <c r="Q1086" s="30" t="n"/>
      <c r="R1086" s="32" t="n"/>
      <c r="S1086" s="30" t="n"/>
      <c r="T1086" s="30" t="n"/>
      <c r="U1086" s="30" t="n"/>
      <c r="V1086" s="30" t="n"/>
      <c r="W1086" s="29">
        <f>IF(H1086="","",IF(H1086="Kenya","Yes","No"))</f>
        <v/>
      </c>
      <c r="X1086" s="29">
        <f>IF(B1086="","",IF(COUNTIF($B$5:$B$3004,B1086)&gt;1,"DUPLICATE","OK"))</f>
        <v/>
      </c>
      <c r="Y1086" s="29">
        <f>IF(OR(U1086="",V1086="",V1086="Excluded"),"",IF(COUNTIFS($U$5:$U$3004,U1086,$V$5:$V$3004,"&lt;&gt;"&amp;V1086,$V$5:$V$3004,"&lt;&gt;",$V$5:$V$3004,"&lt;&gt;Excluded")&gt;0,"LEAK RISK","OK"))</f>
        <v/>
      </c>
      <c r="Z1086" s="30" t="n"/>
    </row>
    <row r="1087">
      <c r="A1087" s="30" t="n"/>
      <c r="B1087" s="30" t="n"/>
      <c r="C1087" s="30" t="n"/>
      <c r="D1087" s="30" t="n"/>
      <c r="E1087" s="30" t="n"/>
      <c r="F1087" s="30" t="n"/>
      <c r="G1087" s="30" t="n"/>
      <c r="H1087" s="30" t="n"/>
      <c r="I1087" s="31" t="n"/>
      <c r="J1087" s="30" t="n"/>
      <c r="K1087" s="30" t="n"/>
      <c r="L1087" s="30" t="n"/>
      <c r="M1087" s="30" t="n"/>
      <c r="N1087" s="32" t="n"/>
      <c r="O1087" s="30" t="n"/>
      <c r="P1087" s="32" t="n"/>
      <c r="Q1087" s="30" t="n"/>
      <c r="R1087" s="32" t="n"/>
      <c r="S1087" s="30" t="n"/>
      <c r="T1087" s="30" t="n"/>
      <c r="U1087" s="30" t="n"/>
      <c r="V1087" s="30" t="n"/>
      <c r="W1087" s="29">
        <f>IF(H1087="","",IF(H1087="Kenya","Yes","No"))</f>
        <v/>
      </c>
      <c r="X1087" s="29">
        <f>IF(B1087="","",IF(COUNTIF($B$5:$B$3004,B1087)&gt;1,"DUPLICATE","OK"))</f>
        <v/>
      </c>
      <c r="Y1087" s="29">
        <f>IF(OR(U1087="",V1087="",V1087="Excluded"),"",IF(COUNTIFS($U$5:$U$3004,U1087,$V$5:$V$3004,"&lt;&gt;"&amp;V1087,$V$5:$V$3004,"&lt;&gt;",$V$5:$V$3004,"&lt;&gt;Excluded")&gt;0,"LEAK RISK","OK"))</f>
        <v/>
      </c>
      <c r="Z1087" s="30" t="n"/>
    </row>
    <row r="1088">
      <c r="A1088" s="30" t="n"/>
      <c r="B1088" s="30" t="n"/>
      <c r="C1088" s="30" t="n"/>
      <c r="D1088" s="30" t="n"/>
      <c r="E1088" s="30" t="n"/>
      <c r="F1088" s="30" t="n"/>
      <c r="G1088" s="30" t="n"/>
      <c r="H1088" s="30" t="n"/>
      <c r="I1088" s="31" t="n"/>
      <c r="J1088" s="30" t="n"/>
      <c r="K1088" s="30" t="n"/>
      <c r="L1088" s="30" t="n"/>
      <c r="M1088" s="30" t="n"/>
      <c r="N1088" s="32" t="n"/>
      <c r="O1088" s="30" t="n"/>
      <c r="P1088" s="32" t="n"/>
      <c r="Q1088" s="30" t="n"/>
      <c r="R1088" s="32" t="n"/>
      <c r="S1088" s="30" t="n"/>
      <c r="T1088" s="30" t="n"/>
      <c r="U1088" s="30" t="n"/>
      <c r="V1088" s="30" t="n"/>
      <c r="W1088" s="29">
        <f>IF(H1088="","",IF(H1088="Kenya","Yes","No"))</f>
        <v/>
      </c>
      <c r="X1088" s="29">
        <f>IF(B1088="","",IF(COUNTIF($B$5:$B$3004,B1088)&gt;1,"DUPLICATE","OK"))</f>
        <v/>
      </c>
      <c r="Y1088" s="29">
        <f>IF(OR(U1088="",V1088="",V1088="Excluded"),"",IF(COUNTIFS($U$5:$U$3004,U1088,$V$5:$V$3004,"&lt;&gt;"&amp;V1088,$V$5:$V$3004,"&lt;&gt;",$V$5:$V$3004,"&lt;&gt;Excluded")&gt;0,"LEAK RISK","OK"))</f>
        <v/>
      </c>
      <c r="Z1088" s="30" t="n"/>
    </row>
    <row r="1089">
      <c r="A1089" s="30" t="n"/>
      <c r="B1089" s="30" t="n"/>
      <c r="C1089" s="30" t="n"/>
      <c r="D1089" s="30" t="n"/>
      <c r="E1089" s="30" t="n"/>
      <c r="F1089" s="30" t="n"/>
      <c r="G1089" s="30" t="n"/>
      <c r="H1089" s="30" t="n"/>
      <c r="I1089" s="31" t="n"/>
      <c r="J1089" s="30" t="n"/>
      <c r="K1089" s="30" t="n"/>
      <c r="L1089" s="30" t="n"/>
      <c r="M1089" s="30" t="n"/>
      <c r="N1089" s="32" t="n"/>
      <c r="O1089" s="30" t="n"/>
      <c r="P1089" s="32" t="n"/>
      <c r="Q1089" s="30" t="n"/>
      <c r="R1089" s="32" t="n"/>
      <c r="S1089" s="30" t="n"/>
      <c r="T1089" s="30" t="n"/>
      <c r="U1089" s="30" t="n"/>
      <c r="V1089" s="30" t="n"/>
      <c r="W1089" s="29">
        <f>IF(H1089="","",IF(H1089="Kenya","Yes","No"))</f>
        <v/>
      </c>
      <c r="X1089" s="29">
        <f>IF(B1089="","",IF(COUNTIF($B$5:$B$3004,B1089)&gt;1,"DUPLICATE","OK"))</f>
        <v/>
      </c>
      <c r="Y1089" s="29">
        <f>IF(OR(U1089="",V1089="",V1089="Excluded"),"",IF(COUNTIFS($U$5:$U$3004,U1089,$V$5:$V$3004,"&lt;&gt;"&amp;V1089,$V$5:$V$3004,"&lt;&gt;",$V$5:$V$3004,"&lt;&gt;Excluded")&gt;0,"LEAK RISK","OK"))</f>
        <v/>
      </c>
      <c r="Z1089" s="30" t="n"/>
    </row>
    <row r="1090">
      <c r="A1090" s="30" t="n"/>
      <c r="B1090" s="30" t="n"/>
      <c r="C1090" s="30" t="n"/>
      <c r="D1090" s="30" t="n"/>
      <c r="E1090" s="30" t="n"/>
      <c r="F1090" s="30" t="n"/>
      <c r="G1090" s="30" t="n"/>
      <c r="H1090" s="30" t="n"/>
      <c r="I1090" s="31" t="n"/>
      <c r="J1090" s="30" t="n"/>
      <c r="K1090" s="30" t="n"/>
      <c r="L1090" s="30" t="n"/>
      <c r="M1090" s="30" t="n"/>
      <c r="N1090" s="32" t="n"/>
      <c r="O1090" s="30" t="n"/>
      <c r="P1090" s="32" t="n"/>
      <c r="Q1090" s="30" t="n"/>
      <c r="R1090" s="32" t="n"/>
      <c r="S1090" s="30" t="n"/>
      <c r="T1090" s="30" t="n"/>
      <c r="U1090" s="30" t="n"/>
      <c r="V1090" s="30" t="n"/>
      <c r="W1090" s="29">
        <f>IF(H1090="","",IF(H1090="Kenya","Yes","No"))</f>
        <v/>
      </c>
      <c r="X1090" s="29">
        <f>IF(B1090="","",IF(COUNTIF($B$5:$B$3004,B1090)&gt;1,"DUPLICATE","OK"))</f>
        <v/>
      </c>
      <c r="Y1090" s="29">
        <f>IF(OR(U1090="",V1090="",V1090="Excluded"),"",IF(COUNTIFS($U$5:$U$3004,U1090,$V$5:$V$3004,"&lt;&gt;"&amp;V1090,$V$5:$V$3004,"&lt;&gt;",$V$5:$V$3004,"&lt;&gt;Excluded")&gt;0,"LEAK RISK","OK"))</f>
        <v/>
      </c>
      <c r="Z1090" s="30" t="n"/>
    </row>
    <row r="1091">
      <c r="A1091" s="30" t="n"/>
      <c r="B1091" s="30" t="n"/>
      <c r="C1091" s="30" t="n"/>
      <c r="D1091" s="30" t="n"/>
      <c r="E1091" s="30" t="n"/>
      <c r="F1091" s="30" t="n"/>
      <c r="G1091" s="30" t="n"/>
      <c r="H1091" s="30" t="n"/>
      <c r="I1091" s="31" t="n"/>
      <c r="J1091" s="30" t="n"/>
      <c r="K1091" s="30" t="n"/>
      <c r="L1091" s="30" t="n"/>
      <c r="M1091" s="30" t="n"/>
      <c r="N1091" s="32" t="n"/>
      <c r="O1091" s="30" t="n"/>
      <c r="P1091" s="32" t="n"/>
      <c r="Q1091" s="30" t="n"/>
      <c r="R1091" s="32" t="n"/>
      <c r="S1091" s="30" t="n"/>
      <c r="T1091" s="30" t="n"/>
      <c r="U1091" s="30" t="n"/>
      <c r="V1091" s="30" t="n"/>
      <c r="W1091" s="29">
        <f>IF(H1091="","",IF(H1091="Kenya","Yes","No"))</f>
        <v/>
      </c>
      <c r="X1091" s="29">
        <f>IF(B1091="","",IF(COUNTIF($B$5:$B$3004,B1091)&gt;1,"DUPLICATE","OK"))</f>
        <v/>
      </c>
      <c r="Y1091" s="29">
        <f>IF(OR(U1091="",V1091="",V1091="Excluded"),"",IF(COUNTIFS($U$5:$U$3004,U1091,$V$5:$V$3004,"&lt;&gt;"&amp;V1091,$V$5:$V$3004,"&lt;&gt;",$V$5:$V$3004,"&lt;&gt;Excluded")&gt;0,"LEAK RISK","OK"))</f>
        <v/>
      </c>
      <c r="Z1091" s="30" t="n"/>
    </row>
    <row r="1092">
      <c r="A1092" s="30" t="n"/>
      <c r="B1092" s="30" t="n"/>
      <c r="C1092" s="30" t="n"/>
      <c r="D1092" s="30" t="n"/>
      <c r="E1092" s="30" t="n"/>
      <c r="F1092" s="30" t="n"/>
      <c r="G1092" s="30" t="n"/>
      <c r="H1092" s="30" t="n"/>
      <c r="I1092" s="31" t="n"/>
      <c r="J1092" s="30" t="n"/>
      <c r="K1092" s="30" t="n"/>
      <c r="L1092" s="30" t="n"/>
      <c r="M1092" s="30" t="n"/>
      <c r="N1092" s="32" t="n"/>
      <c r="O1092" s="30" t="n"/>
      <c r="P1092" s="32" t="n"/>
      <c r="Q1092" s="30" t="n"/>
      <c r="R1092" s="32" t="n"/>
      <c r="S1092" s="30" t="n"/>
      <c r="T1092" s="30" t="n"/>
      <c r="U1092" s="30" t="n"/>
      <c r="V1092" s="30" t="n"/>
      <c r="W1092" s="29">
        <f>IF(H1092="","",IF(H1092="Kenya","Yes","No"))</f>
        <v/>
      </c>
      <c r="X1092" s="29">
        <f>IF(B1092="","",IF(COUNTIF($B$5:$B$3004,B1092)&gt;1,"DUPLICATE","OK"))</f>
        <v/>
      </c>
      <c r="Y1092" s="29">
        <f>IF(OR(U1092="",V1092="",V1092="Excluded"),"",IF(COUNTIFS($U$5:$U$3004,U1092,$V$5:$V$3004,"&lt;&gt;"&amp;V1092,$V$5:$V$3004,"&lt;&gt;",$V$5:$V$3004,"&lt;&gt;Excluded")&gt;0,"LEAK RISK","OK"))</f>
        <v/>
      </c>
      <c r="Z1092" s="30" t="n"/>
    </row>
    <row r="1093">
      <c r="A1093" s="30" t="n"/>
      <c r="B1093" s="30" t="n"/>
      <c r="C1093" s="30" t="n"/>
      <c r="D1093" s="30" t="n"/>
      <c r="E1093" s="30" t="n"/>
      <c r="F1093" s="30" t="n"/>
      <c r="G1093" s="30" t="n"/>
      <c r="H1093" s="30" t="n"/>
      <c r="I1093" s="31" t="n"/>
      <c r="J1093" s="30" t="n"/>
      <c r="K1093" s="30" t="n"/>
      <c r="L1093" s="30" t="n"/>
      <c r="M1093" s="30" t="n"/>
      <c r="N1093" s="32" t="n"/>
      <c r="O1093" s="30" t="n"/>
      <c r="P1093" s="32" t="n"/>
      <c r="Q1093" s="30" t="n"/>
      <c r="R1093" s="32" t="n"/>
      <c r="S1093" s="30" t="n"/>
      <c r="T1093" s="30" t="n"/>
      <c r="U1093" s="30" t="n"/>
      <c r="V1093" s="30" t="n"/>
      <c r="W1093" s="29">
        <f>IF(H1093="","",IF(H1093="Kenya","Yes","No"))</f>
        <v/>
      </c>
      <c r="X1093" s="29">
        <f>IF(B1093="","",IF(COUNTIF($B$5:$B$3004,B1093)&gt;1,"DUPLICATE","OK"))</f>
        <v/>
      </c>
      <c r="Y1093" s="29">
        <f>IF(OR(U1093="",V1093="",V1093="Excluded"),"",IF(COUNTIFS($U$5:$U$3004,U1093,$V$5:$V$3004,"&lt;&gt;"&amp;V1093,$V$5:$V$3004,"&lt;&gt;",$V$5:$V$3004,"&lt;&gt;Excluded")&gt;0,"LEAK RISK","OK"))</f>
        <v/>
      </c>
      <c r="Z1093" s="30" t="n"/>
    </row>
    <row r="1094">
      <c r="A1094" s="30" t="n"/>
      <c r="B1094" s="30" t="n"/>
      <c r="C1094" s="30" t="n"/>
      <c r="D1094" s="30" t="n"/>
      <c r="E1094" s="30" t="n"/>
      <c r="F1094" s="30" t="n"/>
      <c r="G1094" s="30" t="n"/>
      <c r="H1094" s="30" t="n"/>
      <c r="I1094" s="31" t="n"/>
      <c r="J1094" s="30" t="n"/>
      <c r="K1094" s="30" t="n"/>
      <c r="L1094" s="30" t="n"/>
      <c r="M1094" s="30" t="n"/>
      <c r="N1094" s="32" t="n"/>
      <c r="O1094" s="30" t="n"/>
      <c r="P1094" s="32" t="n"/>
      <c r="Q1094" s="30" t="n"/>
      <c r="R1094" s="32" t="n"/>
      <c r="S1094" s="30" t="n"/>
      <c r="T1094" s="30" t="n"/>
      <c r="U1094" s="30" t="n"/>
      <c r="V1094" s="30" t="n"/>
      <c r="W1094" s="29">
        <f>IF(H1094="","",IF(H1094="Kenya","Yes","No"))</f>
        <v/>
      </c>
      <c r="X1094" s="29">
        <f>IF(B1094="","",IF(COUNTIF($B$5:$B$3004,B1094)&gt;1,"DUPLICATE","OK"))</f>
        <v/>
      </c>
      <c r="Y1094" s="29">
        <f>IF(OR(U1094="",V1094="",V1094="Excluded"),"",IF(COUNTIFS($U$5:$U$3004,U1094,$V$5:$V$3004,"&lt;&gt;"&amp;V1094,$V$5:$V$3004,"&lt;&gt;",$V$5:$V$3004,"&lt;&gt;Excluded")&gt;0,"LEAK RISK","OK"))</f>
        <v/>
      </c>
      <c r="Z1094" s="30" t="n"/>
    </row>
    <row r="1095">
      <c r="A1095" s="30" t="n"/>
      <c r="B1095" s="30" t="n"/>
      <c r="C1095" s="30" t="n"/>
      <c r="D1095" s="30" t="n"/>
      <c r="E1095" s="30" t="n"/>
      <c r="F1095" s="30" t="n"/>
      <c r="G1095" s="30" t="n"/>
      <c r="H1095" s="30" t="n"/>
      <c r="I1095" s="31" t="n"/>
      <c r="J1095" s="30" t="n"/>
      <c r="K1095" s="30" t="n"/>
      <c r="L1095" s="30" t="n"/>
      <c r="M1095" s="30" t="n"/>
      <c r="N1095" s="32" t="n"/>
      <c r="O1095" s="30" t="n"/>
      <c r="P1095" s="32" t="n"/>
      <c r="Q1095" s="30" t="n"/>
      <c r="R1095" s="32" t="n"/>
      <c r="S1095" s="30" t="n"/>
      <c r="T1095" s="30" t="n"/>
      <c r="U1095" s="30" t="n"/>
      <c r="V1095" s="30" t="n"/>
      <c r="W1095" s="29">
        <f>IF(H1095="","",IF(H1095="Kenya","Yes","No"))</f>
        <v/>
      </c>
      <c r="X1095" s="29">
        <f>IF(B1095="","",IF(COUNTIF($B$5:$B$3004,B1095)&gt;1,"DUPLICATE","OK"))</f>
        <v/>
      </c>
      <c r="Y1095" s="29">
        <f>IF(OR(U1095="",V1095="",V1095="Excluded"),"",IF(COUNTIFS($U$5:$U$3004,U1095,$V$5:$V$3004,"&lt;&gt;"&amp;V1095,$V$5:$V$3004,"&lt;&gt;",$V$5:$V$3004,"&lt;&gt;Excluded")&gt;0,"LEAK RISK","OK"))</f>
        <v/>
      </c>
      <c r="Z1095" s="30" t="n"/>
    </row>
    <row r="1096">
      <c r="A1096" s="30" t="n"/>
      <c r="B1096" s="30" t="n"/>
      <c r="C1096" s="30" t="n"/>
      <c r="D1096" s="30" t="n"/>
      <c r="E1096" s="30" t="n"/>
      <c r="F1096" s="30" t="n"/>
      <c r="G1096" s="30" t="n"/>
      <c r="H1096" s="30" t="n"/>
      <c r="I1096" s="31" t="n"/>
      <c r="J1096" s="30" t="n"/>
      <c r="K1096" s="30" t="n"/>
      <c r="L1096" s="30" t="n"/>
      <c r="M1096" s="30" t="n"/>
      <c r="N1096" s="32" t="n"/>
      <c r="O1096" s="30" t="n"/>
      <c r="P1096" s="32" t="n"/>
      <c r="Q1096" s="30" t="n"/>
      <c r="R1096" s="32" t="n"/>
      <c r="S1096" s="30" t="n"/>
      <c r="T1096" s="30" t="n"/>
      <c r="U1096" s="30" t="n"/>
      <c r="V1096" s="30" t="n"/>
      <c r="W1096" s="29">
        <f>IF(H1096="","",IF(H1096="Kenya","Yes","No"))</f>
        <v/>
      </c>
      <c r="X1096" s="29">
        <f>IF(B1096="","",IF(COUNTIF($B$5:$B$3004,B1096)&gt;1,"DUPLICATE","OK"))</f>
        <v/>
      </c>
      <c r="Y1096" s="29">
        <f>IF(OR(U1096="",V1096="",V1096="Excluded"),"",IF(COUNTIFS($U$5:$U$3004,U1096,$V$5:$V$3004,"&lt;&gt;"&amp;V1096,$V$5:$V$3004,"&lt;&gt;",$V$5:$V$3004,"&lt;&gt;Excluded")&gt;0,"LEAK RISK","OK"))</f>
        <v/>
      </c>
      <c r="Z1096" s="30" t="n"/>
    </row>
    <row r="1097">
      <c r="A1097" s="30" t="n"/>
      <c r="B1097" s="30" t="n"/>
      <c r="C1097" s="30" t="n"/>
      <c r="D1097" s="30" t="n"/>
      <c r="E1097" s="30" t="n"/>
      <c r="F1097" s="30" t="n"/>
      <c r="G1097" s="30" t="n"/>
      <c r="H1097" s="30" t="n"/>
      <c r="I1097" s="31" t="n"/>
      <c r="J1097" s="30" t="n"/>
      <c r="K1097" s="30" t="n"/>
      <c r="L1097" s="30" t="n"/>
      <c r="M1097" s="30" t="n"/>
      <c r="N1097" s="32" t="n"/>
      <c r="O1097" s="30" t="n"/>
      <c r="P1097" s="32" t="n"/>
      <c r="Q1097" s="30" t="n"/>
      <c r="R1097" s="32" t="n"/>
      <c r="S1097" s="30" t="n"/>
      <c r="T1097" s="30" t="n"/>
      <c r="U1097" s="30" t="n"/>
      <c r="V1097" s="30" t="n"/>
      <c r="W1097" s="29">
        <f>IF(H1097="","",IF(H1097="Kenya","Yes","No"))</f>
        <v/>
      </c>
      <c r="X1097" s="29">
        <f>IF(B1097="","",IF(COUNTIF($B$5:$B$3004,B1097)&gt;1,"DUPLICATE","OK"))</f>
        <v/>
      </c>
      <c r="Y1097" s="29">
        <f>IF(OR(U1097="",V1097="",V1097="Excluded"),"",IF(COUNTIFS($U$5:$U$3004,U1097,$V$5:$V$3004,"&lt;&gt;"&amp;V1097,$V$5:$V$3004,"&lt;&gt;",$V$5:$V$3004,"&lt;&gt;Excluded")&gt;0,"LEAK RISK","OK"))</f>
        <v/>
      </c>
      <c r="Z1097" s="30" t="n"/>
    </row>
    <row r="1098">
      <c r="A1098" s="30" t="n"/>
      <c r="B1098" s="30" t="n"/>
      <c r="C1098" s="30" t="n"/>
      <c r="D1098" s="30" t="n"/>
      <c r="E1098" s="30" t="n"/>
      <c r="F1098" s="30" t="n"/>
      <c r="G1098" s="30" t="n"/>
      <c r="H1098" s="30" t="n"/>
      <c r="I1098" s="31" t="n"/>
      <c r="J1098" s="30" t="n"/>
      <c r="K1098" s="30" t="n"/>
      <c r="L1098" s="30" t="n"/>
      <c r="M1098" s="30" t="n"/>
      <c r="N1098" s="32" t="n"/>
      <c r="O1098" s="30" t="n"/>
      <c r="P1098" s="32" t="n"/>
      <c r="Q1098" s="30" t="n"/>
      <c r="R1098" s="32" t="n"/>
      <c r="S1098" s="30" t="n"/>
      <c r="T1098" s="30" t="n"/>
      <c r="U1098" s="30" t="n"/>
      <c r="V1098" s="30" t="n"/>
      <c r="W1098" s="29">
        <f>IF(H1098="","",IF(H1098="Kenya","Yes","No"))</f>
        <v/>
      </c>
      <c r="X1098" s="29">
        <f>IF(B1098="","",IF(COUNTIF($B$5:$B$3004,B1098)&gt;1,"DUPLICATE","OK"))</f>
        <v/>
      </c>
      <c r="Y1098" s="29">
        <f>IF(OR(U1098="",V1098="",V1098="Excluded"),"",IF(COUNTIFS($U$5:$U$3004,U1098,$V$5:$V$3004,"&lt;&gt;"&amp;V1098,$V$5:$V$3004,"&lt;&gt;",$V$5:$V$3004,"&lt;&gt;Excluded")&gt;0,"LEAK RISK","OK"))</f>
        <v/>
      </c>
      <c r="Z1098" s="30" t="n"/>
    </row>
    <row r="1099">
      <c r="A1099" s="30" t="n"/>
      <c r="B1099" s="30" t="n"/>
      <c r="C1099" s="30" t="n"/>
      <c r="D1099" s="30" t="n"/>
      <c r="E1099" s="30" t="n"/>
      <c r="F1099" s="30" t="n"/>
      <c r="G1099" s="30" t="n"/>
      <c r="H1099" s="30" t="n"/>
      <c r="I1099" s="31" t="n"/>
      <c r="J1099" s="30" t="n"/>
      <c r="K1099" s="30" t="n"/>
      <c r="L1099" s="30" t="n"/>
      <c r="M1099" s="30" t="n"/>
      <c r="N1099" s="32" t="n"/>
      <c r="O1099" s="30" t="n"/>
      <c r="P1099" s="32" t="n"/>
      <c r="Q1099" s="30" t="n"/>
      <c r="R1099" s="32" t="n"/>
      <c r="S1099" s="30" t="n"/>
      <c r="T1099" s="30" t="n"/>
      <c r="U1099" s="30" t="n"/>
      <c r="V1099" s="30" t="n"/>
      <c r="W1099" s="29">
        <f>IF(H1099="","",IF(H1099="Kenya","Yes","No"))</f>
        <v/>
      </c>
      <c r="X1099" s="29">
        <f>IF(B1099="","",IF(COUNTIF($B$5:$B$3004,B1099)&gt;1,"DUPLICATE","OK"))</f>
        <v/>
      </c>
      <c r="Y1099" s="29">
        <f>IF(OR(U1099="",V1099="",V1099="Excluded"),"",IF(COUNTIFS($U$5:$U$3004,U1099,$V$5:$V$3004,"&lt;&gt;"&amp;V1099,$V$5:$V$3004,"&lt;&gt;",$V$5:$V$3004,"&lt;&gt;Excluded")&gt;0,"LEAK RISK","OK"))</f>
        <v/>
      </c>
      <c r="Z1099" s="30" t="n"/>
    </row>
    <row r="1100">
      <c r="A1100" s="30" t="n"/>
      <c r="B1100" s="30" t="n"/>
      <c r="C1100" s="30" t="n"/>
      <c r="D1100" s="30" t="n"/>
      <c r="E1100" s="30" t="n"/>
      <c r="F1100" s="30" t="n"/>
      <c r="G1100" s="30" t="n"/>
      <c r="H1100" s="30" t="n"/>
      <c r="I1100" s="31" t="n"/>
      <c r="J1100" s="30" t="n"/>
      <c r="K1100" s="30" t="n"/>
      <c r="L1100" s="30" t="n"/>
      <c r="M1100" s="30" t="n"/>
      <c r="N1100" s="32" t="n"/>
      <c r="O1100" s="30" t="n"/>
      <c r="P1100" s="32" t="n"/>
      <c r="Q1100" s="30" t="n"/>
      <c r="R1100" s="32" t="n"/>
      <c r="S1100" s="30" t="n"/>
      <c r="T1100" s="30" t="n"/>
      <c r="U1100" s="30" t="n"/>
      <c r="V1100" s="30" t="n"/>
      <c r="W1100" s="29">
        <f>IF(H1100="","",IF(H1100="Kenya","Yes","No"))</f>
        <v/>
      </c>
      <c r="X1100" s="29">
        <f>IF(B1100="","",IF(COUNTIF($B$5:$B$3004,B1100)&gt;1,"DUPLICATE","OK"))</f>
        <v/>
      </c>
      <c r="Y1100" s="29">
        <f>IF(OR(U1100="",V1100="",V1100="Excluded"),"",IF(COUNTIFS($U$5:$U$3004,U1100,$V$5:$V$3004,"&lt;&gt;"&amp;V1100,$V$5:$V$3004,"&lt;&gt;",$V$5:$V$3004,"&lt;&gt;Excluded")&gt;0,"LEAK RISK","OK"))</f>
        <v/>
      </c>
      <c r="Z1100" s="30" t="n"/>
    </row>
    <row r="1101">
      <c r="A1101" s="30" t="n"/>
      <c r="B1101" s="30" t="n"/>
      <c r="C1101" s="30" t="n"/>
      <c r="D1101" s="30" t="n"/>
      <c r="E1101" s="30" t="n"/>
      <c r="F1101" s="30" t="n"/>
      <c r="G1101" s="30" t="n"/>
      <c r="H1101" s="30" t="n"/>
      <c r="I1101" s="31" t="n"/>
      <c r="J1101" s="30" t="n"/>
      <c r="K1101" s="30" t="n"/>
      <c r="L1101" s="30" t="n"/>
      <c r="M1101" s="30" t="n"/>
      <c r="N1101" s="32" t="n"/>
      <c r="O1101" s="30" t="n"/>
      <c r="P1101" s="32" t="n"/>
      <c r="Q1101" s="30" t="n"/>
      <c r="R1101" s="32" t="n"/>
      <c r="S1101" s="30" t="n"/>
      <c r="T1101" s="30" t="n"/>
      <c r="U1101" s="30" t="n"/>
      <c r="V1101" s="30" t="n"/>
      <c r="W1101" s="29">
        <f>IF(H1101="","",IF(H1101="Kenya","Yes","No"))</f>
        <v/>
      </c>
      <c r="X1101" s="29">
        <f>IF(B1101="","",IF(COUNTIF($B$5:$B$3004,B1101)&gt;1,"DUPLICATE","OK"))</f>
        <v/>
      </c>
      <c r="Y1101" s="29">
        <f>IF(OR(U1101="",V1101="",V1101="Excluded"),"",IF(COUNTIFS($U$5:$U$3004,U1101,$V$5:$V$3004,"&lt;&gt;"&amp;V1101,$V$5:$V$3004,"&lt;&gt;",$V$5:$V$3004,"&lt;&gt;Excluded")&gt;0,"LEAK RISK","OK"))</f>
        <v/>
      </c>
      <c r="Z1101" s="30" t="n"/>
    </row>
    <row r="1102">
      <c r="A1102" s="30" t="n"/>
      <c r="B1102" s="30" t="n"/>
      <c r="C1102" s="30" t="n"/>
      <c r="D1102" s="30" t="n"/>
      <c r="E1102" s="30" t="n"/>
      <c r="F1102" s="30" t="n"/>
      <c r="G1102" s="30" t="n"/>
      <c r="H1102" s="30" t="n"/>
      <c r="I1102" s="31" t="n"/>
      <c r="J1102" s="30" t="n"/>
      <c r="K1102" s="30" t="n"/>
      <c r="L1102" s="30" t="n"/>
      <c r="M1102" s="30" t="n"/>
      <c r="N1102" s="32" t="n"/>
      <c r="O1102" s="30" t="n"/>
      <c r="P1102" s="32" t="n"/>
      <c r="Q1102" s="30" t="n"/>
      <c r="R1102" s="32" t="n"/>
      <c r="S1102" s="30" t="n"/>
      <c r="T1102" s="30" t="n"/>
      <c r="U1102" s="30" t="n"/>
      <c r="V1102" s="30" t="n"/>
      <c r="W1102" s="29">
        <f>IF(H1102="","",IF(H1102="Kenya","Yes","No"))</f>
        <v/>
      </c>
      <c r="X1102" s="29">
        <f>IF(B1102="","",IF(COUNTIF($B$5:$B$3004,B1102)&gt;1,"DUPLICATE","OK"))</f>
        <v/>
      </c>
      <c r="Y1102" s="29">
        <f>IF(OR(U1102="",V1102="",V1102="Excluded"),"",IF(COUNTIFS($U$5:$U$3004,U1102,$V$5:$V$3004,"&lt;&gt;"&amp;V1102,$V$5:$V$3004,"&lt;&gt;",$V$5:$V$3004,"&lt;&gt;Excluded")&gt;0,"LEAK RISK","OK"))</f>
        <v/>
      </c>
      <c r="Z1102" s="30" t="n"/>
    </row>
    <row r="1103">
      <c r="A1103" s="30" t="n"/>
      <c r="B1103" s="30" t="n"/>
      <c r="C1103" s="30" t="n"/>
      <c r="D1103" s="30" t="n"/>
      <c r="E1103" s="30" t="n"/>
      <c r="F1103" s="30" t="n"/>
      <c r="G1103" s="30" t="n"/>
      <c r="H1103" s="30" t="n"/>
      <c r="I1103" s="31" t="n"/>
      <c r="J1103" s="30" t="n"/>
      <c r="K1103" s="30" t="n"/>
      <c r="L1103" s="30" t="n"/>
      <c r="M1103" s="30" t="n"/>
      <c r="N1103" s="32" t="n"/>
      <c r="O1103" s="30" t="n"/>
      <c r="P1103" s="32" t="n"/>
      <c r="Q1103" s="30" t="n"/>
      <c r="R1103" s="32" t="n"/>
      <c r="S1103" s="30" t="n"/>
      <c r="T1103" s="30" t="n"/>
      <c r="U1103" s="30" t="n"/>
      <c r="V1103" s="30" t="n"/>
      <c r="W1103" s="29">
        <f>IF(H1103="","",IF(H1103="Kenya","Yes","No"))</f>
        <v/>
      </c>
      <c r="X1103" s="29">
        <f>IF(B1103="","",IF(COUNTIF($B$5:$B$3004,B1103)&gt;1,"DUPLICATE","OK"))</f>
        <v/>
      </c>
      <c r="Y1103" s="29">
        <f>IF(OR(U1103="",V1103="",V1103="Excluded"),"",IF(COUNTIFS($U$5:$U$3004,U1103,$V$5:$V$3004,"&lt;&gt;"&amp;V1103,$V$5:$V$3004,"&lt;&gt;",$V$5:$V$3004,"&lt;&gt;Excluded")&gt;0,"LEAK RISK","OK"))</f>
        <v/>
      </c>
      <c r="Z1103" s="30" t="n"/>
    </row>
    <row r="1104">
      <c r="A1104" s="30" t="n"/>
      <c r="B1104" s="30" t="n"/>
      <c r="C1104" s="30" t="n"/>
      <c r="D1104" s="30" t="n"/>
      <c r="E1104" s="30" t="n"/>
      <c r="F1104" s="30" t="n"/>
      <c r="G1104" s="30" t="n"/>
      <c r="H1104" s="30" t="n"/>
      <c r="I1104" s="31" t="n"/>
      <c r="J1104" s="30" t="n"/>
      <c r="K1104" s="30" t="n"/>
      <c r="L1104" s="30" t="n"/>
      <c r="M1104" s="30" t="n"/>
      <c r="N1104" s="32" t="n"/>
      <c r="O1104" s="30" t="n"/>
      <c r="P1104" s="32" t="n"/>
      <c r="Q1104" s="30" t="n"/>
      <c r="R1104" s="32" t="n"/>
      <c r="S1104" s="30" t="n"/>
      <c r="T1104" s="30" t="n"/>
      <c r="U1104" s="30" t="n"/>
      <c r="V1104" s="30" t="n"/>
      <c r="W1104" s="29">
        <f>IF(H1104="","",IF(H1104="Kenya","Yes","No"))</f>
        <v/>
      </c>
      <c r="X1104" s="29">
        <f>IF(B1104="","",IF(COUNTIF($B$5:$B$3004,B1104)&gt;1,"DUPLICATE","OK"))</f>
        <v/>
      </c>
      <c r="Y1104" s="29">
        <f>IF(OR(U1104="",V1104="",V1104="Excluded"),"",IF(COUNTIFS($U$5:$U$3004,U1104,$V$5:$V$3004,"&lt;&gt;"&amp;V1104,$V$5:$V$3004,"&lt;&gt;",$V$5:$V$3004,"&lt;&gt;Excluded")&gt;0,"LEAK RISK","OK"))</f>
        <v/>
      </c>
      <c r="Z1104" s="30" t="n"/>
    </row>
    <row r="1105">
      <c r="A1105" s="30" t="n"/>
      <c r="B1105" s="30" t="n"/>
      <c r="C1105" s="30" t="n"/>
      <c r="D1105" s="30" t="n"/>
      <c r="E1105" s="30" t="n"/>
      <c r="F1105" s="30" t="n"/>
      <c r="G1105" s="30" t="n"/>
      <c r="H1105" s="30" t="n"/>
      <c r="I1105" s="31" t="n"/>
      <c r="J1105" s="30" t="n"/>
      <c r="K1105" s="30" t="n"/>
      <c r="L1105" s="30" t="n"/>
      <c r="M1105" s="30" t="n"/>
      <c r="N1105" s="32" t="n"/>
      <c r="O1105" s="30" t="n"/>
      <c r="P1105" s="32" t="n"/>
      <c r="Q1105" s="30" t="n"/>
      <c r="R1105" s="32" t="n"/>
      <c r="S1105" s="30" t="n"/>
      <c r="T1105" s="30" t="n"/>
      <c r="U1105" s="30" t="n"/>
      <c r="V1105" s="30" t="n"/>
      <c r="W1105" s="29">
        <f>IF(H1105="","",IF(H1105="Kenya","Yes","No"))</f>
        <v/>
      </c>
      <c r="X1105" s="29">
        <f>IF(B1105="","",IF(COUNTIF($B$5:$B$3004,B1105)&gt;1,"DUPLICATE","OK"))</f>
        <v/>
      </c>
      <c r="Y1105" s="29">
        <f>IF(OR(U1105="",V1105="",V1105="Excluded"),"",IF(COUNTIFS($U$5:$U$3004,U1105,$V$5:$V$3004,"&lt;&gt;"&amp;V1105,$V$5:$V$3004,"&lt;&gt;",$V$5:$V$3004,"&lt;&gt;Excluded")&gt;0,"LEAK RISK","OK"))</f>
        <v/>
      </c>
      <c r="Z1105" s="30" t="n"/>
    </row>
    <row r="1106">
      <c r="A1106" s="30" t="n"/>
      <c r="B1106" s="30" t="n"/>
      <c r="C1106" s="30" t="n"/>
      <c r="D1106" s="30" t="n"/>
      <c r="E1106" s="30" t="n"/>
      <c r="F1106" s="30" t="n"/>
      <c r="G1106" s="30" t="n"/>
      <c r="H1106" s="30" t="n"/>
      <c r="I1106" s="31" t="n"/>
      <c r="J1106" s="30" t="n"/>
      <c r="K1106" s="30" t="n"/>
      <c r="L1106" s="30" t="n"/>
      <c r="M1106" s="30" t="n"/>
      <c r="N1106" s="32" t="n"/>
      <c r="O1106" s="30" t="n"/>
      <c r="P1106" s="32" t="n"/>
      <c r="Q1106" s="30" t="n"/>
      <c r="R1106" s="32" t="n"/>
      <c r="S1106" s="30" t="n"/>
      <c r="T1106" s="30" t="n"/>
      <c r="U1106" s="30" t="n"/>
      <c r="V1106" s="30" t="n"/>
      <c r="W1106" s="29">
        <f>IF(H1106="","",IF(H1106="Kenya","Yes","No"))</f>
        <v/>
      </c>
      <c r="X1106" s="29">
        <f>IF(B1106="","",IF(COUNTIF($B$5:$B$3004,B1106)&gt;1,"DUPLICATE","OK"))</f>
        <v/>
      </c>
      <c r="Y1106" s="29">
        <f>IF(OR(U1106="",V1106="",V1106="Excluded"),"",IF(COUNTIFS($U$5:$U$3004,U1106,$V$5:$V$3004,"&lt;&gt;"&amp;V1106,$V$5:$V$3004,"&lt;&gt;",$V$5:$V$3004,"&lt;&gt;Excluded")&gt;0,"LEAK RISK","OK"))</f>
        <v/>
      </c>
      <c r="Z1106" s="30" t="n"/>
    </row>
    <row r="1107">
      <c r="A1107" s="30" t="n"/>
      <c r="B1107" s="30" t="n"/>
      <c r="C1107" s="30" t="n"/>
      <c r="D1107" s="30" t="n"/>
      <c r="E1107" s="30" t="n"/>
      <c r="F1107" s="30" t="n"/>
      <c r="G1107" s="30" t="n"/>
      <c r="H1107" s="30" t="n"/>
      <c r="I1107" s="31" t="n"/>
      <c r="J1107" s="30" t="n"/>
      <c r="K1107" s="30" t="n"/>
      <c r="L1107" s="30" t="n"/>
      <c r="M1107" s="30" t="n"/>
      <c r="N1107" s="32" t="n"/>
      <c r="O1107" s="30" t="n"/>
      <c r="P1107" s="32" t="n"/>
      <c r="Q1107" s="30" t="n"/>
      <c r="R1107" s="32" t="n"/>
      <c r="S1107" s="30" t="n"/>
      <c r="T1107" s="30" t="n"/>
      <c r="U1107" s="30" t="n"/>
      <c r="V1107" s="30" t="n"/>
      <c r="W1107" s="29">
        <f>IF(H1107="","",IF(H1107="Kenya","Yes","No"))</f>
        <v/>
      </c>
      <c r="X1107" s="29">
        <f>IF(B1107="","",IF(COUNTIF($B$5:$B$3004,B1107)&gt;1,"DUPLICATE","OK"))</f>
        <v/>
      </c>
      <c r="Y1107" s="29">
        <f>IF(OR(U1107="",V1107="",V1107="Excluded"),"",IF(COUNTIFS($U$5:$U$3004,U1107,$V$5:$V$3004,"&lt;&gt;"&amp;V1107,$V$5:$V$3004,"&lt;&gt;",$V$5:$V$3004,"&lt;&gt;Excluded")&gt;0,"LEAK RISK","OK"))</f>
        <v/>
      </c>
      <c r="Z1107" s="30" t="n"/>
    </row>
    <row r="1108">
      <c r="A1108" s="30" t="n"/>
      <c r="B1108" s="30" t="n"/>
      <c r="C1108" s="30" t="n"/>
      <c r="D1108" s="30" t="n"/>
      <c r="E1108" s="30" t="n"/>
      <c r="F1108" s="30" t="n"/>
      <c r="G1108" s="30" t="n"/>
      <c r="H1108" s="30" t="n"/>
      <c r="I1108" s="31" t="n"/>
      <c r="J1108" s="30" t="n"/>
      <c r="K1108" s="30" t="n"/>
      <c r="L1108" s="30" t="n"/>
      <c r="M1108" s="30" t="n"/>
      <c r="N1108" s="32" t="n"/>
      <c r="O1108" s="30" t="n"/>
      <c r="P1108" s="32" t="n"/>
      <c r="Q1108" s="30" t="n"/>
      <c r="R1108" s="32" t="n"/>
      <c r="S1108" s="30" t="n"/>
      <c r="T1108" s="30" t="n"/>
      <c r="U1108" s="30" t="n"/>
      <c r="V1108" s="30" t="n"/>
      <c r="W1108" s="29">
        <f>IF(H1108="","",IF(H1108="Kenya","Yes","No"))</f>
        <v/>
      </c>
      <c r="X1108" s="29">
        <f>IF(B1108="","",IF(COUNTIF($B$5:$B$3004,B1108)&gt;1,"DUPLICATE","OK"))</f>
        <v/>
      </c>
      <c r="Y1108" s="29">
        <f>IF(OR(U1108="",V1108="",V1108="Excluded"),"",IF(COUNTIFS($U$5:$U$3004,U1108,$V$5:$V$3004,"&lt;&gt;"&amp;V1108,$V$5:$V$3004,"&lt;&gt;",$V$5:$V$3004,"&lt;&gt;Excluded")&gt;0,"LEAK RISK","OK"))</f>
        <v/>
      </c>
      <c r="Z1108" s="30" t="n"/>
    </row>
    <row r="1109">
      <c r="A1109" s="30" t="n"/>
      <c r="B1109" s="30" t="n"/>
      <c r="C1109" s="30" t="n"/>
      <c r="D1109" s="30" t="n"/>
      <c r="E1109" s="30" t="n"/>
      <c r="F1109" s="30" t="n"/>
      <c r="G1109" s="30" t="n"/>
      <c r="H1109" s="30" t="n"/>
      <c r="I1109" s="31" t="n"/>
      <c r="J1109" s="30" t="n"/>
      <c r="K1109" s="30" t="n"/>
      <c r="L1109" s="30" t="n"/>
      <c r="M1109" s="30" t="n"/>
      <c r="N1109" s="32" t="n"/>
      <c r="O1109" s="30" t="n"/>
      <c r="P1109" s="32" t="n"/>
      <c r="Q1109" s="30" t="n"/>
      <c r="R1109" s="32" t="n"/>
      <c r="S1109" s="30" t="n"/>
      <c r="T1109" s="30" t="n"/>
      <c r="U1109" s="30" t="n"/>
      <c r="V1109" s="30" t="n"/>
      <c r="W1109" s="29">
        <f>IF(H1109="","",IF(H1109="Kenya","Yes","No"))</f>
        <v/>
      </c>
      <c r="X1109" s="29">
        <f>IF(B1109="","",IF(COUNTIF($B$5:$B$3004,B1109)&gt;1,"DUPLICATE","OK"))</f>
        <v/>
      </c>
      <c r="Y1109" s="29">
        <f>IF(OR(U1109="",V1109="",V1109="Excluded"),"",IF(COUNTIFS($U$5:$U$3004,U1109,$V$5:$V$3004,"&lt;&gt;"&amp;V1109,$V$5:$V$3004,"&lt;&gt;",$V$5:$V$3004,"&lt;&gt;Excluded")&gt;0,"LEAK RISK","OK"))</f>
        <v/>
      </c>
      <c r="Z1109" s="30" t="n"/>
    </row>
    <row r="1110">
      <c r="A1110" s="30" t="n"/>
      <c r="B1110" s="30" t="n"/>
      <c r="C1110" s="30" t="n"/>
      <c r="D1110" s="30" t="n"/>
      <c r="E1110" s="30" t="n"/>
      <c r="F1110" s="30" t="n"/>
      <c r="G1110" s="30" t="n"/>
      <c r="H1110" s="30" t="n"/>
      <c r="I1110" s="31" t="n"/>
      <c r="J1110" s="30" t="n"/>
      <c r="K1110" s="30" t="n"/>
      <c r="L1110" s="30" t="n"/>
      <c r="M1110" s="30" t="n"/>
      <c r="N1110" s="32" t="n"/>
      <c r="O1110" s="30" t="n"/>
      <c r="P1110" s="32" t="n"/>
      <c r="Q1110" s="30" t="n"/>
      <c r="R1110" s="32" t="n"/>
      <c r="S1110" s="30" t="n"/>
      <c r="T1110" s="30" t="n"/>
      <c r="U1110" s="30" t="n"/>
      <c r="V1110" s="30" t="n"/>
      <c r="W1110" s="29">
        <f>IF(H1110="","",IF(H1110="Kenya","Yes","No"))</f>
        <v/>
      </c>
      <c r="X1110" s="29">
        <f>IF(B1110="","",IF(COUNTIF($B$5:$B$3004,B1110)&gt;1,"DUPLICATE","OK"))</f>
        <v/>
      </c>
      <c r="Y1110" s="29">
        <f>IF(OR(U1110="",V1110="",V1110="Excluded"),"",IF(COUNTIFS($U$5:$U$3004,U1110,$V$5:$V$3004,"&lt;&gt;"&amp;V1110,$V$5:$V$3004,"&lt;&gt;",$V$5:$V$3004,"&lt;&gt;Excluded")&gt;0,"LEAK RISK","OK"))</f>
        <v/>
      </c>
      <c r="Z1110" s="30" t="n"/>
    </row>
    <row r="1111">
      <c r="A1111" s="30" t="n"/>
      <c r="B1111" s="30" t="n"/>
      <c r="C1111" s="30" t="n"/>
      <c r="D1111" s="30" t="n"/>
      <c r="E1111" s="30" t="n"/>
      <c r="F1111" s="30" t="n"/>
      <c r="G1111" s="30" t="n"/>
      <c r="H1111" s="30" t="n"/>
      <c r="I1111" s="31" t="n"/>
      <c r="J1111" s="30" t="n"/>
      <c r="K1111" s="30" t="n"/>
      <c r="L1111" s="30" t="n"/>
      <c r="M1111" s="30" t="n"/>
      <c r="N1111" s="32" t="n"/>
      <c r="O1111" s="30" t="n"/>
      <c r="P1111" s="32" t="n"/>
      <c r="Q1111" s="30" t="n"/>
      <c r="R1111" s="32" t="n"/>
      <c r="S1111" s="30" t="n"/>
      <c r="T1111" s="30" t="n"/>
      <c r="U1111" s="30" t="n"/>
      <c r="V1111" s="30" t="n"/>
      <c r="W1111" s="29">
        <f>IF(H1111="","",IF(H1111="Kenya","Yes","No"))</f>
        <v/>
      </c>
      <c r="X1111" s="29">
        <f>IF(B1111="","",IF(COUNTIF($B$5:$B$3004,B1111)&gt;1,"DUPLICATE","OK"))</f>
        <v/>
      </c>
      <c r="Y1111" s="29">
        <f>IF(OR(U1111="",V1111="",V1111="Excluded"),"",IF(COUNTIFS($U$5:$U$3004,U1111,$V$5:$V$3004,"&lt;&gt;"&amp;V1111,$V$5:$V$3004,"&lt;&gt;",$V$5:$V$3004,"&lt;&gt;Excluded")&gt;0,"LEAK RISK","OK"))</f>
        <v/>
      </c>
      <c r="Z1111" s="30" t="n"/>
    </row>
    <row r="1112">
      <c r="A1112" s="30" t="n"/>
      <c r="B1112" s="30" t="n"/>
      <c r="C1112" s="30" t="n"/>
      <c r="D1112" s="30" t="n"/>
      <c r="E1112" s="30" t="n"/>
      <c r="F1112" s="30" t="n"/>
      <c r="G1112" s="30" t="n"/>
      <c r="H1112" s="30" t="n"/>
      <c r="I1112" s="31" t="n"/>
      <c r="J1112" s="30" t="n"/>
      <c r="K1112" s="30" t="n"/>
      <c r="L1112" s="30" t="n"/>
      <c r="M1112" s="30" t="n"/>
      <c r="N1112" s="32" t="n"/>
      <c r="O1112" s="30" t="n"/>
      <c r="P1112" s="32" t="n"/>
      <c r="Q1112" s="30" t="n"/>
      <c r="R1112" s="32" t="n"/>
      <c r="S1112" s="30" t="n"/>
      <c r="T1112" s="30" t="n"/>
      <c r="U1112" s="30" t="n"/>
      <c r="V1112" s="30" t="n"/>
      <c r="W1112" s="29">
        <f>IF(H1112="","",IF(H1112="Kenya","Yes","No"))</f>
        <v/>
      </c>
      <c r="X1112" s="29">
        <f>IF(B1112="","",IF(COUNTIF($B$5:$B$3004,B1112)&gt;1,"DUPLICATE","OK"))</f>
        <v/>
      </c>
      <c r="Y1112" s="29">
        <f>IF(OR(U1112="",V1112="",V1112="Excluded"),"",IF(COUNTIFS($U$5:$U$3004,U1112,$V$5:$V$3004,"&lt;&gt;"&amp;V1112,$V$5:$V$3004,"&lt;&gt;",$V$5:$V$3004,"&lt;&gt;Excluded")&gt;0,"LEAK RISK","OK"))</f>
        <v/>
      </c>
      <c r="Z1112" s="30" t="n"/>
    </row>
    <row r="1113">
      <c r="A1113" s="30" t="n"/>
      <c r="B1113" s="30" t="n"/>
      <c r="C1113" s="30" t="n"/>
      <c r="D1113" s="30" t="n"/>
      <c r="E1113" s="30" t="n"/>
      <c r="F1113" s="30" t="n"/>
      <c r="G1113" s="30" t="n"/>
      <c r="H1113" s="30" t="n"/>
      <c r="I1113" s="31" t="n"/>
      <c r="J1113" s="30" t="n"/>
      <c r="K1113" s="30" t="n"/>
      <c r="L1113" s="30" t="n"/>
      <c r="M1113" s="30" t="n"/>
      <c r="N1113" s="32" t="n"/>
      <c r="O1113" s="30" t="n"/>
      <c r="P1113" s="32" t="n"/>
      <c r="Q1113" s="30" t="n"/>
      <c r="R1113" s="32" t="n"/>
      <c r="S1113" s="30" t="n"/>
      <c r="T1113" s="30" t="n"/>
      <c r="U1113" s="30" t="n"/>
      <c r="V1113" s="30" t="n"/>
      <c r="W1113" s="29">
        <f>IF(H1113="","",IF(H1113="Kenya","Yes","No"))</f>
        <v/>
      </c>
      <c r="X1113" s="29">
        <f>IF(B1113="","",IF(COUNTIF($B$5:$B$3004,B1113)&gt;1,"DUPLICATE","OK"))</f>
        <v/>
      </c>
      <c r="Y1113" s="29">
        <f>IF(OR(U1113="",V1113="",V1113="Excluded"),"",IF(COUNTIFS($U$5:$U$3004,U1113,$V$5:$V$3004,"&lt;&gt;"&amp;V1113,$V$5:$V$3004,"&lt;&gt;",$V$5:$V$3004,"&lt;&gt;Excluded")&gt;0,"LEAK RISK","OK"))</f>
        <v/>
      </c>
      <c r="Z1113" s="30" t="n"/>
    </row>
    <row r="1114">
      <c r="A1114" s="30" t="n"/>
      <c r="B1114" s="30" t="n"/>
      <c r="C1114" s="30" t="n"/>
      <c r="D1114" s="30" t="n"/>
      <c r="E1114" s="30" t="n"/>
      <c r="F1114" s="30" t="n"/>
      <c r="G1114" s="30" t="n"/>
      <c r="H1114" s="30" t="n"/>
      <c r="I1114" s="31" t="n"/>
      <c r="J1114" s="30" t="n"/>
      <c r="K1114" s="30" t="n"/>
      <c r="L1114" s="30" t="n"/>
      <c r="M1114" s="30" t="n"/>
      <c r="N1114" s="32" t="n"/>
      <c r="O1114" s="30" t="n"/>
      <c r="P1114" s="32" t="n"/>
      <c r="Q1114" s="30" t="n"/>
      <c r="R1114" s="32" t="n"/>
      <c r="S1114" s="30" t="n"/>
      <c r="T1114" s="30" t="n"/>
      <c r="U1114" s="30" t="n"/>
      <c r="V1114" s="30" t="n"/>
      <c r="W1114" s="29">
        <f>IF(H1114="","",IF(H1114="Kenya","Yes","No"))</f>
        <v/>
      </c>
      <c r="X1114" s="29">
        <f>IF(B1114="","",IF(COUNTIF($B$5:$B$3004,B1114)&gt;1,"DUPLICATE","OK"))</f>
        <v/>
      </c>
      <c r="Y1114" s="29">
        <f>IF(OR(U1114="",V1114="",V1114="Excluded"),"",IF(COUNTIFS($U$5:$U$3004,U1114,$V$5:$V$3004,"&lt;&gt;"&amp;V1114,$V$5:$V$3004,"&lt;&gt;",$V$5:$V$3004,"&lt;&gt;Excluded")&gt;0,"LEAK RISK","OK"))</f>
        <v/>
      </c>
      <c r="Z1114" s="30" t="n"/>
    </row>
    <row r="1115">
      <c r="A1115" s="30" t="n"/>
      <c r="B1115" s="30" t="n"/>
      <c r="C1115" s="30" t="n"/>
      <c r="D1115" s="30" t="n"/>
      <c r="E1115" s="30" t="n"/>
      <c r="F1115" s="30" t="n"/>
      <c r="G1115" s="30" t="n"/>
      <c r="H1115" s="30" t="n"/>
      <c r="I1115" s="31" t="n"/>
      <c r="J1115" s="30" t="n"/>
      <c r="K1115" s="30" t="n"/>
      <c r="L1115" s="30" t="n"/>
      <c r="M1115" s="30" t="n"/>
      <c r="N1115" s="32" t="n"/>
      <c r="O1115" s="30" t="n"/>
      <c r="P1115" s="32" t="n"/>
      <c r="Q1115" s="30" t="n"/>
      <c r="R1115" s="32" t="n"/>
      <c r="S1115" s="30" t="n"/>
      <c r="T1115" s="30" t="n"/>
      <c r="U1115" s="30" t="n"/>
      <c r="V1115" s="30" t="n"/>
      <c r="W1115" s="29">
        <f>IF(H1115="","",IF(H1115="Kenya","Yes","No"))</f>
        <v/>
      </c>
      <c r="X1115" s="29">
        <f>IF(B1115="","",IF(COUNTIF($B$5:$B$3004,B1115)&gt;1,"DUPLICATE","OK"))</f>
        <v/>
      </c>
      <c r="Y1115" s="29">
        <f>IF(OR(U1115="",V1115="",V1115="Excluded"),"",IF(COUNTIFS($U$5:$U$3004,U1115,$V$5:$V$3004,"&lt;&gt;"&amp;V1115,$V$5:$V$3004,"&lt;&gt;",$V$5:$V$3004,"&lt;&gt;Excluded")&gt;0,"LEAK RISK","OK"))</f>
        <v/>
      </c>
      <c r="Z1115" s="30" t="n"/>
    </row>
    <row r="1116">
      <c r="A1116" s="30" t="n"/>
      <c r="B1116" s="30" t="n"/>
      <c r="C1116" s="30" t="n"/>
      <c r="D1116" s="30" t="n"/>
      <c r="E1116" s="30" t="n"/>
      <c r="F1116" s="30" t="n"/>
      <c r="G1116" s="30" t="n"/>
      <c r="H1116" s="30" t="n"/>
      <c r="I1116" s="31" t="n"/>
      <c r="J1116" s="30" t="n"/>
      <c r="K1116" s="30" t="n"/>
      <c r="L1116" s="30" t="n"/>
      <c r="M1116" s="30" t="n"/>
      <c r="N1116" s="32" t="n"/>
      <c r="O1116" s="30" t="n"/>
      <c r="P1116" s="32" t="n"/>
      <c r="Q1116" s="30" t="n"/>
      <c r="R1116" s="32" t="n"/>
      <c r="S1116" s="30" t="n"/>
      <c r="T1116" s="30" t="n"/>
      <c r="U1116" s="30" t="n"/>
      <c r="V1116" s="30" t="n"/>
      <c r="W1116" s="29">
        <f>IF(H1116="","",IF(H1116="Kenya","Yes","No"))</f>
        <v/>
      </c>
      <c r="X1116" s="29">
        <f>IF(B1116="","",IF(COUNTIF($B$5:$B$3004,B1116)&gt;1,"DUPLICATE","OK"))</f>
        <v/>
      </c>
      <c r="Y1116" s="29">
        <f>IF(OR(U1116="",V1116="",V1116="Excluded"),"",IF(COUNTIFS($U$5:$U$3004,U1116,$V$5:$V$3004,"&lt;&gt;"&amp;V1116,$V$5:$V$3004,"&lt;&gt;",$V$5:$V$3004,"&lt;&gt;Excluded")&gt;0,"LEAK RISK","OK"))</f>
        <v/>
      </c>
      <c r="Z1116" s="30" t="n"/>
    </row>
    <row r="1117">
      <c r="A1117" s="30" t="n"/>
      <c r="B1117" s="30" t="n"/>
      <c r="C1117" s="30" t="n"/>
      <c r="D1117" s="30" t="n"/>
      <c r="E1117" s="30" t="n"/>
      <c r="F1117" s="30" t="n"/>
      <c r="G1117" s="30" t="n"/>
      <c r="H1117" s="30" t="n"/>
      <c r="I1117" s="31" t="n"/>
      <c r="J1117" s="30" t="n"/>
      <c r="K1117" s="30" t="n"/>
      <c r="L1117" s="30" t="n"/>
      <c r="M1117" s="30" t="n"/>
      <c r="N1117" s="32" t="n"/>
      <c r="O1117" s="30" t="n"/>
      <c r="P1117" s="32" t="n"/>
      <c r="Q1117" s="30" t="n"/>
      <c r="R1117" s="32" t="n"/>
      <c r="S1117" s="30" t="n"/>
      <c r="T1117" s="30" t="n"/>
      <c r="U1117" s="30" t="n"/>
      <c r="V1117" s="30" t="n"/>
      <c r="W1117" s="29">
        <f>IF(H1117="","",IF(H1117="Kenya","Yes","No"))</f>
        <v/>
      </c>
      <c r="X1117" s="29">
        <f>IF(B1117="","",IF(COUNTIF($B$5:$B$3004,B1117)&gt;1,"DUPLICATE","OK"))</f>
        <v/>
      </c>
      <c r="Y1117" s="29">
        <f>IF(OR(U1117="",V1117="",V1117="Excluded"),"",IF(COUNTIFS($U$5:$U$3004,U1117,$V$5:$V$3004,"&lt;&gt;"&amp;V1117,$V$5:$V$3004,"&lt;&gt;",$V$5:$V$3004,"&lt;&gt;Excluded")&gt;0,"LEAK RISK","OK"))</f>
        <v/>
      </c>
      <c r="Z1117" s="30" t="n"/>
    </row>
    <row r="1118">
      <c r="A1118" s="30" t="n"/>
      <c r="B1118" s="30" t="n"/>
      <c r="C1118" s="30" t="n"/>
      <c r="D1118" s="30" t="n"/>
      <c r="E1118" s="30" t="n"/>
      <c r="F1118" s="30" t="n"/>
      <c r="G1118" s="30" t="n"/>
      <c r="H1118" s="30" t="n"/>
      <c r="I1118" s="31" t="n"/>
      <c r="J1118" s="30" t="n"/>
      <c r="K1118" s="30" t="n"/>
      <c r="L1118" s="30" t="n"/>
      <c r="M1118" s="30" t="n"/>
      <c r="N1118" s="32" t="n"/>
      <c r="O1118" s="30" t="n"/>
      <c r="P1118" s="32" t="n"/>
      <c r="Q1118" s="30" t="n"/>
      <c r="R1118" s="32" t="n"/>
      <c r="S1118" s="30" t="n"/>
      <c r="T1118" s="30" t="n"/>
      <c r="U1118" s="30" t="n"/>
      <c r="V1118" s="30" t="n"/>
      <c r="W1118" s="29">
        <f>IF(H1118="","",IF(H1118="Kenya","Yes","No"))</f>
        <v/>
      </c>
      <c r="X1118" s="29">
        <f>IF(B1118="","",IF(COUNTIF($B$5:$B$3004,B1118)&gt;1,"DUPLICATE","OK"))</f>
        <v/>
      </c>
      <c r="Y1118" s="29">
        <f>IF(OR(U1118="",V1118="",V1118="Excluded"),"",IF(COUNTIFS($U$5:$U$3004,U1118,$V$5:$V$3004,"&lt;&gt;"&amp;V1118,$V$5:$V$3004,"&lt;&gt;",$V$5:$V$3004,"&lt;&gt;Excluded")&gt;0,"LEAK RISK","OK"))</f>
        <v/>
      </c>
      <c r="Z1118" s="30" t="n"/>
    </row>
    <row r="1119">
      <c r="A1119" s="30" t="n"/>
      <c r="B1119" s="30" t="n"/>
      <c r="C1119" s="30" t="n"/>
      <c r="D1119" s="30" t="n"/>
      <c r="E1119" s="30" t="n"/>
      <c r="F1119" s="30" t="n"/>
      <c r="G1119" s="30" t="n"/>
      <c r="H1119" s="30" t="n"/>
      <c r="I1119" s="31" t="n"/>
      <c r="J1119" s="30" t="n"/>
      <c r="K1119" s="30" t="n"/>
      <c r="L1119" s="30" t="n"/>
      <c r="M1119" s="30" t="n"/>
      <c r="N1119" s="32" t="n"/>
      <c r="O1119" s="30" t="n"/>
      <c r="P1119" s="32" t="n"/>
      <c r="Q1119" s="30" t="n"/>
      <c r="R1119" s="32" t="n"/>
      <c r="S1119" s="30" t="n"/>
      <c r="T1119" s="30" t="n"/>
      <c r="U1119" s="30" t="n"/>
      <c r="V1119" s="30" t="n"/>
      <c r="W1119" s="29">
        <f>IF(H1119="","",IF(H1119="Kenya","Yes","No"))</f>
        <v/>
      </c>
      <c r="X1119" s="29">
        <f>IF(B1119="","",IF(COUNTIF($B$5:$B$3004,B1119)&gt;1,"DUPLICATE","OK"))</f>
        <v/>
      </c>
      <c r="Y1119" s="29">
        <f>IF(OR(U1119="",V1119="",V1119="Excluded"),"",IF(COUNTIFS($U$5:$U$3004,U1119,$V$5:$V$3004,"&lt;&gt;"&amp;V1119,$V$5:$V$3004,"&lt;&gt;",$V$5:$V$3004,"&lt;&gt;Excluded")&gt;0,"LEAK RISK","OK"))</f>
        <v/>
      </c>
      <c r="Z1119" s="30" t="n"/>
    </row>
    <row r="1120">
      <c r="A1120" s="30" t="n"/>
      <c r="B1120" s="30" t="n"/>
      <c r="C1120" s="30" t="n"/>
      <c r="D1120" s="30" t="n"/>
      <c r="E1120" s="30" t="n"/>
      <c r="F1120" s="30" t="n"/>
      <c r="G1120" s="30" t="n"/>
      <c r="H1120" s="30" t="n"/>
      <c r="I1120" s="31" t="n"/>
      <c r="J1120" s="30" t="n"/>
      <c r="K1120" s="30" t="n"/>
      <c r="L1120" s="30" t="n"/>
      <c r="M1120" s="30" t="n"/>
      <c r="N1120" s="32" t="n"/>
      <c r="O1120" s="30" t="n"/>
      <c r="P1120" s="32" t="n"/>
      <c r="Q1120" s="30" t="n"/>
      <c r="R1120" s="32" t="n"/>
      <c r="S1120" s="30" t="n"/>
      <c r="T1120" s="30" t="n"/>
      <c r="U1120" s="30" t="n"/>
      <c r="V1120" s="30" t="n"/>
      <c r="W1120" s="29">
        <f>IF(H1120="","",IF(H1120="Kenya","Yes","No"))</f>
        <v/>
      </c>
      <c r="X1120" s="29">
        <f>IF(B1120="","",IF(COUNTIF($B$5:$B$3004,B1120)&gt;1,"DUPLICATE","OK"))</f>
        <v/>
      </c>
      <c r="Y1120" s="29">
        <f>IF(OR(U1120="",V1120="",V1120="Excluded"),"",IF(COUNTIFS($U$5:$U$3004,U1120,$V$5:$V$3004,"&lt;&gt;"&amp;V1120,$V$5:$V$3004,"&lt;&gt;",$V$5:$V$3004,"&lt;&gt;Excluded")&gt;0,"LEAK RISK","OK"))</f>
        <v/>
      </c>
      <c r="Z1120" s="30" t="n"/>
    </row>
    <row r="1121">
      <c r="A1121" s="30" t="n"/>
      <c r="B1121" s="30" t="n"/>
      <c r="C1121" s="30" t="n"/>
      <c r="D1121" s="30" t="n"/>
      <c r="E1121" s="30" t="n"/>
      <c r="F1121" s="30" t="n"/>
      <c r="G1121" s="30" t="n"/>
      <c r="H1121" s="30" t="n"/>
      <c r="I1121" s="31" t="n"/>
      <c r="J1121" s="30" t="n"/>
      <c r="K1121" s="30" t="n"/>
      <c r="L1121" s="30" t="n"/>
      <c r="M1121" s="30" t="n"/>
      <c r="N1121" s="32" t="n"/>
      <c r="O1121" s="30" t="n"/>
      <c r="P1121" s="32" t="n"/>
      <c r="Q1121" s="30" t="n"/>
      <c r="R1121" s="32" t="n"/>
      <c r="S1121" s="30" t="n"/>
      <c r="T1121" s="30" t="n"/>
      <c r="U1121" s="30" t="n"/>
      <c r="V1121" s="30" t="n"/>
      <c r="W1121" s="29">
        <f>IF(H1121="","",IF(H1121="Kenya","Yes","No"))</f>
        <v/>
      </c>
      <c r="X1121" s="29">
        <f>IF(B1121="","",IF(COUNTIF($B$5:$B$3004,B1121)&gt;1,"DUPLICATE","OK"))</f>
        <v/>
      </c>
      <c r="Y1121" s="29">
        <f>IF(OR(U1121="",V1121="",V1121="Excluded"),"",IF(COUNTIFS($U$5:$U$3004,U1121,$V$5:$V$3004,"&lt;&gt;"&amp;V1121,$V$5:$V$3004,"&lt;&gt;",$V$5:$V$3004,"&lt;&gt;Excluded")&gt;0,"LEAK RISK","OK"))</f>
        <v/>
      </c>
      <c r="Z1121" s="30" t="n"/>
    </row>
    <row r="1122">
      <c r="A1122" s="30" t="n"/>
      <c r="B1122" s="30" t="n"/>
      <c r="C1122" s="30" t="n"/>
      <c r="D1122" s="30" t="n"/>
      <c r="E1122" s="30" t="n"/>
      <c r="F1122" s="30" t="n"/>
      <c r="G1122" s="30" t="n"/>
      <c r="H1122" s="30" t="n"/>
      <c r="I1122" s="31" t="n"/>
      <c r="J1122" s="30" t="n"/>
      <c r="K1122" s="30" t="n"/>
      <c r="L1122" s="30" t="n"/>
      <c r="M1122" s="30" t="n"/>
      <c r="N1122" s="32" t="n"/>
      <c r="O1122" s="30" t="n"/>
      <c r="P1122" s="32" t="n"/>
      <c r="Q1122" s="30" t="n"/>
      <c r="R1122" s="32" t="n"/>
      <c r="S1122" s="30" t="n"/>
      <c r="T1122" s="30" t="n"/>
      <c r="U1122" s="30" t="n"/>
      <c r="V1122" s="30" t="n"/>
      <c r="W1122" s="29">
        <f>IF(H1122="","",IF(H1122="Kenya","Yes","No"))</f>
        <v/>
      </c>
      <c r="X1122" s="29">
        <f>IF(B1122="","",IF(COUNTIF($B$5:$B$3004,B1122)&gt;1,"DUPLICATE","OK"))</f>
        <v/>
      </c>
      <c r="Y1122" s="29">
        <f>IF(OR(U1122="",V1122="",V1122="Excluded"),"",IF(COUNTIFS($U$5:$U$3004,U1122,$V$5:$V$3004,"&lt;&gt;"&amp;V1122,$V$5:$V$3004,"&lt;&gt;",$V$5:$V$3004,"&lt;&gt;Excluded")&gt;0,"LEAK RISK","OK"))</f>
        <v/>
      </c>
      <c r="Z1122" s="30" t="n"/>
    </row>
    <row r="1123">
      <c r="A1123" s="30" t="n"/>
      <c r="B1123" s="30" t="n"/>
      <c r="C1123" s="30" t="n"/>
      <c r="D1123" s="30" t="n"/>
      <c r="E1123" s="30" t="n"/>
      <c r="F1123" s="30" t="n"/>
      <c r="G1123" s="30" t="n"/>
      <c r="H1123" s="30" t="n"/>
      <c r="I1123" s="31" t="n"/>
      <c r="J1123" s="30" t="n"/>
      <c r="K1123" s="30" t="n"/>
      <c r="L1123" s="30" t="n"/>
      <c r="M1123" s="30" t="n"/>
      <c r="N1123" s="32" t="n"/>
      <c r="O1123" s="30" t="n"/>
      <c r="P1123" s="32" t="n"/>
      <c r="Q1123" s="30" t="n"/>
      <c r="R1123" s="32" t="n"/>
      <c r="S1123" s="30" t="n"/>
      <c r="T1123" s="30" t="n"/>
      <c r="U1123" s="30" t="n"/>
      <c r="V1123" s="30" t="n"/>
      <c r="W1123" s="29">
        <f>IF(H1123="","",IF(H1123="Kenya","Yes","No"))</f>
        <v/>
      </c>
      <c r="X1123" s="29">
        <f>IF(B1123="","",IF(COUNTIF($B$5:$B$3004,B1123)&gt;1,"DUPLICATE","OK"))</f>
        <v/>
      </c>
      <c r="Y1123" s="29">
        <f>IF(OR(U1123="",V1123="",V1123="Excluded"),"",IF(COUNTIFS($U$5:$U$3004,U1123,$V$5:$V$3004,"&lt;&gt;"&amp;V1123,$V$5:$V$3004,"&lt;&gt;",$V$5:$V$3004,"&lt;&gt;Excluded")&gt;0,"LEAK RISK","OK"))</f>
        <v/>
      </c>
      <c r="Z1123" s="30" t="n"/>
    </row>
    <row r="1124">
      <c r="A1124" s="30" t="n"/>
      <c r="B1124" s="30" t="n"/>
      <c r="C1124" s="30" t="n"/>
      <c r="D1124" s="30" t="n"/>
      <c r="E1124" s="30" t="n"/>
      <c r="F1124" s="30" t="n"/>
      <c r="G1124" s="30" t="n"/>
      <c r="H1124" s="30" t="n"/>
      <c r="I1124" s="31" t="n"/>
      <c r="J1124" s="30" t="n"/>
      <c r="K1124" s="30" t="n"/>
      <c r="L1124" s="30" t="n"/>
      <c r="M1124" s="30" t="n"/>
      <c r="N1124" s="32" t="n"/>
      <c r="O1124" s="30" t="n"/>
      <c r="P1124" s="32" t="n"/>
      <c r="Q1124" s="30" t="n"/>
      <c r="R1124" s="32" t="n"/>
      <c r="S1124" s="30" t="n"/>
      <c r="T1124" s="30" t="n"/>
      <c r="U1124" s="30" t="n"/>
      <c r="V1124" s="30" t="n"/>
      <c r="W1124" s="29">
        <f>IF(H1124="","",IF(H1124="Kenya","Yes","No"))</f>
        <v/>
      </c>
      <c r="X1124" s="29">
        <f>IF(B1124="","",IF(COUNTIF($B$5:$B$3004,B1124)&gt;1,"DUPLICATE","OK"))</f>
        <v/>
      </c>
      <c r="Y1124" s="29">
        <f>IF(OR(U1124="",V1124="",V1124="Excluded"),"",IF(COUNTIFS($U$5:$U$3004,U1124,$V$5:$V$3004,"&lt;&gt;"&amp;V1124,$V$5:$V$3004,"&lt;&gt;",$V$5:$V$3004,"&lt;&gt;Excluded")&gt;0,"LEAK RISK","OK"))</f>
        <v/>
      </c>
      <c r="Z1124" s="30" t="n"/>
    </row>
    <row r="1125">
      <c r="A1125" s="30" t="n"/>
      <c r="B1125" s="30" t="n"/>
      <c r="C1125" s="30" t="n"/>
      <c r="D1125" s="30" t="n"/>
      <c r="E1125" s="30" t="n"/>
      <c r="F1125" s="30" t="n"/>
      <c r="G1125" s="30" t="n"/>
      <c r="H1125" s="30" t="n"/>
      <c r="I1125" s="31" t="n"/>
      <c r="J1125" s="30" t="n"/>
      <c r="K1125" s="30" t="n"/>
      <c r="L1125" s="30" t="n"/>
      <c r="M1125" s="30" t="n"/>
      <c r="N1125" s="32" t="n"/>
      <c r="O1125" s="30" t="n"/>
      <c r="P1125" s="32" t="n"/>
      <c r="Q1125" s="30" t="n"/>
      <c r="R1125" s="32" t="n"/>
      <c r="S1125" s="30" t="n"/>
      <c r="T1125" s="30" t="n"/>
      <c r="U1125" s="30" t="n"/>
      <c r="V1125" s="30" t="n"/>
      <c r="W1125" s="29">
        <f>IF(H1125="","",IF(H1125="Kenya","Yes","No"))</f>
        <v/>
      </c>
      <c r="X1125" s="29">
        <f>IF(B1125="","",IF(COUNTIF($B$5:$B$3004,B1125)&gt;1,"DUPLICATE","OK"))</f>
        <v/>
      </c>
      <c r="Y1125" s="29">
        <f>IF(OR(U1125="",V1125="",V1125="Excluded"),"",IF(COUNTIFS($U$5:$U$3004,U1125,$V$5:$V$3004,"&lt;&gt;"&amp;V1125,$V$5:$V$3004,"&lt;&gt;",$V$5:$V$3004,"&lt;&gt;Excluded")&gt;0,"LEAK RISK","OK"))</f>
        <v/>
      </c>
      <c r="Z1125" s="30" t="n"/>
    </row>
    <row r="1126">
      <c r="A1126" s="30" t="n"/>
      <c r="B1126" s="30" t="n"/>
      <c r="C1126" s="30" t="n"/>
      <c r="D1126" s="30" t="n"/>
      <c r="E1126" s="30" t="n"/>
      <c r="F1126" s="30" t="n"/>
      <c r="G1126" s="30" t="n"/>
      <c r="H1126" s="30" t="n"/>
      <c r="I1126" s="31" t="n"/>
      <c r="J1126" s="30" t="n"/>
      <c r="K1126" s="30" t="n"/>
      <c r="L1126" s="30" t="n"/>
      <c r="M1126" s="30" t="n"/>
      <c r="N1126" s="32" t="n"/>
      <c r="O1126" s="30" t="n"/>
      <c r="P1126" s="32" t="n"/>
      <c r="Q1126" s="30" t="n"/>
      <c r="R1126" s="32" t="n"/>
      <c r="S1126" s="30" t="n"/>
      <c r="T1126" s="30" t="n"/>
      <c r="U1126" s="30" t="n"/>
      <c r="V1126" s="30" t="n"/>
      <c r="W1126" s="29">
        <f>IF(H1126="","",IF(H1126="Kenya","Yes","No"))</f>
        <v/>
      </c>
      <c r="X1126" s="29">
        <f>IF(B1126="","",IF(COUNTIF($B$5:$B$3004,B1126)&gt;1,"DUPLICATE","OK"))</f>
        <v/>
      </c>
      <c r="Y1126" s="29">
        <f>IF(OR(U1126="",V1126="",V1126="Excluded"),"",IF(COUNTIFS($U$5:$U$3004,U1126,$V$5:$V$3004,"&lt;&gt;"&amp;V1126,$V$5:$V$3004,"&lt;&gt;",$V$5:$V$3004,"&lt;&gt;Excluded")&gt;0,"LEAK RISK","OK"))</f>
        <v/>
      </c>
      <c r="Z1126" s="30" t="n"/>
    </row>
    <row r="1127">
      <c r="A1127" s="30" t="n"/>
      <c r="B1127" s="30" t="n"/>
      <c r="C1127" s="30" t="n"/>
      <c r="D1127" s="30" t="n"/>
      <c r="E1127" s="30" t="n"/>
      <c r="F1127" s="30" t="n"/>
      <c r="G1127" s="30" t="n"/>
      <c r="H1127" s="30" t="n"/>
      <c r="I1127" s="31" t="n"/>
      <c r="J1127" s="30" t="n"/>
      <c r="K1127" s="30" t="n"/>
      <c r="L1127" s="30" t="n"/>
      <c r="M1127" s="30" t="n"/>
      <c r="N1127" s="32" t="n"/>
      <c r="O1127" s="30" t="n"/>
      <c r="P1127" s="32" t="n"/>
      <c r="Q1127" s="30" t="n"/>
      <c r="R1127" s="32" t="n"/>
      <c r="S1127" s="30" t="n"/>
      <c r="T1127" s="30" t="n"/>
      <c r="U1127" s="30" t="n"/>
      <c r="V1127" s="30" t="n"/>
      <c r="W1127" s="29">
        <f>IF(H1127="","",IF(H1127="Kenya","Yes","No"))</f>
        <v/>
      </c>
      <c r="X1127" s="29">
        <f>IF(B1127="","",IF(COUNTIF($B$5:$B$3004,B1127)&gt;1,"DUPLICATE","OK"))</f>
        <v/>
      </c>
      <c r="Y1127" s="29">
        <f>IF(OR(U1127="",V1127="",V1127="Excluded"),"",IF(COUNTIFS($U$5:$U$3004,U1127,$V$5:$V$3004,"&lt;&gt;"&amp;V1127,$V$5:$V$3004,"&lt;&gt;",$V$5:$V$3004,"&lt;&gt;Excluded")&gt;0,"LEAK RISK","OK"))</f>
        <v/>
      </c>
      <c r="Z1127" s="30" t="n"/>
    </row>
    <row r="1128">
      <c r="A1128" s="30" t="n"/>
      <c r="B1128" s="30" t="n"/>
      <c r="C1128" s="30" t="n"/>
      <c r="D1128" s="30" t="n"/>
      <c r="E1128" s="30" t="n"/>
      <c r="F1128" s="30" t="n"/>
      <c r="G1128" s="30" t="n"/>
      <c r="H1128" s="30" t="n"/>
      <c r="I1128" s="31" t="n"/>
      <c r="J1128" s="30" t="n"/>
      <c r="K1128" s="30" t="n"/>
      <c r="L1128" s="30" t="n"/>
      <c r="M1128" s="30" t="n"/>
      <c r="N1128" s="32" t="n"/>
      <c r="O1128" s="30" t="n"/>
      <c r="P1128" s="32" t="n"/>
      <c r="Q1128" s="30" t="n"/>
      <c r="R1128" s="32" t="n"/>
      <c r="S1128" s="30" t="n"/>
      <c r="T1128" s="30" t="n"/>
      <c r="U1128" s="30" t="n"/>
      <c r="V1128" s="30" t="n"/>
      <c r="W1128" s="29">
        <f>IF(H1128="","",IF(H1128="Kenya","Yes","No"))</f>
        <v/>
      </c>
      <c r="X1128" s="29">
        <f>IF(B1128="","",IF(COUNTIF($B$5:$B$3004,B1128)&gt;1,"DUPLICATE","OK"))</f>
        <v/>
      </c>
      <c r="Y1128" s="29">
        <f>IF(OR(U1128="",V1128="",V1128="Excluded"),"",IF(COUNTIFS($U$5:$U$3004,U1128,$V$5:$V$3004,"&lt;&gt;"&amp;V1128,$V$5:$V$3004,"&lt;&gt;",$V$5:$V$3004,"&lt;&gt;Excluded")&gt;0,"LEAK RISK","OK"))</f>
        <v/>
      </c>
      <c r="Z1128" s="30" t="n"/>
    </row>
    <row r="1129">
      <c r="A1129" s="30" t="n"/>
      <c r="B1129" s="30" t="n"/>
      <c r="C1129" s="30" t="n"/>
      <c r="D1129" s="30" t="n"/>
      <c r="E1129" s="30" t="n"/>
      <c r="F1129" s="30" t="n"/>
      <c r="G1129" s="30" t="n"/>
      <c r="H1129" s="30" t="n"/>
      <c r="I1129" s="31" t="n"/>
      <c r="J1129" s="30" t="n"/>
      <c r="K1129" s="30" t="n"/>
      <c r="L1129" s="30" t="n"/>
      <c r="M1129" s="30" t="n"/>
      <c r="N1129" s="32" t="n"/>
      <c r="O1129" s="30" t="n"/>
      <c r="P1129" s="32" t="n"/>
      <c r="Q1129" s="30" t="n"/>
      <c r="R1129" s="32" t="n"/>
      <c r="S1129" s="30" t="n"/>
      <c r="T1129" s="30" t="n"/>
      <c r="U1129" s="30" t="n"/>
      <c r="V1129" s="30" t="n"/>
      <c r="W1129" s="29">
        <f>IF(H1129="","",IF(H1129="Kenya","Yes","No"))</f>
        <v/>
      </c>
      <c r="X1129" s="29">
        <f>IF(B1129="","",IF(COUNTIF($B$5:$B$3004,B1129)&gt;1,"DUPLICATE","OK"))</f>
        <v/>
      </c>
      <c r="Y1129" s="29">
        <f>IF(OR(U1129="",V1129="",V1129="Excluded"),"",IF(COUNTIFS($U$5:$U$3004,U1129,$V$5:$V$3004,"&lt;&gt;"&amp;V1129,$V$5:$V$3004,"&lt;&gt;",$V$5:$V$3004,"&lt;&gt;Excluded")&gt;0,"LEAK RISK","OK"))</f>
        <v/>
      </c>
      <c r="Z1129" s="30" t="n"/>
    </row>
    <row r="1130">
      <c r="A1130" s="30" t="n"/>
      <c r="B1130" s="30" t="n"/>
      <c r="C1130" s="30" t="n"/>
      <c r="D1130" s="30" t="n"/>
      <c r="E1130" s="30" t="n"/>
      <c r="F1130" s="30" t="n"/>
      <c r="G1130" s="30" t="n"/>
      <c r="H1130" s="30" t="n"/>
      <c r="I1130" s="31" t="n"/>
      <c r="J1130" s="30" t="n"/>
      <c r="K1130" s="30" t="n"/>
      <c r="L1130" s="30" t="n"/>
      <c r="M1130" s="30" t="n"/>
      <c r="N1130" s="32" t="n"/>
      <c r="O1130" s="30" t="n"/>
      <c r="P1130" s="32" t="n"/>
      <c r="Q1130" s="30" t="n"/>
      <c r="R1130" s="32" t="n"/>
      <c r="S1130" s="30" t="n"/>
      <c r="T1130" s="30" t="n"/>
      <c r="U1130" s="30" t="n"/>
      <c r="V1130" s="30" t="n"/>
      <c r="W1130" s="29">
        <f>IF(H1130="","",IF(H1130="Kenya","Yes","No"))</f>
        <v/>
      </c>
      <c r="X1130" s="29">
        <f>IF(B1130="","",IF(COUNTIF($B$5:$B$3004,B1130)&gt;1,"DUPLICATE","OK"))</f>
        <v/>
      </c>
      <c r="Y1130" s="29">
        <f>IF(OR(U1130="",V1130="",V1130="Excluded"),"",IF(COUNTIFS($U$5:$U$3004,U1130,$V$5:$V$3004,"&lt;&gt;"&amp;V1130,$V$5:$V$3004,"&lt;&gt;",$V$5:$V$3004,"&lt;&gt;Excluded")&gt;0,"LEAK RISK","OK"))</f>
        <v/>
      </c>
      <c r="Z1130" s="30" t="n"/>
    </row>
    <row r="1131">
      <c r="A1131" s="30" t="n"/>
      <c r="B1131" s="30" t="n"/>
      <c r="C1131" s="30" t="n"/>
      <c r="D1131" s="30" t="n"/>
      <c r="E1131" s="30" t="n"/>
      <c r="F1131" s="30" t="n"/>
      <c r="G1131" s="30" t="n"/>
      <c r="H1131" s="30" t="n"/>
      <c r="I1131" s="31" t="n"/>
      <c r="J1131" s="30" t="n"/>
      <c r="K1131" s="30" t="n"/>
      <c r="L1131" s="30" t="n"/>
      <c r="M1131" s="30" t="n"/>
      <c r="N1131" s="32" t="n"/>
      <c r="O1131" s="30" t="n"/>
      <c r="P1131" s="32" t="n"/>
      <c r="Q1131" s="30" t="n"/>
      <c r="R1131" s="32" t="n"/>
      <c r="S1131" s="30" t="n"/>
      <c r="T1131" s="30" t="n"/>
      <c r="U1131" s="30" t="n"/>
      <c r="V1131" s="30" t="n"/>
      <c r="W1131" s="29">
        <f>IF(H1131="","",IF(H1131="Kenya","Yes","No"))</f>
        <v/>
      </c>
      <c r="X1131" s="29">
        <f>IF(B1131="","",IF(COUNTIF($B$5:$B$3004,B1131)&gt;1,"DUPLICATE","OK"))</f>
        <v/>
      </c>
      <c r="Y1131" s="29">
        <f>IF(OR(U1131="",V1131="",V1131="Excluded"),"",IF(COUNTIFS($U$5:$U$3004,U1131,$V$5:$V$3004,"&lt;&gt;"&amp;V1131,$V$5:$V$3004,"&lt;&gt;",$V$5:$V$3004,"&lt;&gt;Excluded")&gt;0,"LEAK RISK","OK"))</f>
        <v/>
      </c>
      <c r="Z1131" s="30" t="n"/>
    </row>
    <row r="1132">
      <c r="A1132" s="30" t="n"/>
      <c r="B1132" s="30" t="n"/>
      <c r="C1132" s="30" t="n"/>
      <c r="D1132" s="30" t="n"/>
      <c r="E1132" s="30" t="n"/>
      <c r="F1132" s="30" t="n"/>
      <c r="G1132" s="30" t="n"/>
      <c r="H1132" s="30" t="n"/>
      <c r="I1132" s="31" t="n"/>
      <c r="J1132" s="30" t="n"/>
      <c r="K1132" s="30" t="n"/>
      <c r="L1132" s="30" t="n"/>
      <c r="M1132" s="30" t="n"/>
      <c r="N1132" s="32" t="n"/>
      <c r="O1132" s="30" t="n"/>
      <c r="P1132" s="32" t="n"/>
      <c r="Q1132" s="30" t="n"/>
      <c r="R1132" s="32" t="n"/>
      <c r="S1132" s="30" t="n"/>
      <c r="T1132" s="30" t="n"/>
      <c r="U1132" s="30" t="n"/>
      <c r="V1132" s="30" t="n"/>
      <c r="W1132" s="29">
        <f>IF(H1132="","",IF(H1132="Kenya","Yes","No"))</f>
        <v/>
      </c>
      <c r="X1132" s="29">
        <f>IF(B1132="","",IF(COUNTIF($B$5:$B$3004,B1132)&gt;1,"DUPLICATE","OK"))</f>
        <v/>
      </c>
      <c r="Y1132" s="29">
        <f>IF(OR(U1132="",V1132="",V1132="Excluded"),"",IF(COUNTIFS($U$5:$U$3004,U1132,$V$5:$V$3004,"&lt;&gt;"&amp;V1132,$V$5:$V$3004,"&lt;&gt;",$V$5:$V$3004,"&lt;&gt;Excluded")&gt;0,"LEAK RISK","OK"))</f>
        <v/>
      </c>
      <c r="Z1132" s="30" t="n"/>
    </row>
    <row r="1133">
      <c r="A1133" s="30" t="n"/>
      <c r="B1133" s="30" t="n"/>
      <c r="C1133" s="30" t="n"/>
      <c r="D1133" s="30" t="n"/>
      <c r="E1133" s="30" t="n"/>
      <c r="F1133" s="30" t="n"/>
      <c r="G1133" s="30" t="n"/>
      <c r="H1133" s="30" t="n"/>
      <c r="I1133" s="31" t="n"/>
      <c r="J1133" s="30" t="n"/>
      <c r="K1133" s="30" t="n"/>
      <c r="L1133" s="30" t="n"/>
      <c r="M1133" s="30" t="n"/>
      <c r="N1133" s="32" t="n"/>
      <c r="O1133" s="30" t="n"/>
      <c r="P1133" s="32" t="n"/>
      <c r="Q1133" s="30" t="n"/>
      <c r="R1133" s="32" t="n"/>
      <c r="S1133" s="30" t="n"/>
      <c r="T1133" s="30" t="n"/>
      <c r="U1133" s="30" t="n"/>
      <c r="V1133" s="30" t="n"/>
      <c r="W1133" s="29">
        <f>IF(H1133="","",IF(H1133="Kenya","Yes","No"))</f>
        <v/>
      </c>
      <c r="X1133" s="29">
        <f>IF(B1133="","",IF(COUNTIF($B$5:$B$3004,B1133)&gt;1,"DUPLICATE","OK"))</f>
        <v/>
      </c>
      <c r="Y1133" s="29">
        <f>IF(OR(U1133="",V1133="",V1133="Excluded"),"",IF(COUNTIFS($U$5:$U$3004,U1133,$V$5:$V$3004,"&lt;&gt;"&amp;V1133,$V$5:$V$3004,"&lt;&gt;",$V$5:$V$3004,"&lt;&gt;Excluded")&gt;0,"LEAK RISK","OK"))</f>
        <v/>
      </c>
      <c r="Z1133" s="30" t="n"/>
    </row>
    <row r="1134">
      <c r="A1134" s="30" t="n"/>
      <c r="B1134" s="30" t="n"/>
      <c r="C1134" s="30" t="n"/>
      <c r="D1134" s="30" t="n"/>
      <c r="E1134" s="30" t="n"/>
      <c r="F1134" s="30" t="n"/>
      <c r="G1134" s="30" t="n"/>
      <c r="H1134" s="30" t="n"/>
      <c r="I1134" s="31" t="n"/>
      <c r="J1134" s="30" t="n"/>
      <c r="K1134" s="30" t="n"/>
      <c r="L1134" s="30" t="n"/>
      <c r="M1134" s="30" t="n"/>
      <c r="N1134" s="32" t="n"/>
      <c r="O1134" s="30" t="n"/>
      <c r="P1134" s="32" t="n"/>
      <c r="Q1134" s="30" t="n"/>
      <c r="R1134" s="32" t="n"/>
      <c r="S1134" s="30" t="n"/>
      <c r="T1134" s="30" t="n"/>
      <c r="U1134" s="30" t="n"/>
      <c r="V1134" s="30" t="n"/>
      <c r="W1134" s="29">
        <f>IF(H1134="","",IF(H1134="Kenya","Yes","No"))</f>
        <v/>
      </c>
      <c r="X1134" s="29">
        <f>IF(B1134="","",IF(COUNTIF($B$5:$B$3004,B1134)&gt;1,"DUPLICATE","OK"))</f>
        <v/>
      </c>
      <c r="Y1134" s="29">
        <f>IF(OR(U1134="",V1134="",V1134="Excluded"),"",IF(COUNTIFS($U$5:$U$3004,U1134,$V$5:$V$3004,"&lt;&gt;"&amp;V1134,$V$5:$V$3004,"&lt;&gt;",$V$5:$V$3004,"&lt;&gt;Excluded")&gt;0,"LEAK RISK","OK"))</f>
        <v/>
      </c>
      <c r="Z1134" s="30" t="n"/>
    </row>
    <row r="1135">
      <c r="A1135" s="30" t="n"/>
      <c r="B1135" s="30" t="n"/>
      <c r="C1135" s="30" t="n"/>
      <c r="D1135" s="30" t="n"/>
      <c r="E1135" s="30" t="n"/>
      <c r="F1135" s="30" t="n"/>
      <c r="G1135" s="30" t="n"/>
      <c r="H1135" s="30" t="n"/>
      <c r="I1135" s="31" t="n"/>
      <c r="J1135" s="30" t="n"/>
      <c r="K1135" s="30" t="n"/>
      <c r="L1135" s="30" t="n"/>
      <c r="M1135" s="30" t="n"/>
      <c r="N1135" s="32" t="n"/>
      <c r="O1135" s="30" t="n"/>
      <c r="P1135" s="32" t="n"/>
      <c r="Q1135" s="30" t="n"/>
      <c r="R1135" s="32" t="n"/>
      <c r="S1135" s="30" t="n"/>
      <c r="T1135" s="30" t="n"/>
      <c r="U1135" s="30" t="n"/>
      <c r="V1135" s="30" t="n"/>
      <c r="W1135" s="29">
        <f>IF(H1135="","",IF(H1135="Kenya","Yes","No"))</f>
        <v/>
      </c>
      <c r="X1135" s="29">
        <f>IF(B1135="","",IF(COUNTIF($B$5:$B$3004,B1135)&gt;1,"DUPLICATE","OK"))</f>
        <v/>
      </c>
      <c r="Y1135" s="29">
        <f>IF(OR(U1135="",V1135="",V1135="Excluded"),"",IF(COUNTIFS($U$5:$U$3004,U1135,$V$5:$V$3004,"&lt;&gt;"&amp;V1135,$V$5:$V$3004,"&lt;&gt;",$V$5:$V$3004,"&lt;&gt;Excluded")&gt;0,"LEAK RISK","OK"))</f>
        <v/>
      </c>
      <c r="Z1135" s="30" t="n"/>
    </row>
    <row r="1136">
      <c r="A1136" s="30" t="n"/>
      <c r="B1136" s="30" t="n"/>
      <c r="C1136" s="30" t="n"/>
      <c r="D1136" s="30" t="n"/>
      <c r="E1136" s="30" t="n"/>
      <c r="F1136" s="30" t="n"/>
      <c r="G1136" s="30" t="n"/>
      <c r="H1136" s="30" t="n"/>
      <c r="I1136" s="31" t="n"/>
      <c r="J1136" s="30" t="n"/>
      <c r="K1136" s="30" t="n"/>
      <c r="L1136" s="30" t="n"/>
      <c r="M1136" s="30" t="n"/>
      <c r="N1136" s="32" t="n"/>
      <c r="O1136" s="30" t="n"/>
      <c r="P1136" s="32" t="n"/>
      <c r="Q1136" s="30" t="n"/>
      <c r="R1136" s="32" t="n"/>
      <c r="S1136" s="30" t="n"/>
      <c r="T1136" s="30" t="n"/>
      <c r="U1136" s="30" t="n"/>
      <c r="V1136" s="30" t="n"/>
      <c r="W1136" s="29">
        <f>IF(H1136="","",IF(H1136="Kenya","Yes","No"))</f>
        <v/>
      </c>
      <c r="X1136" s="29">
        <f>IF(B1136="","",IF(COUNTIF($B$5:$B$3004,B1136)&gt;1,"DUPLICATE","OK"))</f>
        <v/>
      </c>
      <c r="Y1136" s="29">
        <f>IF(OR(U1136="",V1136="",V1136="Excluded"),"",IF(COUNTIFS($U$5:$U$3004,U1136,$V$5:$V$3004,"&lt;&gt;"&amp;V1136,$V$5:$V$3004,"&lt;&gt;",$V$5:$V$3004,"&lt;&gt;Excluded")&gt;0,"LEAK RISK","OK"))</f>
        <v/>
      </c>
      <c r="Z1136" s="30" t="n"/>
    </row>
    <row r="1137">
      <c r="A1137" s="30" t="n"/>
      <c r="B1137" s="30" t="n"/>
      <c r="C1137" s="30" t="n"/>
      <c r="D1137" s="30" t="n"/>
      <c r="E1137" s="30" t="n"/>
      <c r="F1137" s="30" t="n"/>
      <c r="G1137" s="30" t="n"/>
      <c r="H1137" s="30" t="n"/>
      <c r="I1137" s="31" t="n"/>
      <c r="J1137" s="30" t="n"/>
      <c r="K1137" s="30" t="n"/>
      <c r="L1137" s="30" t="n"/>
      <c r="M1137" s="30" t="n"/>
      <c r="N1137" s="32" t="n"/>
      <c r="O1137" s="30" t="n"/>
      <c r="P1137" s="32" t="n"/>
      <c r="Q1137" s="30" t="n"/>
      <c r="R1137" s="32" t="n"/>
      <c r="S1137" s="30" t="n"/>
      <c r="T1137" s="30" t="n"/>
      <c r="U1137" s="30" t="n"/>
      <c r="V1137" s="30" t="n"/>
      <c r="W1137" s="29">
        <f>IF(H1137="","",IF(H1137="Kenya","Yes","No"))</f>
        <v/>
      </c>
      <c r="X1137" s="29">
        <f>IF(B1137="","",IF(COUNTIF($B$5:$B$3004,B1137)&gt;1,"DUPLICATE","OK"))</f>
        <v/>
      </c>
      <c r="Y1137" s="29">
        <f>IF(OR(U1137="",V1137="",V1137="Excluded"),"",IF(COUNTIFS($U$5:$U$3004,U1137,$V$5:$V$3004,"&lt;&gt;"&amp;V1137,$V$5:$V$3004,"&lt;&gt;",$V$5:$V$3004,"&lt;&gt;Excluded")&gt;0,"LEAK RISK","OK"))</f>
        <v/>
      </c>
      <c r="Z1137" s="30" t="n"/>
    </row>
    <row r="1138">
      <c r="A1138" s="30" t="n"/>
      <c r="B1138" s="30" t="n"/>
      <c r="C1138" s="30" t="n"/>
      <c r="D1138" s="30" t="n"/>
      <c r="E1138" s="30" t="n"/>
      <c r="F1138" s="30" t="n"/>
      <c r="G1138" s="30" t="n"/>
      <c r="H1138" s="30" t="n"/>
      <c r="I1138" s="31" t="n"/>
      <c r="J1138" s="30" t="n"/>
      <c r="K1138" s="30" t="n"/>
      <c r="L1138" s="30" t="n"/>
      <c r="M1138" s="30" t="n"/>
      <c r="N1138" s="32" t="n"/>
      <c r="O1138" s="30" t="n"/>
      <c r="P1138" s="32" t="n"/>
      <c r="Q1138" s="30" t="n"/>
      <c r="R1138" s="32" t="n"/>
      <c r="S1138" s="30" t="n"/>
      <c r="T1138" s="30" t="n"/>
      <c r="U1138" s="30" t="n"/>
      <c r="V1138" s="30" t="n"/>
      <c r="W1138" s="29">
        <f>IF(H1138="","",IF(H1138="Kenya","Yes","No"))</f>
        <v/>
      </c>
      <c r="X1138" s="29">
        <f>IF(B1138="","",IF(COUNTIF($B$5:$B$3004,B1138)&gt;1,"DUPLICATE","OK"))</f>
        <v/>
      </c>
      <c r="Y1138" s="29">
        <f>IF(OR(U1138="",V1138="",V1138="Excluded"),"",IF(COUNTIFS($U$5:$U$3004,U1138,$V$5:$V$3004,"&lt;&gt;"&amp;V1138,$V$5:$V$3004,"&lt;&gt;",$V$5:$V$3004,"&lt;&gt;Excluded")&gt;0,"LEAK RISK","OK"))</f>
        <v/>
      </c>
      <c r="Z1138" s="30" t="n"/>
    </row>
    <row r="1139">
      <c r="A1139" s="30" t="n"/>
      <c r="B1139" s="30" t="n"/>
      <c r="C1139" s="30" t="n"/>
      <c r="D1139" s="30" t="n"/>
      <c r="E1139" s="30" t="n"/>
      <c r="F1139" s="30" t="n"/>
      <c r="G1139" s="30" t="n"/>
      <c r="H1139" s="30" t="n"/>
      <c r="I1139" s="31" t="n"/>
      <c r="J1139" s="30" t="n"/>
      <c r="K1139" s="30" t="n"/>
      <c r="L1139" s="30" t="n"/>
      <c r="M1139" s="30" t="n"/>
      <c r="N1139" s="32" t="n"/>
      <c r="O1139" s="30" t="n"/>
      <c r="P1139" s="32" t="n"/>
      <c r="Q1139" s="30" t="n"/>
      <c r="R1139" s="32" t="n"/>
      <c r="S1139" s="30" t="n"/>
      <c r="T1139" s="30" t="n"/>
      <c r="U1139" s="30" t="n"/>
      <c r="V1139" s="30" t="n"/>
      <c r="W1139" s="29">
        <f>IF(H1139="","",IF(H1139="Kenya","Yes","No"))</f>
        <v/>
      </c>
      <c r="X1139" s="29">
        <f>IF(B1139="","",IF(COUNTIF($B$5:$B$3004,B1139)&gt;1,"DUPLICATE","OK"))</f>
        <v/>
      </c>
      <c r="Y1139" s="29">
        <f>IF(OR(U1139="",V1139="",V1139="Excluded"),"",IF(COUNTIFS($U$5:$U$3004,U1139,$V$5:$V$3004,"&lt;&gt;"&amp;V1139,$V$5:$V$3004,"&lt;&gt;",$V$5:$V$3004,"&lt;&gt;Excluded")&gt;0,"LEAK RISK","OK"))</f>
        <v/>
      </c>
      <c r="Z1139" s="30" t="n"/>
    </row>
    <row r="1140">
      <c r="A1140" s="30" t="n"/>
      <c r="B1140" s="30" t="n"/>
      <c r="C1140" s="30" t="n"/>
      <c r="D1140" s="30" t="n"/>
      <c r="E1140" s="30" t="n"/>
      <c r="F1140" s="30" t="n"/>
      <c r="G1140" s="30" t="n"/>
      <c r="H1140" s="30" t="n"/>
      <c r="I1140" s="31" t="n"/>
      <c r="J1140" s="30" t="n"/>
      <c r="K1140" s="30" t="n"/>
      <c r="L1140" s="30" t="n"/>
      <c r="M1140" s="30" t="n"/>
      <c r="N1140" s="32" t="n"/>
      <c r="O1140" s="30" t="n"/>
      <c r="P1140" s="32" t="n"/>
      <c r="Q1140" s="30" t="n"/>
      <c r="R1140" s="32" t="n"/>
      <c r="S1140" s="30" t="n"/>
      <c r="T1140" s="30" t="n"/>
      <c r="U1140" s="30" t="n"/>
      <c r="V1140" s="30" t="n"/>
      <c r="W1140" s="29">
        <f>IF(H1140="","",IF(H1140="Kenya","Yes","No"))</f>
        <v/>
      </c>
      <c r="X1140" s="29">
        <f>IF(B1140="","",IF(COUNTIF($B$5:$B$3004,B1140)&gt;1,"DUPLICATE","OK"))</f>
        <v/>
      </c>
      <c r="Y1140" s="29">
        <f>IF(OR(U1140="",V1140="",V1140="Excluded"),"",IF(COUNTIFS($U$5:$U$3004,U1140,$V$5:$V$3004,"&lt;&gt;"&amp;V1140,$V$5:$V$3004,"&lt;&gt;",$V$5:$V$3004,"&lt;&gt;Excluded")&gt;0,"LEAK RISK","OK"))</f>
        <v/>
      </c>
      <c r="Z1140" s="30" t="n"/>
    </row>
    <row r="1141">
      <c r="A1141" s="30" t="n"/>
      <c r="B1141" s="30" t="n"/>
      <c r="C1141" s="30" t="n"/>
      <c r="D1141" s="30" t="n"/>
      <c r="E1141" s="30" t="n"/>
      <c r="F1141" s="30" t="n"/>
      <c r="G1141" s="30" t="n"/>
      <c r="H1141" s="30" t="n"/>
      <c r="I1141" s="31" t="n"/>
      <c r="J1141" s="30" t="n"/>
      <c r="K1141" s="30" t="n"/>
      <c r="L1141" s="30" t="n"/>
      <c r="M1141" s="30" t="n"/>
      <c r="N1141" s="32" t="n"/>
      <c r="O1141" s="30" t="n"/>
      <c r="P1141" s="32" t="n"/>
      <c r="Q1141" s="30" t="n"/>
      <c r="R1141" s="32" t="n"/>
      <c r="S1141" s="30" t="n"/>
      <c r="T1141" s="30" t="n"/>
      <c r="U1141" s="30" t="n"/>
      <c r="V1141" s="30" t="n"/>
      <c r="W1141" s="29">
        <f>IF(H1141="","",IF(H1141="Kenya","Yes","No"))</f>
        <v/>
      </c>
      <c r="X1141" s="29">
        <f>IF(B1141="","",IF(COUNTIF($B$5:$B$3004,B1141)&gt;1,"DUPLICATE","OK"))</f>
        <v/>
      </c>
      <c r="Y1141" s="29">
        <f>IF(OR(U1141="",V1141="",V1141="Excluded"),"",IF(COUNTIFS($U$5:$U$3004,U1141,$V$5:$V$3004,"&lt;&gt;"&amp;V1141,$V$5:$V$3004,"&lt;&gt;",$V$5:$V$3004,"&lt;&gt;Excluded")&gt;0,"LEAK RISK","OK"))</f>
        <v/>
      </c>
      <c r="Z1141" s="30" t="n"/>
    </row>
    <row r="1142">
      <c r="A1142" s="30" t="n"/>
      <c r="B1142" s="30" t="n"/>
      <c r="C1142" s="30" t="n"/>
      <c r="D1142" s="30" t="n"/>
      <c r="E1142" s="30" t="n"/>
      <c r="F1142" s="30" t="n"/>
      <c r="G1142" s="30" t="n"/>
      <c r="H1142" s="30" t="n"/>
      <c r="I1142" s="31" t="n"/>
      <c r="J1142" s="30" t="n"/>
      <c r="K1142" s="30" t="n"/>
      <c r="L1142" s="30" t="n"/>
      <c r="M1142" s="30" t="n"/>
      <c r="N1142" s="32" t="n"/>
      <c r="O1142" s="30" t="n"/>
      <c r="P1142" s="32" t="n"/>
      <c r="Q1142" s="30" t="n"/>
      <c r="R1142" s="32" t="n"/>
      <c r="S1142" s="30" t="n"/>
      <c r="T1142" s="30" t="n"/>
      <c r="U1142" s="30" t="n"/>
      <c r="V1142" s="30" t="n"/>
      <c r="W1142" s="29">
        <f>IF(H1142="","",IF(H1142="Kenya","Yes","No"))</f>
        <v/>
      </c>
      <c r="X1142" s="29">
        <f>IF(B1142="","",IF(COUNTIF($B$5:$B$3004,B1142)&gt;1,"DUPLICATE","OK"))</f>
        <v/>
      </c>
      <c r="Y1142" s="29">
        <f>IF(OR(U1142="",V1142="",V1142="Excluded"),"",IF(COUNTIFS($U$5:$U$3004,U1142,$V$5:$V$3004,"&lt;&gt;"&amp;V1142,$V$5:$V$3004,"&lt;&gt;",$V$5:$V$3004,"&lt;&gt;Excluded")&gt;0,"LEAK RISK","OK"))</f>
        <v/>
      </c>
      <c r="Z1142" s="30" t="n"/>
    </row>
    <row r="1143">
      <c r="A1143" s="30" t="n"/>
      <c r="B1143" s="30" t="n"/>
      <c r="C1143" s="30" t="n"/>
      <c r="D1143" s="30" t="n"/>
      <c r="E1143" s="30" t="n"/>
      <c r="F1143" s="30" t="n"/>
      <c r="G1143" s="30" t="n"/>
      <c r="H1143" s="30" t="n"/>
      <c r="I1143" s="31" t="n"/>
      <c r="J1143" s="30" t="n"/>
      <c r="K1143" s="30" t="n"/>
      <c r="L1143" s="30" t="n"/>
      <c r="M1143" s="30" t="n"/>
      <c r="N1143" s="32" t="n"/>
      <c r="O1143" s="30" t="n"/>
      <c r="P1143" s="32" t="n"/>
      <c r="Q1143" s="30" t="n"/>
      <c r="R1143" s="32" t="n"/>
      <c r="S1143" s="30" t="n"/>
      <c r="T1143" s="30" t="n"/>
      <c r="U1143" s="30" t="n"/>
      <c r="V1143" s="30" t="n"/>
      <c r="W1143" s="29">
        <f>IF(H1143="","",IF(H1143="Kenya","Yes","No"))</f>
        <v/>
      </c>
      <c r="X1143" s="29">
        <f>IF(B1143="","",IF(COUNTIF($B$5:$B$3004,B1143)&gt;1,"DUPLICATE","OK"))</f>
        <v/>
      </c>
      <c r="Y1143" s="29">
        <f>IF(OR(U1143="",V1143="",V1143="Excluded"),"",IF(COUNTIFS($U$5:$U$3004,U1143,$V$5:$V$3004,"&lt;&gt;"&amp;V1143,$V$5:$V$3004,"&lt;&gt;",$V$5:$V$3004,"&lt;&gt;Excluded")&gt;0,"LEAK RISK","OK"))</f>
        <v/>
      </c>
      <c r="Z1143" s="30" t="n"/>
    </row>
    <row r="1144">
      <c r="A1144" s="30" t="n"/>
      <c r="B1144" s="30" t="n"/>
      <c r="C1144" s="30" t="n"/>
      <c r="D1144" s="30" t="n"/>
      <c r="E1144" s="30" t="n"/>
      <c r="F1144" s="30" t="n"/>
      <c r="G1144" s="30" t="n"/>
      <c r="H1144" s="30" t="n"/>
      <c r="I1144" s="31" t="n"/>
      <c r="J1144" s="30" t="n"/>
      <c r="K1144" s="30" t="n"/>
      <c r="L1144" s="30" t="n"/>
      <c r="M1144" s="30" t="n"/>
      <c r="N1144" s="32" t="n"/>
      <c r="O1144" s="30" t="n"/>
      <c r="P1144" s="32" t="n"/>
      <c r="Q1144" s="30" t="n"/>
      <c r="R1144" s="32" t="n"/>
      <c r="S1144" s="30" t="n"/>
      <c r="T1144" s="30" t="n"/>
      <c r="U1144" s="30" t="n"/>
      <c r="V1144" s="30" t="n"/>
      <c r="W1144" s="29">
        <f>IF(H1144="","",IF(H1144="Kenya","Yes","No"))</f>
        <v/>
      </c>
      <c r="X1144" s="29">
        <f>IF(B1144="","",IF(COUNTIF($B$5:$B$3004,B1144)&gt;1,"DUPLICATE","OK"))</f>
        <v/>
      </c>
      <c r="Y1144" s="29">
        <f>IF(OR(U1144="",V1144="",V1144="Excluded"),"",IF(COUNTIFS($U$5:$U$3004,U1144,$V$5:$V$3004,"&lt;&gt;"&amp;V1144,$V$5:$V$3004,"&lt;&gt;",$V$5:$V$3004,"&lt;&gt;Excluded")&gt;0,"LEAK RISK","OK"))</f>
        <v/>
      </c>
      <c r="Z1144" s="30" t="n"/>
    </row>
    <row r="1145">
      <c r="A1145" s="30" t="n"/>
      <c r="B1145" s="30" t="n"/>
      <c r="C1145" s="30" t="n"/>
      <c r="D1145" s="30" t="n"/>
      <c r="E1145" s="30" t="n"/>
      <c r="F1145" s="30" t="n"/>
      <c r="G1145" s="30" t="n"/>
      <c r="H1145" s="30" t="n"/>
      <c r="I1145" s="31" t="n"/>
      <c r="J1145" s="30" t="n"/>
      <c r="K1145" s="30" t="n"/>
      <c r="L1145" s="30" t="n"/>
      <c r="M1145" s="30" t="n"/>
      <c r="N1145" s="32" t="n"/>
      <c r="O1145" s="30" t="n"/>
      <c r="P1145" s="32" t="n"/>
      <c r="Q1145" s="30" t="n"/>
      <c r="R1145" s="32" t="n"/>
      <c r="S1145" s="30" t="n"/>
      <c r="T1145" s="30" t="n"/>
      <c r="U1145" s="30" t="n"/>
      <c r="V1145" s="30" t="n"/>
      <c r="W1145" s="29">
        <f>IF(H1145="","",IF(H1145="Kenya","Yes","No"))</f>
        <v/>
      </c>
      <c r="X1145" s="29">
        <f>IF(B1145="","",IF(COUNTIF($B$5:$B$3004,B1145)&gt;1,"DUPLICATE","OK"))</f>
        <v/>
      </c>
      <c r="Y1145" s="29">
        <f>IF(OR(U1145="",V1145="",V1145="Excluded"),"",IF(COUNTIFS($U$5:$U$3004,U1145,$V$5:$V$3004,"&lt;&gt;"&amp;V1145,$V$5:$V$3004,"&lt;&gt;",$V$5:$V$3004,"&lt;&gt;Excluded")&gt;0,"LEAK RISK","OK"))</f>
        <v/>
      </c>
      <c r="Z1145" s="30" t="n"/>
    </row>
    <row r="1146">
      <c r="A1146" s="30" t="n"/>
      <c r="B1146" s="30" t="n"/>
      <c r="C1146" s="30" t="n"/>
      <c r="D1146" s="30" t="n"/>
      <c r="E1146" s="30" t="n"/>
      <c r="F1146" s="30" t="n"/>
      <c r="G1146" s="30" t="n"/>
      <c r="H1146" s="30" t="n"/>
      <c r="I1146" s="31" t="n"/>
      <c r="J1146" s="30" t="n"/>
      <c r="K1146" s="30" t="n"/>
      <c r="L1146" s="30" t="n"/>
      <c r="M1146" s="30" t="n"/>
      <c r="N1146" s="32" t="n"/>
      <c r="O1146" s="30" t="n"/>
      <c r="P1146" s="32" t="n"/>
      <c r="Q1146" s="30" t="n"/>
      <c r="R1146" s="32" t="n"/>
      <c r="S1146" s="30" t="n"/>
      <c r="T1146" s="30" t="n"/>
      <c r="U1146" s="30" t="n"/>
      <c r="V1146" s="30" t="n"/>
      <c r="W1146" s="29">
        <f>IF(H1146="","",IF(H1146="Kenya","Yes","No"))</f>
        <v/>
      </c>
      <c r="X1146" s="29">
        <f>IF(B1146="","",IF(COUNTIF($B$5:$B$3004,B1146)&gt;1,"DUPLICATE","OK"))</f>
        <v/>
      </c>
      <c r="Y1146" s="29">
        <f>IF(OR(U1146="",V1146="",V1146="Excluded"),"",IF(COUNTIFS($U$5:$U$3004,U1146,$V$5:$V$3004,"&lt;&gt;"&amp;V1146,$V$5:$V$3004,"&lt;&gt;",$V$5:$V$3004,"&lt;&gt;Excluded")&gt;0,"LEAK RISK","OK"))</f>
        <v/>
      </c>
      <c r="Z1146" s="30" t="n"/>
    </row>
    <row r="1147">
      <c r="A1147" s="30" t="n"/>
      <c r="B1147" s="30" t="n"/>
      <c r="C1147" s="30" t="n"/>
      <c r="D1147" s="30" t="n"/>
      <c r="E1147" s="30" t="n"/>
      <c r="F1147" s="30" t="n"/>
      <c r="G1147" s="30" t="n"/>
      <c r="H1147" s="30" t="n"/>
      <c r="I1147" s="31" t="n"/>
      <c r="J1147" s="30" t="n"/>
      <c r="K1147" s="30" t="n"/>
      <c r="L1147" s="30" t="n"/>
      <c r="M1147" s="30" t="n"/>
      <c r="N1147" s="32" t="n"/>
      <c r="O1147" s="30" t="n"/>
      <c r="P1147" s="32" t="n"/>
      <c r="Q1147" s="30" t="n"/>
      <c r="R1147" s="32" t="n"/>
      <c r="S1147" s="30" t="n"/>
      <c r="T1147" s="30" t="n"/>
      <c r="U1147" s="30" t="n"/>
      <c r="V1147" s="30" t="n"/>
      <c r="W1147" s="29">
        <f>IF(H1147="","",IF(H1147="Kenya","Yes","No"))</f>
        <v/>
      </c>
      <c r="X1147" s="29">
        <f>IF(B1147="","",IF(COUNTIF($B$5:$B$3004,B1147)&gt;1,"DUPLICATE","OK"))</f>
        <v/>
      </c>
      <c r="Y1147" s="29">
        <f>IF(OR(U1147="",V1147="",V1147="Excluded"),"",IF(COUNTIFS($U$5:$U$3004,U1147,$V$5:$V$3004,"&lt;&gt;"&amp;V1147,$V$5:$V$3004,"&lt;&gt;",$V$5:$V$3004,"&lt;&gt;Excluded")&gt;0,"LEAK RISK","OK"))</f>
        <v/>
      </c>
      <c r="Z1147" s="30" t="n"/>
    </row>
    <row r="1148">
      <c r="A1148" s="30" t="n"/>
      <c r="B1148" s="30" t="n"/>
      <c r="C1148" s="30" t="n"/>
      <c r="D1148" s="30" t="n"/>
      <c r="E1148" s="30" t="n"/>
      <c r="F1148" s="30" t="n"/>
      <c r="G1148" s="30" t="n"/>
      <c r="H1148" s="30" t="n"/>
      <c r="I1148" s="31" t="n"/>
      <c r="J1148" s="30" t="n"/>
      <c r="K1148" s="30" t="n"/>
      <c r="L1148" s="30" t="n"/>
      <c r="M1148" s="30" t="n"/>
      <c r="N1148" s="32" t="n"/>
      <c r="O1148" s="30" t="n"/>
      <c r="P1148" s="32" t="n"/>
      <c r="Q1148" s="30" t="n"/>
      <c r="R1148" s="32" t="n"/>
      <c r="S1148" s="30" t="n"/>
      <c r="T1148" s="30" t="n"/>
      <c r="U1148" s="30" t="n"/>
      <c r="V1148" s="30" t="n"/>
      <c r="W1148" s="29">
        <f>IF(H1148="","",IF(H1148="Kenya","Yes","No"))</f>
        <v/>
      </c>
      <c r="X1148" s="29">
        <f>IF(B1148="","",IF(COUNTIF($B$5:$B$3004,B1148)&gt;1,"DUPLICATE","OK"))</f>
        <v/>
      </c>
      <c r="Y1148" s="29">
        <f>IF(OR(U1148="",V1148="",V1148="Excluded"),"",IF(COUNTIFS($U$5:$U$3004,U1148,$V$5:$V$3004,"&lt;&gt;"&amp;V1148,$V$5:$V$3004,"&lt;&gt;",$V$5:$V$3004,"&lt;&gt;Excluded")&gt;0,"LEAK RISK","OK"))</f>
        <v/>
      </c>
      <c r="Z1148" s="30" t="n"/>
    </row>
    <row r="1149">
      <c r="A1149" s="30" t="n"/>
      <c r="B1149" s="30" t="n"/>
      <c r="C1149" s="30" t="n"/>
      <c r="D1149" s="30" t="n"/>
      <c r="E1149" s="30" t="n"/>
      <c r="F1149" s="30" t="n"/>
      <c r="G1149" s="30" t="n"/>
      <c r="H1149" s="30" t="n"/>
      <c r="I1149" s="31" t="n"/>
      <c r="J1149" s="30" t="n"/>
      <c r="K1149" s="30" t="n"/>
      <c r="L1149" s="30" t="n"/>
      <c r="M1149" s="30" t="n"/>
      <c r="N1149" s="32" t="n"/>
      <c r="O1149" s="30" t="n"/>
      <c r="P1149" s="32" t="n"/>
      <c r="Q1149" s="30" t="n"/>
      <c r="R1149" s="32" t="n"/>
      <c r="S1149" s="30" t="n"/>
      <c r="T1149" s="30" t="n"/>
      <c r="U1149" s="30" t="n"/>
      <c r="V1149" s="30" t="n"/>
      <c r="W1149" s="29">
        <f>IF(H1149="","",IF(H1149="Kenya","Yes","No"))</f>
        <v/>
      </c>
      <c r="X1149" s="29">
        <f>IF(B1149="","",IF(COUNTIF($B$5:$B$3004,B1149)&gt;1,"DUPLICATE","OK"))</f>
        <v/>
      </c>
      <c r="Y1149" s="29">
        <f>IF(OR(U1149="",V1149="",V1149="Excluded"),"",IF(COUNTIFS($U$5:$U$3004,U1149,$V$5:$V$3004,"&lt;&gt;"&amp;V1149,$V$5:$V$3004,"&lt;&gt;",$V$5:$V$3004,"&lt;&gt;Excluded")&gt;0,"LEAK RISK","OK"))</f>
        <v/>
      </c>
      <c r="Z1149" s="30" t="n"/>
    </row>
    <row r="1150">
      <c r="A1150" s="30" t="n"/>
      <c r="B1150" s="30" t="n"/>
      <c r="C1150" s="30" t="n"/>
      <c r="D1150" s="30" t="n"/>
      <c r="E1150" s="30" t="n"/>
      <c r="F1150" s="30" t="n"/>
      <c r="G1150" s="30" t="n"/>
      <c r="H1150" s="30" t="n"/>
      <c r="I1150" s="31" t="n"/>
      <c r="J1150" s="30" t="n"/>
      <c r="K1150" s="30" t="n"/>
      <c r="L1150" s="30" t="n"/>
      <c r="M1150" s="30" t="n"/>
      <c r="N1150" s="32" t="n"/>
      <c r="O1150" s="30" t="n"/>
      <c r="P1150" s="32" t="n"/>
      <c r="Q1150" s="30" t="n"/>
      <c r="R1150" s="32" t="n"/>
      <c r="S1150" s="30" t="n"/>
      <c r="T1150" s="30" t="n"/>
      <c r="U1150" s="30" t="n"/>
      <c r="V1150" s="30" t="n"/>
      <c r="W1150" s="29">
        <f>IF(H1150="","",IF(H1150="Kenya","Yes","No"))</f>
        <v/>
      </c>
      <c r="X1150" s="29">
        <f>IF(B1150="","",IF(COUNTIF($B$5:$B$3004,B1150)&gt;1,"DUPLICATE","OK"))</f>
        <v/>
      </c>
      <c r="Y1150" s="29">
        <f>IF(OR(U1150="",V1150="",V1150="Excluded"),"",IF(COUNTIFS($U$5:$U$3004,U1150,$V$5:$V$3004,"&lt;&gt;"&amp;V1150,$V$5:$V$3004,"&lt;&gt;",$V$5:$V$3004,"&lt;&gt;Excluded")&gt;0,"LEAK RISK","OK"))</f>
        <v/>
      </c>
      <c r="Z1150" s="30" t="n"/>
    </row>
    <row r="1151">
      <c r="A1151" s="30" t="n"/>
      <c r="B1151" s="30" t="n"/>
      <c r="C1151" s="30" t="n"/>
      <c r="D1151" s="30" t="n"/>
      <c r="E1151" s="30" t="n"/>
      <c r="F1151" s="30" t="n"/>
      <c r="G1151" s="30" t="n"/>
      <c r="H1151" s="30" t="n"/>
      <c r="I1151" s="31" t="n"/>
      <c r="J1151" s="30" t="n"/>
      <c r="K1151" s="30" t="n"/>
      <c r="L1151" s="30" t="n"/>
      <c r="M1151" s="30" t="n"/>
      <c r="N1151" s="32" t="n"/>
      <c r="O1151" s="30" t="n"/>
      <c r="P1151" s="32" t="n"/>
      <c r="Q1151" s="30" t="n"/>
      <c r="R1151" s="32" t="n"/>
      <c r="S1151" s="30" t="n"/>
      <c r="T1151" s="30" t="n"/>
      <c r="U1151" s="30" t="n"/>
      <c r="V1151" s="30" t="n"/>
      <c r="W1151" s="29">
        <f>IF(H1151="","",IF(H1151="Kenya","Yes","No"))</f>
        <v/>
      </c>
      <c r="X1151" s="29">
        <f>IF(B1151="","",IF(COUNTIF($B$5:$B$3004,B1151)&gt;1,"DUPLICATE","OK"))</f>
        <v/>
      </c>
      <c r="Y1151" s="29">
        <f>IF(OR(U1151="",V1151="",V1151="Excluded"),"",IF(COUNTIFS($U$5:$U$3004,U1151,$V$5:$V$3004,"&lt;&gt;"&amp;V1151,$V$5:$V$3004,"&lt;&gt;",$V$5:$V$3004,"&lt;&gt;Excluded")&gt;0,"LEAK RISK","OK"))</f>
        <v/>
      </c>
      <c r="Z1151" s="30" t="n"/>
    </row>
    <row r="1152">
      <c r="A1152" s="30" t="n"/>
      <c r="B1152" s="30" t="n"/>
      <c r="C1152" s="30" t="n"/>
      <c r="D1152" s="30" t="n"/>
      <c r="E1152" s="30" t="n"/>
      <c r="F1152" s="30" t="n"/>
      <c r="G1152" s="30" t="n"/>
      <c r="H1152" s="30" t="n"/>
      <c r="I1152" s="31" t="n"/>
      <c r="J1152" s="30" t="n"/>
      <c r="K1152" s="30" t="n"/>
      <c r="L1152" s="30" t="n"/>
      <c r="M1152" s="30" t="n"/>
      <c r="N1152" s="32" t="n"/>
      <c r="O1152" s="30" t="n"/>
      <c r="P1152" s="32" t="n"/>
      <c r="Q1152" s="30" t="n"/>
      <c r="R1152" s="32" t="n"/>
      <c r="S1152" s="30" t="n"/>
      <c r="T1152" s="30" t="n"/>
      <c r="U1152" s="30" t="n"/>
      <c r="V1152" s="30" t="n"/>
      <c r="W1152" s="29">
        <f>IF(H1152="","",IF(H1152="Kenya","Yes","No"))</f>
        <v/>
      </c>
      <c r="X1152" s="29">
        <f>IF(B1152="","",IF(COUNTIF($B$5:$B$3004,B1152)&gt;1,"DUPLICATE","OK"))</f>
        <v/>
      </c>
      <c r="Y1152" s="29">
        <f>IF(OR(U1152="",V1152="",V1152="Excluded"),"",IF(COUNTIFS($U$5:$U$3004,U1152,$V$5:$V$3004,"&lt;&gt;"&amp;V1152,$V$5:$V$3004,"&lt;&gt;",$V$5:$V$3004,"&lt;&gt;Excluded")&gt;0,"LEAK RISK","OK"))</f>
        <v/>
      </c>
      <c r="Z1152" s="30" t="n"/>
    </row>
    <row r="1153">
      <c r="A1153" s="30" t="n"/>
      <c r="B1153" s="30" t="n"/>
      <c r="C1153" s="30" t="n"/>
      <c r="D1153" s="30" t="n"/>
      <c r="E1153" s="30" t="n"/>
      <c r="F1153" s="30" t="n"/>
      <c r="G1153" s="30" t="n"/>
      <c r="H1153" s="30" t="n"/>
      <c r="I1153" s="31" t="n"/>
      <c r="J1153" s="30" t="n"/>
      <c r="K1153" s="30" t="n"/>
      <c r="L1153" s="30" t="n"/>
      <c r="M1153" s="30" t="n"/>
      <c r="N1153" s="32" t="n"/>
      <c r="O1153" s="30" t="n"/>
      <c r="P1153" s="32" t="n"/>
      <c r="Q1153" s="30" t="n"/>
      <c r="R1153" s="32" t="n"/>
      <c r="S1153" s="30" t="n"/>
      <c r="T1153" s="30" t="n"/>
      <c r="U1153" s="30" t="n"/>
      <c r="V1153" s="30" t="n"/>
      <c r="W1153" s="29">
        <f>IF(H1153="","",IF(H1153="Kenya","Yes","No"))</f>
        <v/>
      </c>
      <c r="X1153" s="29">
        <f>IF(B1153="","",IF(COUNTIF($B$5:$B$3004,B1153)&gt;1,"DUPLICATE","OK"))</f>
        <v/>
      </c>
      <c r="Y1153" s="29">
        <f>IF(OR(U1153="",V1153="",V1153="Excluded"),"",IF(COUNTIFS($U$5:$U$3004,U1153,$V$5:$V$3004,"&lt;&gt;"&amp;V1153,$V$5:$V$3004,"&lt;&gt;",$V$5:$V$3004,"&lt;&gt;Excluded")&gt;0,"LEAK RISK","OK"))</f>
        <v/>
      </c>
      <c r="Z1153" s="30" t="n"/>
    </row>
    <row r="1154">
      <c r="A1154" s="30" t="n"/>
      <c r="B1154" s="30" t="n"/>
      <c r="C1154" s="30" t="n"/>
      <c r="D1154" s="30" t="n"/>
      <c r="E1154" s="30" t="n"/>
      <c r="F1154" s="30" t="n"/>
      <c r="G1154" s="30" t="n"/>
      <c r="H1154" s="30" t="n"/>
      <c r="I1154" s="31" t="n"/>
      <c r="J1154" s="30" t="n"/>
      <c r="K1154" s="30" t="n"/>
      <c r="L1154" s="30" t="n"/>
      <c r="M1154" s="30" t="n"/>
      <c r="N1154" s="32" t="n"/>
      <c r="O1154" s="30" t="n"/>
      <c r="P1154" s="32" t="n"/>
      <c r="Q1154" s="30" t="n"/>
      <c r="R1154" s="32" t="n"/>
      <c r="S1154" s="30" t="n"/>
      <c r="T1154" s="30" t="n"/>
      <c r="U1154" s="30" t="n"/>
      <c r="V1154" s="30" t="n"/>
      <c r="W1154" s="29">
        <f>IF(H1154="","",IF(H1154="Kenya","Yes","No"))</f>
        <v/>
      </c>
      <c r="X1154" s="29">
        <f>IF(B1154="","",IF(COUNTIF($B$5:$B$3004,B1154)&gt;1,"DUPLICATE","OK"))</f>
        <v/>
      </c>
      <c r="Y1154" s="29">
        <f>IF(OR(U1154="",V1154="",V1154="Excluded"),"",IF(COUNTIFS($U$5:$U$3004,U1154,$V$5:$V$3004,"&lt;&gt;"&amp;V1154,$V$5:$V$3004,"&lt;&gt;",$V$5:$V$3004,"&lt;&gt;Excluded")&gt;0,"LEAK RISK","OK"))</f>
        <v/>
      </c>
      <c r="Z1154" s="30" t="n"/>
    </row>
    <row r="1155">
      <c r="A1155" s="30" t="n"/>
      <c r="B1155" s="30" t="n"/>
      <c r="C1155" s="30" t="n"/>
      <c r="D1155" s="30" t="n"/>
      <c r="E1155" s="30" t="n"/>
      <c r="F1155" s="30" t="n"/>
      <c r="G1155" s="30" t="n"/>
      <c r="H1155" s="30" t="n"/>
      <c r="I1155" s="31" t="n"/>
      <c r="J1155" s="30" t="n"/>
      <c r="K1155" s="30" t="n"/>
      <c r="L1155" s="30" t="n"/>
      <c r="M1155" s="30" t="n"/>
      <c r="N1155" s="32" t="n"/>
      <c r="O1155" s="30" t="n"/>
      <c r="P1155" s="32" t="n"/>
      <c r="Q1155" s="30" t="n"/>
      <c r="R1155" s="32" t="n"/>
      <c r="S1155" s="30" t="n"/>
      <c r="T1155" s="30" t="n"/>
      <c r="U1155" s="30" t="n"/>
      <c r="V1155" s="30" t="n"/>
      <c r="W1155" s="29">
        <f>IF(H1155="","",IF(H1155="Kenya","Yes","No"))</f>
        <v/>
      </c>
      <c r="X1155" s="29">
        <f>IF(B1155="","",IF(COUNTIF($B$5:$B$3004,B1155)&gt;1,"DUPLICATE","OK"))</f>
        <v/>
      </c>
      <c r="Y1155" s="29">
        <f>IF(OR(U1155="",V1155="",V1155="Excluded"),"",IF(COUNTIFS($U$5:$U$3004,U1155,$V$5:$V$3004,"&lt;&gt;"&amp;V1155,$V$5:$V$3004,"&lt;&gt;",$V$5:$V$3004,"&lt;&gt;Excluded")&gt;0,"LEAK RISK","OK"))</f>
        <v/>
      </c>
      <c r="Z1155" s="30" t="n"/>
    </row>
    <row r="1156">
      <c r="A1156" s="30" t="n"/>
      <c r="B1156" s="30" t="n"/>
      <c r="C1156" s="30" t="n"/>
      <c r="D1156" s="30" t="n"/>
      <c r="E1156" s="30" t="n"/>
      <c r="F1156" s="30" t="n"/>
      <c r="G1156" s="30" t="n"/>
      <c r="H1156" s="30" t="n"/>
      <c r="I1156" s="31" t="n"/>
      <c r="J1156" s="30" t="n"/>
      <c r="K1156" s="30" t="n"/>
      <c r="L1156" s="30" t="n"/>
      <c r="M1156" s="30" t="n"/>
      <c r="N1156" s="32" t="n"/>
      <c r="O1156" s="30" t="n"/>
      <c r="P1156" s="32" t="n"/>
      <c r="Q1156" s="30" t="n"/>
      <c r="R1156" s="32" t="n"/>
      <c r="S1156" s="30" t="n"/>
      <c r="T1156" s="30" t="n"/>
      <c r="U1156" s="30" t="n"/>
      <c r="V1156" s="30" t="n"/>
      <c r="W1156" s="29">
        <f>IF(H1156="","",IF(H1156="Kenya","Yes","No"))</f>
        <v/>
      </c>
      <c r="X1156" s="29">
        <f>IF(B1156="","",IF(COUNTIF($B$5:$B$3004,B1156)&gt;1,"DUPLICATE","OK"))</f>
        <v/>
      </c>
      <c r="Y1156" s="29">
        <f>IF(OR(U1156="",V1156="",V1156="Excluded"),"",IF(COUNTIFS($U$5:$U$3004,U1156,$V$5:$V$3004,"&lt;&gt;"&amp;V1156,$V$5:$V$3004,"&lt;&gt;",$V$5:$V$3004,"&lt;&gt;Excluded")&gt;0,"LEAK RISK","OK"))</f>
        <v/>
      </c>
      <c r="Z1156" s="30" t="n"/>
    </row>
    <row r="1157">
      <c r="A1157" s="30" t="n"/>
      <c r="B1157" s="30" t="n"/>
      <c r="C1157" s="30" t="n"/>
      <c r="D1157" s="30" t="n"/>
      <c r="E1157" s="30" t="n"/>
      <c r="F1157" s="30" t="n"/>
      <c r="G1157" s="30" t="n"/>
      <c r="H1157" s="30" t="n"/>
      <c r="I1157" s="31" t="n"/>
      <c r="J1157" s="30" t="n"/>
      <c r="K1157" s="30" t="n"/>
      <c r="L1157" s="30" t="n"/>
      <c r="M1157" s="30" t="n"/>
      <c r="N1157" s="32" t="n"/>
      <c r="O1157" s="30" t="n"/>
      <c r="P1157" s="32" t="n"/>
      <c r="Q1157" s="30" t="n"/>
      <c r="R1157" s="32" t="n"/>
      <c r="S1157" s="30" t="n"/>
      <c r="T1157" s="30" t="n"/>
      <c r="U1157" s="30" t="n"/>
      <c r="V1157" s="30" t="n"/>
      <c r="W1157" s="29">
        <f>IF(H1157="","",IF(H1157="Kenya","Yes","No"))</f>
        <v/>
      </c>
      <c r="X1157" s="29">
        <f>IF(B1157="","",IF(COUNTIF($B$5:$B$3004,B1157)&gt;1,"DUPLICATE","OK"))</f>
        <v/>
      </c>
      <c r="Y1157" s="29">
        <f>IF(OR(U1157="",V1157="",V1157="Excluded"),"",IF(COUNTIFS($U$5:$U$3004,U1157,$V$5:$V$3004,"&lt;&gt;"&amp;V1157,$V$5:$V$3004,"&lt;&gt;",$V$5:$V$3004,"&lt;&gt;Excluded")&gt;0,"LEAK RISK","OK"))</f>
        <v/>
      </c>
      <c r="Z1157" s="30" t="n"/>
    </row>
    <row r="1158">
      <c r="A1158" s="30" t="n"/>
      <c r="B1158" s="30" t="n"/>
      <c r="C1158" s="30" t="n"/>
      <c r="D1158" s="30" t="n"/>
      <c r="E1158" s="30" t="n"/>
      <c r="F1158" s="30" t="n"/>
      <c r="G1158" s="30" t="n"/>
      <c r="H1158" s="30" t="n"/>
      <c r="I1158" s="31" t="n"/>
      <c r="J1158" s="30" t="n"/>
      <c r="K1158" s="30" t="n"/>
      <c r="L1158" s="30" t="n"/>
      <c r="M1158" s="30" t="n"/>
      <c r="N1158" s="32" t="n"/>
      <c r="O1158" s="30" t="n"/>
      <c r="P1158" s="32" t="n"/>
      <c r="Q1158" s="30" t="n"/>
      <c r="R1158" s="32" t="n"/>
      <c r="S1158" s="30" t="n"/>
      <c r="T1158" s="30" t="n"/>
      <c r="U1158" s="30" t="n"/>
      <c r="V1158" s="30" t="n"/>
      <c r="W1158" s="29">
        <f>IF(H1158="","",IF(H1158="Kenya","Yes","No"))</f>
        <v/>
      </c>
      <c r="X1158" s="29">
        <f>IF(B1158="","",IF(COUNTIF($B$5:$B$3004,B1158)&gt;1,"DUPLICATE","OK"))</f>
        <v/>
      </c>
      <c r="Y1158" s="29">
        <f>IF(OR(U1158="",V1158="",V1158="Excluded"),"",IF(COUNTIFS($U$5:$U$3004,U1158,$V$5:$V$3004,"&lt;&gt;"&amp;V1158,$V$5:$V$3004,"&lt;&gt;",$V$5:$V$3004,"&lt;&gt;Excluded")&gt;0,"LEAK RISK","OK"))</f>
        <v/>
      </c>
      <c r="Z1158" s="30" t="n"/>
    </row>
    <row r="1159">
      <c r="A1159" s="30" t="n"/>
      <c r="B1159" s="30" t="n"/>
      <c r="C1159" s="30" t="n"/>
      <c r="D1159" s="30" t="n"/>
      <c r="E1159" s="30" t="n"/>
      <c r="F1159" s="30" t="n"/>
      <c r="G1159" s="30" t="n"/>
      <c r="H1159" s="30" t="n"/>
      <c r="I1159" s="31" t="n"/>
      <c r="J1159" s="30" t="n"/>
      <c r="K1159" s="30" t="n"/>
      <c r="L1159" s="30" t="n"/>
      <c r="M1159" s="30" t="n"/>
      <c r="N1159" s="32" t="n"/>
      <c r="O1159" s="30" t="n"/>
      <c r="P1159" s="32" t="n"/>
      <c r="Q1159" s="30" t="n"/>
      <c r="R1159" s="32" t="n"/>
      <c r="S1159" s="30" t="n"/>
      <c r="T1159" s="30" t="n"/>
      <c r="U1159" s="30" t="n"/>
      <c r="V1159" s="30" t="n"/>
      <c r="W1159" s="29">
        <f>IF(H1159="","",IF(H1159="Kenya","Yes","No"))</f>
        <v/>
      </c>
      <c r="X1159" s="29">
        <f>IF(B1159="","",IF(COUNTIF($B$5:$B$3004,B1159)&gt;1,"DUPLICATE","OK"))</f>
        <v/>
      </c>
      <c r="Y1159" s="29">
        <f>IF(OR(U1159="",V1159="",V1159="Excluded"),"",IF(COUNTIFS($U$5:$U$3004,U1159,$V$5:$V$3004,"&lt;&gt;"&amp;V1159,$V$5:$V$3004,"&lt;&gt;",$V$5:$V$3004,"&lt;&gt;Excluded")&gt;0,"LEAK RISK","OK"))</f>
        <v/>
      </c>
      <c r="Z1159" s="30" t="n"/>
    </row>
    <row r="1160">
      <c r="A1160" s="30" t="n"/>
      <c r="B1160" s="30" t="n"/>
      <c r="C1160" s="30" t="n"/>
      <c r="D1160" s="30" t="n"/>
      <c r="E1160" s="30" t="n"/>
      <c r="F1160" s="30" t="n"/>
      <c r="G1160" s="30" t="n"/>
      <c r="H1160" s="30" t="n"/>
      <c r="I1160" s="31" t="n"/>
      <c r="J1160" s="30" t="n"/>
      <c r="K1160" s="30" t="n"/>
      <c r="L1160" s="30" t="n"/>
      <c r="M1160" s="30" t="n"/>
      <c r="N1160" s="32" t="n"/>
      <c r="O1160" s="30" t="n"/>
      <c r="P1160" s="32" t="n"/>
      <c r="Q1160" s="30" t="n"/>
      <c r="R1160" s="32" t="n"/>
      <c r="S1160" s="30" t="n"/>
      <c r="T1160" s="30" t="n"/>
      <c r="U1160" s="30" t="n"/>
      <c r="V1160" s="30" t="n"/>
      <c r="W1160" s="29">
        <f>IF(H1160="","",IF(H1160="Kenya","Yes","No"))</f>
        <v/>
      </c>
      <c r="X1160" s="29">
        <f>IF(B1160="","",IF(COUNTIF($B$5:$B$3004,B1160)&gt;1,"DUPLICATE","OK"))</f>
        <v/>
      </c>
      <c r="Y1160" s="29">
        <f>IF(OR(U1160="",V1160="",V1160="Excluded"),"",IF(COUNTIFS($U$5:$U$3004,U1160,$V$5:$V$3004,"&lt;&gt;"&amp;V1160,$V$5:$V$3004,"&lt;&gt;",$V$5:$V$3004,"&lt;&gt;Excluded")&gt;0,"LEAK RISK","OK"))</f>
        <v/>
      </c>
      <c r="Z1160" s="30" t="n"/>
    </row>
    <row r="1161">
      <c r="A1161" s="30" t="n"/>
      <c r="B1161" s="30" t="n"/>
      <c r="C1161" s="30" t="n"/>
      <c r="D1161" s="30" t="n"/>
      <c r="E1161" s="30" t="n"/>
      <c r="F1161" s="30" t="n"/>
      <c r="G1161" s="30" t="n"/>
      <c r="H1161" s="30" t="n"/>
      <c r="I1161" s="31" t="n"/>
      <c r="J1161" s="30" t="n"/>
      <c r="K1161" s="30" t="n"/>
      <c r="L1161" s="30" t="n"/>
      <c r="M1161" s="30" t="n"/>
      <c r="N1161" s="32" t="n"/>
      <c r="O1161" s="30" t="n"/>
      <c r="P1161" s="32" t="n"/>
      <c r="Q1161" s="30" t="n"/>
      <c r="R1161" s="32" t="n"/>
      <c r="S1161" s="30" t="n"/>
      <c r="T1161" s="30" t="n"/>
      <c r="U1161" s="30" t="n"/>
      <c r="V1161" s="30" t="n"/>
      <c r="W1161" s="29">
        <f>IF(H1161="","",IF(H1161="Kenya","Yes","No"))</f>
        <v/>
      </c>
      <c r="X1161" s="29">
        <f>IF(B1161="","",IF(COUNTIF($B$5:$B$3004,B1161)&gt;1,"DUPLICATE","OK"))</f>
        <v/>
      </c>
      <c r="Y1161" s="29">
        <f>IF(OR(U1161="",V1161="",V1161="Excluded"),"",IF(COUNTIFS($U$5:$U$3004,U1161,$V$5:$V$3004,"&lt;&gt;"&amp;V1161,$V$5:$V$3004,"&lt;&gt;",$V$5:$V$3004,"&lt;&gt;Excluded")&gt;0,"LEAK RISK","OK"))</f>
        <v/>
      </c>
      <c r="Z1161" s="30" t="n"/>
    </row>
    <row r="1162">
      <c r="A1162" s="30" t="n"/>
      <c r="B1162" s="30" t="n"/>
      <c r="C1162" s="30" t="n"/>
      <c r="D1162" s="30" t="n"/>
      <c r="E1162" s="30" t="n"/>
      <c r="F1162" s="30" t="n"/>
      <c r="G1162" s="30" t="n"/>
      <c r="H1162" s="30" t="n"/>
      <c r="I1162" s="31" t="n"/>
      <c r="J1162" s="30" t="n"/>
      <c r="K1162" s="30" t="n"/>
      <c r="L1162" s="30" t="n"/>
      <c r="M1162" s="30" t="n"/>
      <c r="N1162" s="32" t="n"/>
      <c r="O1162" s="30" t="n"/>
      <c r="P1162" s="32" t="n"/>
      <c r="Q1162" s="30" t="n"/>
      <c r="R1162" s="32" t="n"/>
      <c r="S1162" s="30" t="n"/>
      <c r="T1162" s="30" t="n"/>
      <c r="U1162" s="30" t="n"/>
      <c r="V1162" s="30" t="n"/>
      <c r="W1162" s="29">
        <f>IF(H1162="","",IF(H1162="Kenya","Yes","No"))</f>
        <v/>
      </c>
      <c r="X1162" s="29">
        <f>IF(B1162="","",IF(COUNTIF($B$5:$B$3004,B1162)&gt;1,"DUPLICATE","OK"))</f>
        <v/>
      </c>
      <c r="Y1162" s="29">
        <f>IF(OR(U1162="",V1162="",V1162="Excluded"),"",IF(COUNTIFS($U$5:$U$3004,U1162,$V$5:$V$3004,"&lt;&gt;"&amp;V1162,$V$5:$V$3004,"&lt;&gt;",$V$5:$V$3004,"&lt;&gt;Excluded")&gt;0,"LEAK RISK","OK"))</f>
        <v/>
      </c>
      <c r="Z1162" s="30" t="n"/>
    </row>
    <row r="1163">
      <c r="A1163" s="30" t="n"/>
      <c r="B1163" s="30" t="n"/>
      <c r="C1163" s="30" t="n"/>
      <c r="D1163" s="30" t="n"/>
      <c r="E1163" s="30" t="n"/>
      <c r="F1163" s="30" t="n"/>
      <c r="G1163" s="30" t="n"/>
      <c r="H1163" s="30" t="n"/>
      <c r="I1163" s="31" t="n"/>
      <c r="J1163" s="30" t="n"/>
      <c r="K1163" s="30" t="n"/>
      <c r="L1163" s="30" t="n"/>
      <c r="M1163" s="30" t="n"/>
      <c r="N1163" s="32" t="n"/>
      <c r="O1163" s="30" t="n"/>
      <c r="P1163" s="32" t="n"/>
      <c r="Q1163" s="30" t="n"/>
      <c r="R1163" s="32" t="n"/>
      <c r="S1163" s="30" t="n"/>
      <c r="T1163" s="30" t="n"/>
      <c r="U1163" s="30" t="n"/>
      <c r="V1163" s="30" t="n"/>
      <c r="W1163" s="29">
        <f>IF(H1163="","",IF(H1163="Kenya","Yes","No"))</f>
        <v/>
      </c>
      <c r="X1163" s="29">
        <f>IF(B1163="","",IF(COUNTIF($B$5:$B$3004,B1163)&gt;1,"DUPLICATE","OK"))</f>
        <v/>
      </c>
      <c r="Y1163" s="29">
        <f>IF(OR(U1163="",V1163="",V1163="Excluded"),"",IF(COUNTIFS($U$5:$U$3004,U1163,$V$5:$V$3004,"&lt;&gt;"&amp;V1163,$V$5:$V$3004,"&lt;&gt;",$V$5:$V$3004,"&lt;&gt;Excluded")&gt;0,"LEAK RISK","OK"))</f>
        <v/>
      </c>
      <c r="Z1163" s="30" t="n"/>
    </row>
    <row r="1164">
      <c r="A1164" s="30" t="n"/>
      <c r="B1164" s="30" t="n"/>
      <c r="C1164" s="30" t="n"/>
      <c r="D1164" s="30" t="n"/>
      <c r="E1164" s="30" t="n"/>
      <c r="F1164" s="30" t="n"/>
      <c r="G1164" s="30" t="n"/>
      <c r="H1164" s="30" t="n"/>
      <c r="I1164" s="31" t="n"/>
      <c r="J1164" s="30" t="n"/>
      <c r="K1164" s="30" t="n"/>
      <c r="L1164" s="30" t="n"/>
      <c r="M1164" s="30" t="n"/>
      <c r="N1164" s="32" t="n"/>
      <c r="O1164" s="30" t="n"/>
      <c r="P1164" s="32" t="n"/>
      <c r="Q1164" s="30" t="n"/>
      <c r="R1164" s="32" t="n"/>
      <c r="S1164" s="30" t="n"/>
      <c r="T1164" s="30" t="n"/>
      <c r="U1164" s="30" t="n"/>
      <c r="V1164" s="30" t="n"/>
      <c r="W1164" s="29">
        <f>IF(H1164="","",IF(H1164="Kenya","Yes","No"))</f>
        <v/>
      </c>
      <c r="X1164" s="29">
        <f>IF(B1164="","",IF(COUNTIF($B$5:$B$3004,B1164)&gt;1,"DUPLICATE","OK"))</f>
        <v/>
      </c>
      <c r="Y1164" s="29">
        <f>IF(OR(U1164="",V1164="",V1164="Excluded"),"",IF(COUNTIFS($U$5:$U$3004,U1164,$V$5:$V$3004,"&lt;&gt;"&amp;V1164,$V$5:$V$3004,"&lt;&gt;",$V$5:$V$3004,"&lt;&gt;Excluded")&gt;0,"LEAK RISK","OK"))</f>
        <v/>
      </c>
      <c r="Z1164" s="30" t="n"/>
    </row>
    <row r="1165">
      <c r="A1165" s="30" t="n"/>
      <c r="B1165" s="30" t="n"/>
      <c r="C1165" s="30" t="n"/>
      <c r="D1165" s="30" t="n"/>
      <c r="E1165" s="30" t="n"/>
      <c r="F1165" s="30" t="n"/>
      <c r="G1165" s="30" t="n"/>
      <c r="H1165" s="30" t="n"/>
      <c r="I1165" s="31" t="n"/>
      <c r="J1165" s="30" t="n"/>
      <c r="K1165" s="30" t="n"/>
      <c r="L1165" s="30" t="n"/>
      <c r="M1165" s="30" t="n"/>
      <c r="N1165" s="32" t="n"/>
      <c r="O1165" s="30" t="n"/>
      <c r="P1165" s="32" t="n"/>
      <c r="Q1165" s="30" t="n"/>
      <c r="R1165" s="32" t="n"/>
      <c r="S1165" s="30" t="n"/>
      <c r="T1165" s="30" t="n"/>
      <c r="U1165" s="30" t="n"/>
      <c r="V1165" s="30" t="n"/>
      <c r="W1165" s="29">
        <f>IF(H1165="","",IF(H1165="Kenya","Yes","No"))</f>
        <v/>
      </c>
      <c r="X1165" s="29">
        <f>IF(B1165="","",IF(COUNTIF($B$5:$B$3004,B1165)&gt;1,"DUPLICATE","OK"))</f>
        <v/>
      </c>
      <c r="Y1165" s="29">
        <f>IF(OR(U1165="",V1165="",V1165="Excluded"),"",IF(COUNTIFS($U$5:$U$3004,U1165,$V$5:$V$3004,"&lt;&gt;"&amp;V1165,$V$5:$V$3004,"&lt;&gt;",$V$5:$V$3004,"&lt;&gt;Excluded")&gt;0,"LEAK RISK","OK"))</f>
        <v/>
      </c>
      <c r="Z1165" s="30" t="n"/>
    </row>
    <row r="1166">
      <c r="A1166" s="30" t="n"/>
      <c r="B1166" s="30" t="n"/>
      <c r="C1166" s="30" t="n"/>
      <c r="D1166" s="30" t="n"/>
      <c r="E1166" s="30" t="n"/>
      <c r="F1166" s="30" t="n"/>
      <c r="G1166" s="30" t="n"/>
      <c r="H1166" s="30" t="n"/>
      <c r="I1166" s="31" t="n"/>
      <c r="J1166" s="30" t="n"/>
      <c r="K1166" s="30" t="n"/>
      <c r="L1166" s="30" t="n"/>
      <c r="M1166" s="30" t="n"/>
      <c r="N1166" s="32" t="n"/>
      <c r="O1166" s="30" t="n"/>
      <c r="P1166" s="32" t="n"/>
      <c r="Q1166" s="30" t="n"/>
      <c r="R1166" s="32" t="n"/>
      <c r="S1166" s="30" t="n"/>
      <c r="T1166" s="30" t="n"/>
      <c r="U1166" s="30" t="n"/>
      <c r="V1166" s="30" t="n"/>
      <c r="W1166" s="29">
        <f>IF(H1166="","",IF(H1166="Kenya","Yes","No"))</f>
        <v/>
      </c>
      <c r="X1166" s="29">
        <f>IF(B1166="","",IF(COUNTIF($B$5:$B$3004,B1166)&gt;1,"DUPLICATE","OK"))</f>
        <v/>
      </c>
      <c r="Y1166" s="29">
        <f>IF(OR(U1166="",V1166="",V1166="Excluded"),"",IF(COUNTIFS($U$5:$U$3004,U1166,$V$5:$V$3004,"&lt;&gt;"&amp;V1166,$V$5:$V$3004,"&lt;&gt;",$V$5:$V$3004,"&lt;&gt;Excluded")&gt;0,"LEAK RISK","OK"))</f>
        <v/>
      </c>
      <c r="Z1166" s="30" t="n"/>
    </row>
    <row r="1167">
      <c r="A1167" s="30" t="n"/>
      <c r="B1167" s="30" t="n"/>
      <c r="C1167" s="30" t="n"/>
      <c r="D1167" s="30" t="n"/>
      <c r="E1167" s="30" t="n"/>
      <c r="F1167" s="30" t="n"/>
      <c r="G1167" s="30" t="n"/>
      <c r="H1167" s="30" t="n"/>
      <c r="I1167" s="31" t="n"/>
      <c r="J1167" s="30" t="n"/>
      <c r="K1167" s="30" t="n"/>
      <c r="L1167" s="30" t="n"/>
      <c r="M1167" s="30" t="n"/>
      <c r="N1167" s="32" t="n"/>
      <c r="O1167" s="30" t="n"/>
      <c r="P1167" s="32" t="n"/>
      <c r="Q1167" s="30" t="n"/>
      <c r="R1167" s="32" t="n"/>
      <c r="S1167" s="30" t="n"/>
      <c r="T1167" s="30" t="n"/>
      <c r="U1167" s="30" t="n"/>
      <c r="V1167" s="30" t="n"/>
      <c r="W1167" s="29">
        <f>IF(H1167="","",IF(H1167="Kenya","Yes","No"))</f>
        <v/>
      </c>
      <c r="X1167" s="29">
        <f>IF(B1167="","",IF(COUNTIF($B$5:$B$3004,B1167)&gt;1,"DUPLICATE","OK"))</f>
        <v/>
      </c>
      <c r="Y1167" s="29">
        <f>IF(OR(U1167="",V1167="",V1167="Excluded"),"",IF(COUNTIFS($U$5:$U$3004,U1167,$V$5:$V$3004,"&lt;&gt;"&amp;V1167,$V$5:$V$3004,"&lt;&gt;",$V$5:$V$3004,"&lt;&gt;Excluded")&gt;0,"LEAK RISK","OK"))</f>
        <v/>
      </c>
      <c r="Z1167" s="30" t="n"/>
    </row>
    <row r="1168">
      <c r="A1168" s="30" t="n"/>
      <c r="B1168" s="30" t="n"/>
      <c r="C1168" s="30" t="n"/>
      <c r="D1168" s="30" t="n"/>
      <c r="E1168" s="30" t="n"/>
      <c r="F1168" s="30" t="n"/>
      <c r="G1168" s="30" t="n"/>
      <c r="H1168" s="30" t="n"/>
      <c r="I1168" s="31" t="n"/>
      <c r="J1168" s="30" t="n"/>
      <c r="K1168" s="30" t="n"/>
      <c r="L1168" s="30" t="n"/>
      <c r="M1168" s="30" t="n"/>
      <c r="N1168" s="32" t="n"/>
      <c r="O1168" s="30" t="n"/>
      <c r="P1168" s="32" t="n"/>
      <c r="Q1168" s="30" t="n"/>
      <c r="R1168" s="32" t="n"/>
      <c r="S1168" s="30" t="n"/>
      <c r="T1168" s="30" t="n"/>
      <c r="U1168" s="30" t="n"/>
      <c r="V1168" s="30" t="n"/>
      <c r="W1168" s="29">
        <f>IF(H1168="","",IF(H1168="Kenya","Yes","No"))</f>
        <v/>
      </c>
      <c r="X1168" s="29">
        <f>IF(B1168="","",IF(COUNTIF($B$5:$B$3004,B1168)&gt;1,"DUPLICATE","OK"))</f>
        <v/>
      </c>
      <c r="Y1168" s="29">
        <f>IF(OR(U1168="",V1168="",V1168="Excluded"),"",IF(COUNTIFS($U$5:$U$3004,U1168,$V$5:$V$3004,"&lt;&gt;"&amp;V1168,$V$5:$V$3004,"&lt;&gt;",$V$5:$V$3004,"&lt;&gt;Excluded")&gt;0,"LEAK RISK","OK"))</f>
        <v/>
      </c>
      <c r="Z1168" s="30" t="n"/>
    </row>
    <row r="1169">
      <c r="A1169" s="30" t="n"/>
      <c r="B1169" s="30" t="n"/>
      <c r="C1169" s="30" t="n"/>
      <c r="D1169" s="30" t="n"/>
      <c r="E1169" s="30" t="n"/>
      <c r="F1169" s="30" t="n"/>
      <c r="G1169" s="30" t="n"/>
      <c r="H1169" s="30" t="n"/>
      <c r="I1169" s="31" t="n"/>
      <c r="J1169" s="30" t="n"/>
      <c r="K1169" s="30" t="n"/>
      <c r="L1169" s="30" t="n"/>
      <c r="M1169" s="30" t="n"/>
      <c r="N1169" s="32" t="n"/>
      <c r="O1169" s="30" t="n"/>
      <c r="P1169" s="32" t="n"/>
      <c r="Q1169" s="30" t="n"/>
      <c r="R1169" s="32" t="n"/>
      <c r="S1169" s="30" t="n"/>
      <c r="T1169" s="30" t="n"/>
      <c r="U1169" s="30" t="n"/>
      <c r="V1169" s="30" t="n"/>
      <c r="W1169" s="29">
        <f>IF(H1169="","",IF(H1169="Kenya","Yes","No"))</f>
        <v/>
      </c>
      <c r="X1169" s="29">
        <f>IF(B1169="","",IF(COUNTIF($B$5:$B$3004,B1169)&gt;1,"DUPLICATE","OK"))</f>
        <v/>
      </c>
      <c r="Y1169" s="29">
        <f>IF(OR(U1169="",V1169="",V1169="Excluded"),"",IF(COUNTIFS($U$5:$U$3004,U1169,$V$5:$V$3004,"&lt;&gt;"&amp;V1169,$V$5:$V$3004,"&lt;&gt;",$V$5:$V$3004,"&lt;&gt;Excluded")&gt;0,"LEAK RISK","OK"))</f>
        <v/>
      </c>
      <c r="Z1169" s="30" t="n"/>
    </row>
    <row r="1170">
      <c r="A1170" s="30" t="n"/>
      <c r="B1170" s="30" t="n"/>
      <c r="C1170" s="30" t="n"/>
      <c r="D1170" s="30" t="n"/>
      <c r="E1170" s="30" t="n"/>
      <c r="F1170" s="30" t="n"/>
      <c r="G1170" s="30" t="n"/>
      <c r="H1170" s="30" t="n"/>
      <c r="I1170" s="31" t="n"/>
      <c r="J1170" s="30" t="n"/>
      <c r="K1170" s="30" t="n"/>
      <c r="L1170" s="30" t="n"/>
      <c r="M1170" s="30" t="n"/>
      <c r="N1170" s="32" t="n"/>
      <c r="O1170" s="30" t="n"/>
      <c r="P1170" s="32" t="n"/>
      <c r="Q1170" s="30" t="n"/>
      <c r="R1170" s="32" t="n"/>
      <c r="S1170" s="30" t="n"/>
      <c r="T1170" s="30" t="n"/>
      <c r="U1170" s="30" t="n"/>
      <c r="V1170" s="30" t="n"/>
      <c r="W1170" s="29">
        <f>IF(H1170="","",IF(H1170="Kenya","Yes","No"))</f>
        <v/>
      </c>
      <c r="X1170" s="29">
        <f>IF(B1170="","",IF(COUNTIF($B$5:$B$3004,B1170)&gt;1,"DUPLICATE","OK"))</f>
        <v/>
      </c>
      <c r="Y1170" s="29">
        <f>IF(OR(U1170="",V1170="",V1170="Excluded"),"",IF(COUNTIFS($U$5:$U$3004,U1170,$V$5:$V$3004,"&lt;&gt;"&amp;V1170,$V$5:$V$3004,"&lt;&gt;",$V$5:$V$3004,"&lt;&gt;Excluded")&gt;0,"LEAK RISK","OK"))</f>
        <v/>
      </c>
      <c r="Z1170" s="30" t="n"/>
    </row>
    <row r="1171">
      <c r="A1171" s="30" t="n"/>
      <c r="B1171" s="30" t="n"/>
      <c r="C1171" s="30" t="n"/>
      <c r="D1171" s="30" t="n"/>
      <c r="E1171" s="30" t="n"/>
      <c r="F1171" s="30" t="n"/>
      <c r="G1171" s="30" t="n"/>
      <c r="H1171" s="30" t="n"/>
      <c r="I1171" s="31" t="n"/>
      <c r="J1171" s="30" t="n"/>
      <c r="K1171" s="30" t="n"/>
      <c r="L1171" s="30" t="n"/>
      <c r="M1171" s="30" t="n"/>
      <c r="N1171" s="32" t="n"/>
      <c r="O1171" s="30" t="n"/>
      <c r="P1171" s="32" t="n"/>
      <c r="Q1171" s="30" t="n"/>
      <c r="R1171" s="32" t="n"/>
      <c r="S1171" s="30" t="n"/>
      <c r="T1171" s="30" t="n"/>
      <c r="U1171" s="30" t="n"/>
      <c r="V1171" s="30" t="n"/>
      <c r="W1171" s="29">
        <f>IF(H1171="","",IF(H1171="Kenya","Yes","No"))</f>
        <v/>
      </c>
      <c r="X1171" s="29">
        <f>IF(B1171="","",IF(COUNTIF($B$5:$B$3004,B1171)&gt;1,"DUPLICATE","OK"))</f>
        <v/>
      </c>
      <c r="Y1171" s="29">
        <f>IF(OR(U1171="",V1171="",V1171="Excluded"),"",IF(COUNTIFS($U$5:$U$3004,U1171,$V$5:$V$3004,"&lt;&gt;"&amp;V1171,$V$5:$V$3004,"&lt;&gt;",$V$5:$V$3004,"&lt;&gt;Excluded")&gt;0,"LEAK RISK","OK"))</f>
        <v/>
      </c>
      <c r="Z1171" s="30" t="n"/>
    </row>
    <row r="1172">
      <c r="A1172" s="30" t="n"/>
      <c r="B1172" s="30" t="n"/>
      <c r="C1172" s="30" t="n"/>
      <c r="D1172" s="30" t="n"/>
      <c r="E1172" s="30" t="n"/>
      <c r="F1172" s="30" t="n"/>
      <c r="G1172" s="30" t="n"/>
      <c r="H1172" s="30" t="n"/>
      <c r="I1172" s="31" t="n"/>
      <c r="J1172" s="30" t="n"/>
      <c r="K1172" s="30" t="n"/>
      <c r="L1172" s="30" t="n"/>
      <c r="M1172" s="30" t="n"/>
      <c r="N1172" s="32" t="n"/>
      <c r="O1172" s="30" t="n"/>
      <c r="P1172" s="32" t="n"/>
      <c r="Q1172" s="30" t="n"/>
      <c r="R1172" s="32" t="n"/>
      <c r="S1172" s="30" t="n"/>
      <c r="T1172" s="30" t="n"/>
      <c r="U1172" s="30" t="n"/>
      <c r="V1172" s="30" t="n"/>
      <c r="W1172" s="29">
        <f>IF(H1172="","",IF(H1172="Kenya","Yes","No"))</f>
        <v/>
      </c>
      <c r="X1172" s="29">
        <f>IF(B1172="","",IF(COUNTIF($B$5:$B$3004,B1172)&gt;1,"DUPLICATE","OK"))</f>
        <v/>
      </c>
      <c r="Y1172" s="29">
        <f>IF(OR(U1172="",V1172="",V1172="Excluded"),"",IF(COUNTIFS($U$5:$U$3004,U1172,$V$5:$V$3004,"&lt;&gt;"&amp;V1172,$V$5:$V$3004,"&lt;&gt;",$V$5:$V$3004,"&lt;&gt;Excluded")&gt;0,"LEAK RISK","OK"))</f>
        <v/>
      </c>
      <c r="Z1172" s="30" t="n"/>
    </row>
    <row r="1173">
      <c r="A1173" s="30" t="n"/>
      <c r="B1173" s="30" t="n"/>
      <c r="C1173" s="30" t="n"/>
      <c r="D1173" s="30" t="n"/>
      <c r="E1173" s="30" t="n"/>
      <c r="F1173" s="30" t="n"/>
      <c r="G1173" s="30" t="n"/>
      <c r="H1173" s="30" t="n"/>
      <c r="I1173" s="31" t="n"/>
      <c r="J1173" s="30" t="n"/>
      <c r="K1173" s="30" t="n"/>
      <c r="L1173" s="30" t="n"/>
      <c r="M1173" s="30" t="n"/>
      <c r="N1173" s="32" t="n"/>
      <c r="O1173" s="30" t="n"/>
      <c r="P1173" s="32" t="n"/>
      <c r="Q1173" s="30" t="n"/>
      <c r="R1173" s="32" t="n"/>
      <c r="S1173" s="30" t="n"/>
      <c r="T1173" s="30" t="n"/>
      <c r="U1173" s="30" t="n"/>
      <c r="V1173" s="30" t="n"/>
      <c r="W1173" s="29">
        <f>IF(H1173="","",IF(H1173="Kenya","Yes","No"))</f>
        <v/>
      </c>
      <c r="X1173" s="29">
        <f>IF(B1173="","",IF(COUNTIF($B$5:$B$3004,B1173)&gt;1,"DUPLICATE","OK"))</f>
        <v/>
      </c>
      <c r="Y1173" s="29">
        <f>IF(OR(U1173="",V1173="",V1173="Excluded"),"",IF(COUNTIFS($U$5:$U$3004,U1173,$V$5:$V$3004,"&lt;&gt;"&amp;V1173,$V$5:$V$3004,"&lt;&gt;",$V$5:$V$3004,"&lt;&gt;Excluded")&gt;0,"LEAK RISK","OK"))</f>
        <v/>
      </c>
      <c r="Z1173" s="30" t="n"/>
    </row>
    <row r="1174">
      <c r="A1174" s="30" t="n"/>
      <c r="B1174" s="30" t="n"/>
      <c r="C1174" s="30" t="n"/>
      <c r="D1174" s="30" t="n"/>
      <c r="E1174" s="30" t="n"/>
      <c r="F1174" s="30" t="n"/>
      <c r="G1174" s="30" t="n"/>
      <c r="H1174" s="30" t="n"/>
      <c r="I1174" s="31" t="n"/>
      <c r="J1174" s="30" t="n"/>
      <c r="K1174" s="30" t="n"/>
      <c r="L1174" s="30" t="n"/>
      <c r="M1174" s="30" t="n"/>
      <c r="N1174" s="32" t="n"/>
      <c r="O1174" s="30" t="n"/>
      <c r="P1174" s="32" t="n"/>
      <c r="Q1174" s="30" t="n"/>
      <c r="R1174" s="32" t="n"/>
      <c r="S1174" s="30" t="n"/>
      <c r="T1174" s="30" t="n"/>
      <c r="U1174" s="30" t="n"/>
      <c r="V1174" s="30" t="n"/>
      <c r="W1174" s="29">
        <f>IF(H1174="","",IF(H1174="Kenya","Yes","No"))</f>
        <v/>
      </c>
      <c r="X1174" s="29">
        <f>IF(B1174="","",IF(COUNTIF($B$5:$B$3004,B1174)&gt;1,"DUPLICATE","OK"))</f>
        <v/>
      </c>
      <c r="Y1174" s="29">
        <f>IF(OR(U1174="",V1174="",V1174="Excluded"),"",IF(COUNTIFS($U$5:$U$3004,U1174,$V$5:$V$3004,"&lt;&gt;"&amp;V1174,$V$5:$V$3004,"&lt;&gt;",$V$5:$V$3004,"&lt;&gt;Excluded")&gt;0,"LEAK RISK","OK"))</f>
        <v/>
      </c>
      <c r="Z1174" s="30" t="n"/>
    </row>
    <row r="1175">
      <c r="A1175" s="30" t="n"/>
      <c r="B1175" s="30" t="n"/>
      <c r="C1175" s="30" t="n"/>
      <c r="D1175" s="30" t="n"/>
      <c r="E1175" s="30" t="n"/>
      <c r="F1175" s="30" t="n"/>
      <c r="G1175" s="30" t="n"/>
      <c r="H1175" s="30" t="n"/>
      <c r="I1175" s="31" t="n"/>
      <c r="J1175" s="30" t="n"/>
      <c r="K1175" s="30" t="n"/>
      <c r="L1175" s="30" t="n"/>
      <c r="M1175" s="30" t="n"/>
      <c r="N1175" s="32" t="n"/>
      <c r="O1175" s="30" t="n"/>
      <c r="P1175" s="32" t="n"/>
      <c r="Q1175" s="30" t="n"/>
      <c r="R1175" s="32" t="n"/>
      <c r="S1175" s="30" t="n"/>
      <c r="T1175" s="30" t="n"/>
      <c r="U1175" s="30" t="n"/>
      <c r="V1175" s="30" t="n"/>
      <c r="W1175" s="29">
        <f>IF(H1175="","",IF(H1175="Kenya","Yes","No"))</f>
        <v/>
      </c>
      <c r="X1175" s="29">
        <f>IF(B1175="","",IF(COUNTIF($B$5:$B$3004,B1175)&gt;1,"DUPLICATE","OK"))</f>
        <v/>
      </c>
      <c r="Y1175" s="29">
        <f>IF(OR(U1175="",V1175="",V1175="Excluded"),"",IF(COUNTIFS($U$5:$U$3004,U1175,$V$5:$V$3004,"&lt;&gt;"&amp;V1175,$V$5:$V$3004,"&lt;&gt;",$V$5:$V$3004,"&lt;&gt;Excluded")&gt;0,"LEAK RISK","OK"))</f>
        <v/>
      </c>
      <c r="Z1175" s="30" t="n"/>
    </row>
    <row r="1176">
      <c r="A1176" s="30" t="n"/>
      <c r="B1176" s="30" t="n"/>
      <c r="C1176" s="30" t="n"/>
      <c r="D1176" s="30" t="n"/>
      <c r="E1176" s="30" t="n"/>
      <c r="F1176" s="30" t="n"/>
      <c r="G1176" s="30" t="n"/>
      <c r="H1176" s="30" t="n"/>
      <c r="I1176" s="31" t="n"/>
      <c r="J1176" s="30" t="n"/>
      <c r="K1176" s="30" t="n"/>
      <c r="L1176" s="30" t="n"/>
      <c r="M1176" s="30" t="n"/>
      <c r="N1176" s="32" t="n"/>
      <c r="O1176" s="30" t="n"/>
      <c r="P1176" s="32" t="n"/>
      <c r="Q1176" s="30" t="n"/>
      <c r="R1176" s="32" t="n"/>
      <c r="S1176" s="30" t="n"/>
      <c r="T1176" s="30" t="n"/>
      <c r="U1176" s="30" t="n"/>
      <c r="V1176" s="30" t="n"/>
      <c r="W1176" s="29">
        <f>IF(H1176="","",IF(H1176="Kenya","Yes","No"))</f>
        <v/>
      </c>
      <c r="X1176" s="29">
        <f>IF(B1176="","",IF(COUNTIF($B$5:$B$3004,B1176)&gt;1,"DUPLICATE","OK"))</f>
        <v/>
      </c>
      <c r="Y1176" s="29">
        <f>IF(OR(U1176="",V1176="",V1176="Excluded"),"",IF(COUNTIFS($U$5:$U$3004,U1176,$V$5:$V$3004,"&lt;&gt;"&amp;V1176,$V$5:$V$3004,"&lt;&gt;",$V$5:$V$3004,"&lt;&gt;Excluded")&gt;0,"LEAK RISK","OK"))</f>
        <v/>
      </c>
      <c r="Z1176" s="30" t="n"/>
    </row>
    <row r="1177">
      <c r="A1177" s="30" t="n"/>
      <c r="B1177" s="30" t="n"/>
      <c r="C1177" s="30" t="n"/>
      <c r="D1177" s="30" t="n"/>
      <c r="E1177" s="30" t="n"/>
      <c r="F1177" s="30" t="n"/>
      <c r="G1177" s="30" t="n"/>
      <c r="H1177" s="30" t="n"/>
      <c r="I1177" s="31" t="n"/>
      <c r="J1177" s="30" t="n"/>
      <c r="K1177" s="30" t="n"/>
      <c r="L1177" s="30" t="n"/>
      <c r="M1177" s="30" t="n"/>
      <c r="N1177" s="32" t="n"/>
      <c r="O1177" s="30" t="n"/>
      <c r="P1177" s="32" t="n"/>
      <c r="Q1177" s="30" t="n"/>
      <c r="R1177" s="32" t="n"/>
      <c r="S1177" s="30" t="n"/>
      <c r="T1177" s="30" t="n"/>
      <c r="U1177" s="30" t="n"/>
      <c r="V1177" s="30" t="n"/>
      <c r="W1177" s="29">
        <f>IF(H1177="","",IF(H1177="Kenya","Yes","No"))</f>
        <v/>
      </c>
      <c r="X1177" s="29">
        <f>IF(B1177="","",IF(COUNTIF($B$5:$B$3004,B1177)&gt;1,"DUPLICATE","OK"))</f>
        <v/>
      </c>
      <c r="Y1177" s="29">
        <f>IF(OR(U1177="",V1177="",V1177="Excluded"),"",IF(COUNTIFS($U$5:$U$3004,U1177,$V$5:$V$3004,"&lt;&gt;"&amp;V1177,$V$5:$V$3004,"&lt;&gt;",$V$5:$V$3004,"&lt;&gt;Excluded")&gt;0,"LEAK RISK","OK"))</f>
        <v/>
      </c>
      <c r="Z1177" s="30" t="n"/>
    </row>
    <row r="1178">
      <c r="A1178" s="30" t="n"/>
      <c r="B1178" s="30" t="n"/>
      <c r="C1178" s="30" t="n"/>
      <c r="D1178" s="30" t="n"/>
      <c r="E1178" s="30" t="n"/>
      <c r="F1178" s="30" t="n"/>
      <c r="G1178" s="30" t="n"/>
      <c r="H1178" s="30" t="n"/>
      <c r="I1178" s="31" t="n"/>
      <c r="J1178" s="30" t="n"/>
      <c r="K1178" s="30" t="n"/>
      <c r="L1178" s="30" t="n"/>
      <c r="M1178" s="30" t="n"/>
      <c r="N1178" s="32" t="n"/>
      <c r="O1178" s="30" t="n"/>
      <c r="P1178" s="32" t="n"/>
      <c r="Q1178" s="30" t="n"/>
      <c r="R1178" s="32" t="n"/>
      <c r="S1178" s="30" t="n"/>
      <c r="T1178" s="30" t="n"/>
      <c r="U1178" s="30" t="n"/>
      <c r="V1178" s="30" t="n"/>
      <c r="W1178" s="29">
        <f>IF(H1178="","",IF(H1178="Kenya","Yes","No"))</f>
        <v/>
      </c>
      <c r="X1178" s="29">
        <f>IF(B1178="","",IF(COUNTIF($B$5:$B$3004,B1178)&gt;1,"DUPLICATE","OK"))</f>
        <v/>
      </c>
      <c r="Y1178" s="29">
        <f>IF(OR(U1178="",V1178="",V1178="Excluded"),"",IF(COUNTIFS($U$5:$U$3004,U1178,$V$5:$V$3004,"&lt;&gt;"&amp;V1178,$V$5:$V$3004,"&lt;&gt;",$V$5:$V$3004,"&lt;&gt;Excluded")&gt;0,"LEAK RISK","OK"))</f>
        <v/>
      </c>
      <c r="Z1178" s="30" t="n"/>
    </row>
    <row r="1179">
      <c r="A1179" s="30" t="n"/>
      <c r="B1179" s="30" t="n"/>
      <c r="C1179" s="30" t="n"/>
      <c r="D1179" s="30" t="n"/>
      <c r="E1179" s="30" t="n"/>
      <c r="F1179" s="30" t="n"/>
      <c r="G1179" s="30" t="n"/>
      <c r="H1179" s="30" t="n"/>
      <c r="I1179" s="31" t="n"/>
      <c r="J1179" s="30" t="n"/>
      <c r="K1179" s="30" t="n"/>
      <c r="L1179" s="30" t="n"/>
      <c r="M1179" s="30" t="n"/>
      <c r="N1179" s="32" t="n"/>
      <c r="O1179" s="30" t="n"/>
      <c r="P1179" s="32" t="n"/>
      <c r="Q1179" s="30" t="n"/>
      <c r="R1179" s="32" t="n"/>
      <c r="S1179" s="30" t="n"/>
      <c r="T1179" s="30" t="n"/>
      <c r="U1179" s="30" t="n"/>
      <c r="V1179" s="30" t="n"/>
      <c r="W1179" s="29">
        <f>IF(H1179="","",IF(H1179="Kenya","Yes","No"))</f>
        <v/>
      </c>
      <c r="X1179" s="29">
        <f>IF(B1179="","",IF(COUNTIF($B$5:$B$3004,B1179)&gt;1,"DUPLICATE","OK"))</f>
        <v/>
      </c>
      <c r="Y1179" s="29">
        <f>IF(OR(U1179="",V1179="",V1179="Excluded"),"",IF(COUNTIFS($U$5:$U$3004,U1179,$V$5:$V$3004,"&lt;&gt;"&amp;V1179,$V$5:$V$3004,"&lt;&gt;",$V$5:$V$3004,"&lt;&gt;Excluded")&gt;0,"LEAK RISK","OK"))</f>
        <v/>
      </c>
      <c r="Z1179" s="30" t="n"/>
    </row>
    <row r="1180">
      <c r="A1180" s="30" t="n"/>
      <c r="B1180" s="30" t="n"/>
      <c r="C1180" s="30" t="n"/>
      <c r="D1180" s="30" t="n"/>
      <c r="E1180" s="30" t="n"/>
      <c r="F1180" s="30" t="n"/>
      <c r="G1180" s="30" t="n"/>
      <c r="H1180" s="30" t="n"/>
      <c r="I1180" s="31" t="n"/>
      <c r="J1180" s="30" t="n"/>
      <c r="K1180" s="30" t="n"/>
      <c r="L1180" s="30" t="n"/>
      <c r="M1180" s="30" t="n"/>
      <c r="N1180" s="32" t="n"/>
      <c r="O1180" s="30" t="n"/>
      <c r="P1180" s="32" t="n"/>
      <c r="Q1180" s="30" t="n"/>
      <c r="R1180" s="32" t="n"/>
      <c r="S1180" s="30" t="n"/>
      <c r="T1180" s="30" t="n"/>
      <c r="U1180" s="30" t="n"/>
      <c r="V1180" s="30" t="n"/>
      <c r="W1180" s="29">
        <f>IF(H1180="","",IF(H1180="Kenya","Yes","No"))</f>
        <v/>
      </c>
      <c r="X1180" s="29">
        <f>IF(B1180="","",IF(COUNTIF($B$5:$B$3004,B1180)&gt;1,"DUPLICATE","OK"))</f>
        <v/>
      </c>
      <c r="Y1180" s="29">
        <f>IF(OR(U1180="",V1180="",V1180="Excluded"),"",IF(COUNTIFS($U$5:$U$3004,U1180,$V$5:$V$3004,"&lt;&gt;"&amp;V1180,$V$5:$V$3004,"&lt;&gt;",$V$5:$V$3004,"&lt;&gt;Excluded")&gt;0,"LEAK RISK","OK"))</f>
        <v/>
      </c>
      <c r="Z1180" s="30" t="n"/>
    </row>
    <row r="1181">
      <c r="A1181" s="30" t="n"/>
      <c r="B1181" s="30" t="n"/>
      <c r="C1181" s="30" t="n"/>
      <c r="D1181" s="30" t="n"/>
      <c r="E1181" s="30" t="n"/>
      <c r="F1181" s="30" t="n"/>
      <c r="G1181" s="30" t="n"/>
      <c r="H1181" s="30" t="n"/>
      <c r="I1181" s="31" t="n"/>
      <c r="J1181" s="30" t="n"/>
      <c r="K1181" s="30" t="n"/>
      <c r="L1181" s="30" t="n"/>
      <c r="M1181" s="30" t="n"/>
      <c r="N1181" s="32" t="n"/>
      <c r="O1181" s="30" t="n"/>
      <c r="P1181" s="32" t="n"/>
      <c r="Q1181" s="30" t="n"/>
      <c r="R1181" s="32" t="n"/>
      <c r="S1181" s="30" t="n"/>
      <c r="T1181" s="30" t="n"/>
      <c r="U1181" s="30" t="n"/>
      <c r="V1181" s="30" t="n"/>
      <c r="W1181" s="29">
        <f>IF(H1181="","",IF(H1181="Kenya","Yes","No"))</f>
        <v/>
      </c>
      <c r="X1181" s="29">
        <f>IF(B1181="","",IF(COUNTIF($B$5:$B$3004,B1181)&gt;1,"DUPLICATE","OK"))</f>
        <v/>
      </c>
      <c r="Y1181" s="29">
        <f>IF(OR(U1181="",V1181="",V1181="Excluded"),"",IF(COUNTIFS($U$5:$U$3004,U1181,$V$5:$V$3004,"&lt;&gt;"&amp;V1181,$V$5:$V$3004,"&lt;&gt;",$V$5:$V$3004,"&lt;&gt;Excluded")&gt;0,"LEAK RISK","OK"))</f>
        <v/>
      </c>
      <c r="Z1181" s="30" t="n"/>
    </row>
    <row r="1182">
      <c r="A1182" s="30" t="n"/>
      <c r="B1182" s="30" t="n"/>
      <c r="C1182" s="30" t="n"/>
      <c r="D1182" s="30" t="n"/>
      <c r="E1182" s="30" t="n"/>
      <c r="F1182" s="30" t="n"/>
      <c r="G1182" s="30" t="n"/>
      <c r="H1182" s="30" t="n"/>
      <c r="I1182" s="31" t="n"/>
      <c r="J1182" s="30" t="n"/>
      <c r="K1182" s="30" t="n"/>
      <c r="L1182" s="30" t="n"/>
      <c r="M1182" s="30" t="n"/>
      <c r="N1182" s="32" t="n"/>
      <c r="O1182" s="30" t="n"/>
      <c r="P1182" s="32" t="n"/>
      <c r="Q1182" s="30" t="n"/>
      <c r="R1182" s="32" t="n"/>
      <c r="S1182" s="30" t="n"/>
      <c r="T1182" s="30" t="n"/>
      <c r="U1182" s="30" t="n"/>
      <c r="V1182" s="30" t="n"/>
      <c r="W1182" s="29">
        <f>IF(H1182="","",IF(H1182="Kenya","Yes","No"))</f>
        <v/>
      </c>
      <c r="X1182" s="29">
        <f>IF(B1182="","",IF(COUNTIF($B$5:$B$3004,B1182)&gt;1,"DUPLICATE","OK"))</f>
        <v/>
      </c>
      <c r="Y1182" s="29">
        <f>IF(OR(U1182="",V1182="",V1182="Excluded"),"",IF(COUNTIFS($U$5:$U$3004,U1182,$V$5:$V$3004,"&lt;&gt;"&amp;V1182,$V$5:$V$3004,"&lt;&gt;",$V$5:$V$3004,"&lt;&gt;Excluded")&gt;0,"LEAK RISK","OK"))</f>
        <v/>
      </c>
      <c r="Z1182" s="30" t="n"/>
    </row>
    <row r="1183">
      <c r="A1183" s="30" t="n"/>
      <c r="B1183" s="30" t="n"/>
      <c r="C1183" s="30" t="n"/>
      <c r="D1183" s="30" t="n"/>
      <c r="E1183" s="30" t="n"/>
      <c r="F1183" s="30" t="n"/>
      <c r="G1183" s="30" t="n"/>
      <c r="H1183" s="30" t="n"/>
      <c r="I1183" s="31" t="n"/>
      <c r="J1183" s="30" t="n"/>
      <c r="K1183" s="30" t="n"/>
      <c r="L1183" s="30" t="n"/>
      <c r="M1183" s="30" t="n"/>
      <c r="N1183" s="32" t="n"/>
      <c r="O1183" s="30" t="n"/>
      <c r="P1183" s="32" t="n"/>
      <c r="Q1183" s="30" t="n"/>
      <c r="R1183" s="32" t="n"/>
      <c r="S1183" s="30" t="n"/>
      <c r="T1183" s="30" t="n"/>
      <c r="U1183" s="30" t="n"/>
      <c r="V1183" s="30" t="n"/>
      <c r="W1183" s="29">
        <f>IF(H1183="","",IF(H1183="Kenya","Yes","No"))</f>
        <v/>
      </c>
      <c r="X1183" s="29">
        <f>IF(B1183="","",IF(COUNTIF($B$5:$B$3004,B1183)&gt;1,"DUPLICATE","OK"))</f>
        <v/>
      </c>
      <c r="Y1183" s="29">
        <f>IF(OR(U1183="",V1183="",V1183="Excluded"),"",IF(COUNTIFS($U$5:$U$3004,U1183,$V$5:$V$3004,"&lt;&gt;"&amp;V1183,$V$5:$V$3004,"&lt;&gt;",$V$5:$V$3004,"&lt;&gt;Excluded")&gt;0,"LEAK RISK","OK"))</f>
        <v/>
      </c>
      <c r="Z1183" s="30" t="n"/>
    </row>
    <row r="1184">
      <c r="A1184" s="30" t="n"/>
      <c r="B1184" s="30" t="n"/>
      <c r="C1184" s="30" t="n"/>
      <c r="D1184" s="30" t="n"/>
      <c r="E1184" s="30" t="n"/>
      <c r="F1184" s="30" t="n"/>
      <c r="G1184" s="30" t="n"/>
      <c r="H1184" s="30" t="n"/>
      <c r="I1184" s="31" t="n"/>
      <c r="J1184" s="30" t="n"/>
      <c r="K1184" s="30" t="n"/>
      <c r="L1184" s="30" t="n"/>
      <c r="M1184" s="30" t="n"/>
      <c r="N1184" s="32" t="n"/>
      <c r="O1184" s="30" t="n"/>
      <c r="P1184" s="32" t="n"/>
      <c r="Q1184" s="30" t="n"/>
      <c r="R1184" s="32" t="n"/>
      <c r="S1184" s="30" t="n"/>
      <c r="T1184" s="30" t="n"/>
      <c r="U1184" s="30" t="n"/>
      <c r="V1184" s="30" t="n"/>
      <c r="W1184" s="29">
        <f>IF(H1184="","",IF(H1184="Kenya","Yes","No"))</f>
        <v/>
      </c>
      <c r="X1184" s="29">
        <f>IF(B1184="","",IF(COUNTIF($B$5:$B$3004,B1184)&gt;1,"DUPLICATE","OK"))</f>
        <v/>
      </c>
      <c r="Y1184" s="29">
        <f>IF(OR(U1184="",V1184="",V1184="Excluded"),"",IF(COUNTIFS($U$5:$U$3004,U1184,$V$5:$V$3004,"&lt;&gt;"&amp;V1184,$V$5:$V$3004,"&lt;&gt;",$V$5:$V$3004,"&lt;&gt;Excluded")&gt;0,"LEAK RISK","OK"))</f>
        <v/>
      </c>
      <c r="Z1184" s="30" t="n"/>
    </row>
    <row r="1185">
      <c r="A1185" s="30" t="n"/>
      <c r="B1185" s="30" t="n"/>
      <c r="C1185" s="30" t="n"/>
      <c r="D1185" s="30" t="n"/>
      <c r="E1185" s="30" t="n"/>
      <c r="F1185" s="30" t="n"/>
      <c r="G1185" s="30" t="n"/>
      <c r="H1185" s="30" t="n"/>
      <c r="I1185" s="31" t="n"/>
      <c r="J1185" s="30" t="n"/>
      <c r="K1185" s="30" t="n"/>
      <c r="L1185" s="30" t="n"/>
      <c r="M1185" s="30" t="n"/>
      <c r="N1185" s="32" t="n"/>
      <c r="O1185" s="30" t="n"/>
      <c r="P1185" s="32" t="n"/>
      <c r="Q1185" s="30" t="n"/>
      <c r="R1185" s="32" t="n"/>
      <c r="S1185" s="30" t="n"/>
      <c r="T1185" s="30" t="n"/>
      <c r="U1185" s="30" t="n"/>
      <c r="V1185" s="30" t="n"/>
      <c r="W1185" s="29">
        <f>IF(H1185="","",IF(H1185="Kenya","Yes","No"))</f>
        <v/>
      </c>
      <c r="X1185" s="29">
        <f>IF(B1185="","",IF(COUNTIF($B$5:$B$3004,B1185)&gt;1,"DUPLICATE","OK"))</f>
        <v/>
      </c>
      <c r="Y1185" s="29">
        <f>IF(OR(U1185="",V1185="",V1185="Excluded"),"",IF(COUNTIFS($U$5:$U$3004,U1185,$V$5:$V$3004,"&lt;&gt;"&amp;V1185,$V$5:$V$3004,"&lt;&gt;",$V$5:$V$3004,"&lt;&gt;Excluded")&gt;0,"LEAK RISK","OK"))</f>
        <v/>
      </c>
      <c r="Z1185" s="30" t="n"/>
    </row>
    <row r="1186">
      <c r="A1186" s="30" t="n"/>
      <c r="B1186" s="30" t="n"/>
      <c r="C1186" s="30" t="n"/>
      <c r="D1186" s="30" t="n"/>
      <c r="E1186" s="30" t="n"/>
      <c r="F1186" s="30" t="n"/>
      <c r="G1186" s="30" t="n"/>
      <c r="H1186" s="30" t="n"/>
      <c r="I1186" s="31" t="n"/>
      <c r="J1186" s="30" t="n"/>
      <c r="K1186" s="30" t="n"/>
      <c r="L1186" s="30" t="n"/>
      <c r="M1186" s="30" t="n"/>
      <c r="N1186" s="32" t="n"/>
      <c r="O1186" s="30" t="n"/>
      <c r="P1186" s="32" t="n"/>
      <c r="Q1186" s="30" t="n"/>
      <c r="R1186" s="32" t="n"/>
      <c r="S1186" s="30" t="n"/>
      <c r="T1186" s="30" t="n"/>
      <c r="U1186" s="30" t="n"/>
      <c r="V1186" s="30" t="n"/>
      <c r="W1186" s="29">
        <f>IF(H1186="","",IF(H1186="Kenya","Yes","No"))</f>
        <v/>
      </c>
      <c r="X1186" s="29">
        <f>IF(B1186="","",IF(COUNTIF($B$5:$B$3004,B1186)&gt;1,"DUPLICATE","OK"))</f>
        <v/>
      </c>
      <c r="Y1186" s="29">
        <f>IF(OR(U1186="",V1186="",V1186="Excluded"),"",IF(COUNTIFS($U$5:$U$3004,U1186,$V$5:$V$3004,"&lt;&gt;"&amp;V1186,$V$5:$V$3004,"&lt;&gt;",$V$5:$V$3004,"&lt;&gt;Excluded")&gt;0,"LEAK RISK","OK"))</f>
        <v/>
      </c>
      <c r="Z1186" s="30" t="n"/>
    </row>
    <row r="1187">
      <c r="A1187" s="30" t="n"/>
      <c r="B1187" s="30" t="n"/>
      <c r="C1187" s="30" t="n"/>
      <c r="D1187" s="30" t="n"/>
      <c r="E1187" s="30" t="n"/>
      <c r="F1187" s="30" t="n"/>
      <c r="G1187" s="30" t="n"/>
      <c r="H1187" s="30" t="n"/>
      <c r="I1187" s="31" t="n"/>
      <c r="J1187" s="30" t="n"/>
      <c r="K1187" s="30" t="n"/>
      <c r="L1187" s="30" t="n"/>
      <c r="M1187" s="30" t="n"/>
      <c r="N1187" s="32" t="n"/>
      <c r="O1187" s="30" t="n"/>
      <c r="P1187" s="32" t="n"/>
      <c r="Q1187" s="30" t="n"/>
      <c r="R1187" s="32" t="n"/>
      <c r="S1187" s="30" t="n"/>
      <c r="T1187" s="30" t="n"/>
      <c r="U1187" s="30" t="n"/>
      <c r="V1187" s="30" t="n"/>
      <c r="W1187" s="29">
        <f>IF(H1187="","",IF(H1187="Kenya","Yes","No"))</f>
        <v/>
      </c>
      <c r="X1187" s="29">
        <f>IF(B1187="","",IF(COUNTIF($B$5:$B$3004,B1187)&gt;1,"DUPLICATE","OK"))</f>
        <v/>
      </c>
      <c r="Y1187" s="29">
        <f>IF(OR(U1187="",V1187="",V1187="Excluded"),"",IF(COUNTIFS($U$5:$U$3004,U1187,$V$5:$V$3004,"&lt;&gt;"&amp;V1187,$V$5:$V$3004,"&lt;&gt;",$V$5:$V$3004,"&lt;&gt;Excluded")&gt;0,"LEAK RISK","OK"))</f>
        <v/>
      </c>
      <c r="Z1187" s="30" t="n"/>
    </row>
    <row r="1188">
      <c r="A1188" s="30" t="n"/>
      <c r="B1188" s="30" t="n"/>
      <c r="C1188" s="30" t="n"/>
      <c r="D1188" s="30" t="n"/>
      <c r="E1188" s="30" t="n"/>
      <c r="F1188" s="30" t="n"/>
      <c r="G1188" s="30" t="n"/>
      <c r="H1188" s="30" t="n"/>
      <c r="I1188" s="31" t="n"/>
      <c r="J1188" s="30" t="n"/>
      <c r="K1188" s="30" t="n"/>
      <c r="L1188" s="30" t="n"/>
      <c r="M1188" s="30" t="n"/>
      <c r="N1188" s="32" t="n"/>
      <c r="O1188" s="30" t="n"/>
      <c r="P1188" s="32" t="n"/>
      <c r="Q1188" s="30" t="n"/>
      <c r="R1188" s="32" t="n"/>
      <c r="S1188" s="30" t="n"/>
      <c r="T1188" s="30" t="n"/>
      <c r="U1188" s="30" t="n"/>
      <c r="V1188" s="30" t="n"/>
      <c r="W1188" s="29">
        <f>IF(H1188="","",IF(H1188="Kenya","Yes","No"))</f>
        <v/>
      </c>
      <c r="X1188" s="29">
        <f>IF(B1188="","",IF(COUNTIF($B$5:$B$3004,B1188)&gt;1,"DUPLICATE","OK"))</f>
        <v/>
      </c>
      <c r="Y1188" s="29">
        <f>IF(OR(U1188="",V1188="",V1188="Excluded"),"",IF(COUNTIFS($U$5:$U$3004,U1188,$V$5:$V$3004,"&lt;&gt;"&amp;V1188,$V$5:$V$3004,"&lt;&gt;",$V$5:$V$3004,"&lt;&gt;Excluded")&gt;0,"LEAK RISK","OK"))</f>
        <v/>
      </c>
      <c r="Z1188" s="30" t="n"/>
    </row>
    <row r="1189">
      <c r="A1189" s="30" t="n"/>
      <c r="B1189" s="30" t="n"/>
      <c r="C1189" s="30" t="n"/>
      <c r="D1189" s="30" t="n"/>
      <c r="E1189" s="30" t="n"/>
      <c r="F1189" s="30" t="n"/>
      <c r="G1189" s="30" t="n"/>
      <c r="H1189" s="30" t="n"/>
      <c r="I1189" s="31" t="n"/>
      <c r="J1189" s="30" t="n"/>
      <c r="K1189" s="30" t="n"/>
      <c r="L1189" s="30" t="n"/>
      <c r="M1189" s="30" t="n"/>
      <c r="N1189" s="32" t="n"/>
      <c r="O1189" s="30" t="n"/>
      <c r="P1189" s="32" t="n"/>
      <c r="Q1189" s="30" t="n"/>
      <c r="R1189" s="32" t="n"/>
      <c r="S1189" s="30" t="n"/>
      <c r="T1189" s="30" t="n"/>
      <c r="U1189" s="30" t="n"/>
      <c r="V1189" s="30" t="n"/>
      <c r="W1189" s="29">
        <f>IF(H1189="","",IF(H1189="Kenya","Yes","No"))</f>
        <v/>
      </c>
      <c r="X1189" s="29">
        <f>IF(B1189="","",IF(COUNTIF($B$5:$B$3004,B1189)&gt;1,"DUPLICATE","OK"))</f>
        <v/>
      </c>
      <c r="Y1189" s="29">
        <f>IF(OR(U1189="",V1189="",V1189="Excluded"),"",IF(COUNTIFS($U$5:$U$3004,U1189,$V$5:$V$3004,"&lt;&gt;"&amp;V1189,$V$5:$V$3004,"&lt;&gt;",$V$5:$V$3004,"&lt;&gt;Excluded")&gt;0,"LEAK RISK","OK"))</f>
        <v/>
      </c>
      <c r="Z1189" s="30" t="n"/>
    </row>
    <row r="1190">
      <c r="A1190" s="30" t="n"/>
      <c r="B1190" s="30" t="n"/>
      <c r="C1190" s="30" t="n"/>
      <c r="D1190" s="30" t="n"/>
      <c r="E1190" s="30" t="n"/>
      <c r="F1190" s="30" t="n"/>
      <c r="G1190" s="30" t="n"/>
      <c r="H1190" s="30" t="n"/>
      <c r="I1190" s="31" t="n"/>
      <c r="J1190" s="30" t="n"/>
      <c r="K1190" s="30" t="n"/>
      <c r="L1190" s="30" t="n"/>
      <c r="M1190" s="30" t="n"/>
      <c r="N1190" s="32" t="n"/>
      <c r="O1190" s="30" t="n"/>
      <c r="P1190" s="32" t="n"/>
      <c r="Q1190" s="30" t="n"/>
      <c r="R1190" s="32" t="n"/>
      <c r="S1190" s="30" t="n"/>
      <c r="T1190" s="30" t="n"/>
      <c r="U1190" s="30" t="n"/>
      <c r="V1190" s="30" t="n"/>
      <c r="W1190" s="29">
        <f>IF(H1190="","",IF(H1190="Kenya","Yes","No"))</f>
        <v/>
      </c>
      <c r="X1190" s="29">
        <f>IF(B1190="","",IF(COUNTIF($B$5:$B$3004,B1190)&gt;1,"DUPLICATE","OK"))</f>
        <v/>
      </c>
      <c r="Y1190" s="29">
        <f>IF(OR(U1190="",V1190="",V1190="Excluded"),"",IF(COUNTIFS($U$5:$U$3004,U1190,$V$5:$V$3004,"&lt;&gt;"&amp;V1190,$V$5:$V$3004,"&lt;&gt;",$V$5:$V$3004,"&lt;&gt;Excluded")&gt;0,"LEAK RISK","OK"))</f>
        <v/>
      </c>
      <c r="Z1190" s="30" t="n"/>
    </row>
    <row r="1191">
      <c r="A1191" s="30" t="n"/>
      <c r="B1191" s="30" t="n"/>
      <c r="C1191" s="30" t="n"/>
      <c r="D1191" s="30" t="n"/>
      <c r="E1191" s="30" t="n"/>
      <c r="F1191" s="30" t="n"/>
      <c r="G1191" s="30" t="n"/>
      <c r="H1191" s="30" t="n"/>
      <c r="I1191" s="31" t="n"/>
      <c r="J1191" s="30" t="n"/>
      <c r="K1191" s="30" t="n"/>
      <c r="L1191" s="30" t="n"/>
      <c r="M1191" s="30" t="n"/>
      <c r="N1191" s="32" t="n"/>
      <c r="O1191" s="30" t="n"/>
      <c r="P1191" s="32" t="n"/>
      <c r="Q1191" s="30" t="n"/>
      <c r="R1191" s="32" t="n"/>
      <c r="S1191" s="30" t="n"/>
      <c r="T1191" s="30" t="n"/>
      <c r="U1191" s="30" t="n"/>
      <c r="V1191" s="30" t="n"/>
      <c r="W1191" s="29">
        <f>IF(H1191="","",IF(H1191="Kenya","Yes","No"))</f>
        <v/>
      </c>
      <c r="X1191" s="29">
        <f>IF(B1191="","",IF(COUNTIF($B$5:$B$3004,B1191)&gt;1,"DUPLICATE","OK"))</f>
        <v/>
      </c>
      <c r="Y1191" s="29">
        <f>IF(OR(U1191="",V1191="",V1191="Excluded"),"",IF(COUNTIFS($U$5:$U$3004,U1191,$V$5:$V$3004,"&lt;&gt;"&amp;V1191,$V$5:$V$3004,"&lt;&gt;",$V$5:$V$3004,"&lt;&gt;Excluded")&gt;0,"LEAK RISK","OK"))</f>
        <v/>
      </c>
      <c r="Z1191" s="30" t="n"/>
    </row>
    <row r="1192">
      <c r="A1192" s="30" t="n"/>
      <c r="B1192" s="30" t="n"/>
      <c r="C1192" s="30" t="n"/>
      <c r="D1192" s="30" t="n"/>
      <c r="E1192" s="30" t="n"/>
      <c r="F1192" s="30" t="n"/>
      <c r="G1192" s="30" t="n"/>
      <c r="H1192" s="30" t="n"/>
      <c r="I1192" s="31" t="n"/>
      <c r="J1192" s="30" t="n"/>
      <c r="K1192" s="30" t="n"/>
      <c r="L1192" s="30" t="n"/>
      <c r="M1192" s="30" t="n"/>
      <c r="N1192" s="32" t="n"/>
      <c r="O1192" s="30" t="n"/>
      <c r="P1192" s="32" t="n"/>
      <c r="Q1192" s="30" t="n"/>
      <c r="R1192" s="32" t="n"/>
      <c r="S1192" s="30" t="n"/>
      <c r="T1192" s="30" t="n"/>
      <c r="U1192" s="30" t="n"/>
      <c r="V1192" s="30" t="n"/>
      <c r="W1192" s="29">
        <f>IF(H1192="","",IF(H1192="Kenya","Yes","No"))</f>
        <v/>
      </c>
      <c r="X1192" s="29">
        <f>IF(B1192="","",IF(COUNTIF($B$5:$B$3004,B1192)&gt;1,"DUPLICATE","OK"))</f>
        <v/>
      </c>
      <c r="Y1192" s="29">
        <f>IF(OR(U1192="",V1192="",V1192="Excluded"),"",IF(COUNTIFS($U$5:$U$3004,U1192,$V$5:$V$3004,"&lt;&gt;"&amp;V1192,$V$5:$V$3004,"&lt;&gt;",$V$5:$V$3004,"&lt;&gt;Excluded")&gt;0,"LEAK RISK","OK"))</f>
        <v/>
      </c>
      <c r="Z1192" s="30" t="n"/>
    </row>
    <row r="1193">
      <c r="A1193" s="30" t="n"/>
      <c r="B1193" s="30" t="n"/>
      <c r="C1193" s="30" t="n"/>
      <c r="D1193" s="30" t="n"/>
      <c r="E1193" s="30" t="n"/>
      <c r="F1193" s="30" t="n"/>
      <c r="G1193" s="30" t="n"/>
      <c r="H1193" s="30" t="n"/>
      <c r="I1193" s="31" t="n"/>
      <c r="J1193" s="30" t="n"/>
      <c r="K1193" s="30" t="n"/>
      <c r="L1193" s="30" t="n"/>
      <c r="M1193" s="30" t="n"/>
      <c r="N1193" s="32" t="n"/>
      <c r="O1193" s="30" t="n"/>
      <c r="P1193" s="32" t="n"/>
      <c r="Q1193" s="30" t="n"/>
      <c r="R1193" s="32" t="n"/>
      <c r="S1193" s="30" t="n"/>
      <c r="T1193" s="30" t="n"/>
      <c r="U1193" s="30" t="n"/>
      <c r="V1193" s="30" t="n"/>
      <c r="W1193" s="29">
        <f>IF(H1193="","",IF(H1193="Kenya","Yes","No"))</f>
        <v/>
      </c>
      <c r="X1193" s="29">
        <f>IF(B1193="","",IF(COUNTIF($B$5:$B$3004,B1193)&gt;1,"DUPLICATE","OK"))</f>
        <v/>
      </c>
      <c r="Y1193" s="29">
        <f>IF(OR(U1193="",V1193="",V1193="Excluded"),"",IF(COUNTIFS($U$5:$U$3004,U1193,$V$5:$V$3004,"&lt;&gt;"&amp;V1193,$V$5:$V$3004,"&lt;&gt;",$V$5:$V$3004,"&lt;&gt;Excluded")&gt;0,"LEAK RISK","OK"))</f>
        <v/>
      </c>
      <c r="Z1193" s="30" t="n"/>
    </row>
    <row r="1194">
      <c r="A1194" s="30" t="n"/>
      <c r="B1194" s="30" t="n"/>
      <c r="C1194" s="30" t="n"/>
      <c r="D1194" s="30" t="n"/>
      <c r="E1194" s="30" t="n"/>
      <c r="F1194" s="30" t="n"/>
      <c r="G1194" s="30" t="n"/>
      <c r="H1194" s="30" t="n"/>
      <c r="I1194" s="31" t="n"/>
      <c r="J1194" s="30" t="n"/>
      <c r="K1194" s="30" t="n"/>
      <c r="L1194" s="30" t="n"/>
      <c r="M1194" s="30" t="n"/>
      <c r="N1194" s="32" t="n"/>
      <c r="O1194" s="30" t="n"/>
      <c r="P1194" s="32" t="n"/>
      <c r="Q1194" s="30" t="n"/>
      <c r="R1194" s="32" t="n"/>
      <c r="S1194" s="30" t="n"/>
      <c r="T1194" s="30" t="n"/>
      <c r="U1194" s="30" t="n"/>
      <c r="V1194" s="30" t="n"/>
      <c r="W1194" s="29">
        <f>IF(H1194="","",IF(H1194="Kenya","Yes","No"))</f>
        <v/>
      </c>
      <c r="X1194" s="29">
        <f>IF(B1194="","",IF(COUNTIF($B$5:$B$3004,B1194)&gt;1,"DUPLICATE","OK"))</f>
        <v/>
      </c>
      <c r="Y1194" s="29">
        <f>IF(OR(U1194="",V1194="",V1194="Excluded"),"",IF(COUNTIFS($U$5:$U$3004,U1194,$V$5:$V$3004,"&lt;&gt;"&amp;V1194,$V$5:$V$3004,"&lt;&gt;",$V$5:$V$3004,"&lt;&gt;Excluded")&gt;0,"LEAK RISK","OK"))</f>
        <v/>
      </c>
      <c r="Z1194" s="30" t="n"/>
    </row>
    <row r="1195">
      <c r="A1195" s="30" t="n"/>
      <c r="B1195" s="30" t="n"/>
      <c r="C1195" s="30" t="n"/>
      <c r="D1195" s="30" t="n"/>
      <c r="E1195" s="30" t="n"/>
      <c r="F1195" s="30" t="n"/>
      <c r="G1195" s="30" t="n"/>
      <c r="H1195" s="30" t="n"/>
      <c r="I1195" s="31" t="n"/>
      <c r="J1195" s="30" t="n"/>
      <c r="K1195" s="30" t="n"/>
      <c r="L1195" s="30" t="n"/>
      <c r="M1195" s="30" t="n"/>
      <c r="N1195" s="32" t="n"/>
      <c r="O1195" s="30" t="n"/>
      <c r="P1195" s="32" t="n"/>
      <c r="Q1195" s="30" t="n"/>
      <c r="R1195" s="32" t="n"/>
      <c r="S1195" s="30" t="n"/>
      <c r="T1195" s="30" t="n"/>
      <c r="U1195" s="30" t="n"/>
      <c r="V1195" s="30" t="n"/>
      <c r="W1195" s="29">
        <f>IF(H1195="","",IF(H1195="Kenya","Yes","No"))</f>
        <v/>
      </c>
      <c r="X1195" s="29">
        <f>IF(B1195="","",IF(COUNTIF($B$5:$B$3004,B1195)&gt;1,"DUPLICATE","OK"))</f>
        <v/>
      </c>
      <c r="Y1195" s="29">
        <f>IF(OR(U1195="",V1195="",V1195="Excluded"),"",IF(COUNTIFS($U$5:$U$3004,U1195,$V$5:$V$3004,"&lt;&gt;"&amp;V1195,$V$5:$V$3004,"&lt;&gt;",$V$5:$V$3004,"&lt;&gt;Excluded")&gt;0,"LEAK RISK","OK"))</f>
        <v/>
      </c>
      <c r="Z1195" s="30" t="n"/>
    </row>
    <row r="1196">
      <c r="A1196" s="30" t="n"/>
      <c r="B1196" s="30" t="n"/>
      <c r="C1196" s="30" t="n"/>
      <c r="D1196" s="30" t="n"/>
      <c r="E1196" s="30" t="n"/>
      <c r="F1196" s="30" t="n"/>
      <c r="G1196" s="30" t="n"/>
      <c r="H1196" s="30" t="n"/>
      <c r="I1196" s="31" t="n"/>
      <c r="J1196" s="30" t="n"/>
      <c r="K1196" s="30" t="n"/>
      <c r="L1196" s="30" t="n"/>
      <c r="M1196" s="30" t="n"/>
      <c r="N1196" s="32" t="n"/>
      <c r="O1196" s="30" t="n"/>
      <c r="P1196" s="32" t="n"/>
      <c r="Q1196" s="30" t="n"/>
      <c r="R1196" s="32" t="n"/>
      <c r="S1196" s="30" t="n"/>
      <c r="T1196" s="30" t="n"/>
      <c r="U1196" s="30" t="n"/>
      <c r="V1196" s="30" t="n"/>
      <c r="W1196" s="29">
        <f>IF(H1196="","",IF(H1196="Kenya","Yes","No"))</f>
        <v/>
      </c>
      <c r="X1196" s="29">
        <f>IF(B1196="","",IF(COUNTIF($B$5:$B$3004,B1196)&gt;1,"DUPLICATE","OK"))</f>
        <v/>
      </c>
      <c r="Y1196" s="29">
        <f>IF(OR(U1196="",V1196="",V1196="Excluded"),"",IF(COUNTIFS($U$5:$U$3004,U1196,$V$5:$V$3004,"&lt;&gt;"&amp;V1196,$V$5:$V$3004,"&lt;&gt;",$V$5:$V$3004,"&lt;&gt;Excluded")&gt;0,"LEAK RISK","OK"))</f>
        <v/>
      </c>
      <c r="Z1196" s="30" t="n"/>
    </row>
    <row r="1197">
      <c r="A1197" s="30" t="n"/>
      <c r="B1197" s="30" t="n"/>
      <c r="C1197" s="30" t="n"/>
      <c r="D1197" s="30" t="n"/>
      <c r="E1197" s="30" t="n"/>
      <c r="F1197" s="30" t="n"/>
      <c r="G1197" s="30" t="n"/>
      <c r="H1197" s="30" t="n"/>
      <c r="I1197" s="31" t="n"/>
      <c r="J1197" s="30" t="n"/>
      <c r="K1197" s="30" t="n"/>
      <c r="L1197" s="30" t="n"/>
      <c r="M1197" s="30" t="n"/>
      <c r="N1197" s="32" t="n"/>
      <c r="O1197" s="30" t="n"/>
      <c r="P1197" s="32" t="n"/>
      <c r="Q1197" s="30" t="n"/>
      <c r="R1197" s="32" t="n"/>
      <c r="S1197" s="30" t="n"/>
      <c r="T1197" s="30" t="n"/>
      <c r="U1197" s="30" t="n"/>
      <c r="V1197" s="30" t="n"/>
      <c r="W1197" s="29">
        <f>IF(H1197="","",IF(H1197="Kenya","Yes","No"))</f>
        <v/>
      </c>
      <c r="X1197" s="29">
        <f>IF(B1197="","",IF(COUNTIF($B$5:$B$3004,B1197)&gt;1,"DUPLICATE","OK"))</f>
        <v/>
      </c>
      <c r="Y1197" s="29">
        <f>IF(OR(U1197="",V1197="",V1197="Excluded"),"",IF(COUNTIFS($U$5:$U$3004,U1197,$V$5:$V$3004,"&lt;&gt;"&amp;V1197,$V$5:$V$3004,"&lt;&gt;",$V$5:$V$3004,"&lt;&gt;Excluded")&gt;0,"LEAK RISK","OK"))</f>
        <v/>
      </c>
      <c r="Z1197" s="30" t="n"/>
    </row>
    <row r="1198">
      <c r="A1198" s="30" t="n"/>
      <c r="B1198" s="30" t="n"/>
      <c r="C1198" s="30" t="n"/>
      <c r="D1198" s="30" t="n"/>
      <c r="E1198" s="30" t="n"/>
      <c r="F1198" s="30" t="n"/>
      <c r="G1198" s="30" t="n"/>
      <c r="H1198" s="30" t="n"/>
      <c r="I1198" s="31" t="n"/>
      <c r="J1198" s="30" t="n"/>
      <c r="K1198" s="30" t="n"/>
      <c r="L1198" s="30" t="n"/>
      <c r="M1198" s="30" t="n"/>
      <c r="N1198" s="32" t="n"/>
      <c r="O1198" s="30" t="n"/>
      <c r="P1198" s="32" t="n"/>
      <c r="Q1198" s="30" t="n"/>
      <c r="R1198" s="32" t="n"/>
      <c r="S1198" s="30" t="n"/>
      <c r="T1198" s="30" t="n"/>
      <c r="U1198" s="30" t="n"/>
      <c r="V1198" s="30" t="n"/>
      <c r="W1198" s="29">
        <f>IF(H1198="","",IF(H1198="Kenya","Yes","No"))</f>
        <v/>
      </c>
      <c r="X1198" s="29">
        <f>IF(B1198="","",IF(COUNTIF($B$5:$B$3004,B1198)&gt;1,"DUPLICATE","OK"))</f>
        <v/>
      </c>
      <c r="Y1198" s="29">
        <f>IF(OR(U1198="",V1198="",V1198="Excluded"),"",IF(COUNTIFS($U$5:$U$3004,U1198,$V$5:$V$3004,"&lt;&gt;"&amp;V1198,$V$5:$V$3004,"&lt;&gt;",$V$5:$V$3004,"&lt;&gt;Excluded")&gt;0,"LEAK RISK","OK"))</f>
        <v/>
      </c>
      <c r="Z1198" s="30" t="n"/>
    </row>
    <row r="1199">
      <c r="A1199" s="30" t="n"/>
      <c r="B1199" s="30" t="n"/>
      <c r="C1199" s="30" t="n"/>
      <c r="D1199" s="30" t="n"/>
      <c r="E1199" s="30" t="n"/>
      <c r="F1199" s="30" t="n"/>
      <c r="G1199" s="30" t="n"/>
      <c r="H1199" s="30" t="n"/>
      <c r="I1199" s="31" t="n"/>
      <c r="J1199" s="30" t="n"/>
      <c r="K1199" s="30" t="n"/>
      <c r="L1199" s="30" t="n"/>
      <c r="M1199" s="30" t="n"/>
      <c r="N1199" s="32" t="n"/>
      <c r="O1199" s="30" t="n"/>
      <c r="P1199" s="32" t="n"/>
      <c r="Q1199" s="30" t="n"/>
      <c r="R1199" s="32" t="n"/>
      <c r="S1199" s="30" t="n"/>
      <c r="T1199" s="30" t="n"/>
      <c r="U1199" s="30" t="n"/>
      <c r="V1199" s="30" t="n"/>
      <c r="W1199" s="29">
        <f>IF(H1199="","",IF(H1199="Kenya","Yes","No"))</f>
        <v/>
      </c>
      <c r="X1199" s="29">
        <f>IF(B1199="","",IF(COUNTIF($B$5:$B$3004,B1199)&gt;1,"DUPLICATE","OK"))</f>
        <v/>
      </c>
      <c r="Y1199" s="29">
        <f>IF(OR(U1199="",V1199="",V1199="Excluded"),"",IF(COUNTIFS($U$5:$U$3004,U1199,$V$5:$V$3004,"&lt;&gt;"&amp;V1199,$V$5:$V$3004,"&lt;&gt;",$V$5:$V$3004,"&lt;&gt;Excluded")&gt;0,"LEAK RISK","OK"))</f>
        <v/>
      </c>
      <c r="Z1199" s="30" t="n"/>
    </row>
    <row r="1200">
      <c r="A1200" s="30" t="n"/>
      <c r="B1200" s="30" t="n"/>
      <c r="C1200" s="30" t="n"/>
      <c r="D1200" s="30" t="n"/>
      <c r="E1200" s="30" t="n"/>
      <c r="F1200" s="30" t="n"/>
      <c r="G1200" s="30" t="n"/>
      <c r="H1200" s="30" t="n"/>
      <c r="I1200" s="31" t="n"/>
      <c r="J1200" s="30" t="n"/>
      <c r="K1200" s="30" t="n"/>
      <c r="L1200" s="30" t="n"/>
      <c r="M1200" s="30" t="n"/>
      <c r="N1200" s="32" t="n"/>
      <c r="O1200" s="30" t="n"/>
      <c r="P1200" s="32" t="n"/>
      <c r="Q1200" s="30" t="n"/>
      <c r="R1200" s="32" t="n"/>
      <c r="S1200" s="30" t="n"/>
      <c r="T1200" s="30" t="n"/>
      <c r="U1200" s="30" t="n"/>
      <c r="V1200" s="30" t="n"/>
      <c r="W1200" s="29">
        <f>IF(H1200="","",IF(H1200="Kenya","Yes","No"))</f>
        <v/>
      </c>
      <c r="X1200" s="29">
        <f>IF(B1200="","",IF(COUNTIF($B$5:$B$3004,B1200)&gt;1,"DUPLICATE","OK"))</f>
        <v/>
      </c>
      <c r="Y1200" s="29">
        <f>IF(OR(U1200="",V1200="",V1200="Excluded"),"",IF(COUNTIFS($U$5:$U$3004,U1200,$V$5:$V$3004,"&lt;&gt;"&amp;V1200,$V$5:$V$3004,"&lt;&gt;",$V$5:$V$3004,"&lt;&gt;Excluded")&gt;0,"LEAK RISK","OK"))</f>
        <v/>
      </c>
      <c r="Z1200" s="30" t="n"/>
    </row>
    <row r="1201">
      <c r="A1201" s="30" t="n"/>
      <c r="B1201" s="30" t="n"/>
      <c r="C1201" s="30" t="n"/>
      <c r="D1201" s="30" t="n"/>
      <c r="E1201" s="30" t="n"/>
      <c r="F1201" s="30" t="n"/>
      <c r="G1201" s="30" t="n"/>
      <c r="H1201" s="30" t="n"/>
      <c r="I1201" s="31" t="n"/>
      <c r="J1201" s="30" t="n"/>
      <c r="K1201" s="30" t="n"/>
      <c r="L1201" s="30" t="n"/>
      <c r="M1201" s="30" t="n"/>
      <c r="N1201" s="32" t="n"/>
      <c r="O1201" s="30" t="n"/>
      <c r="P1201" s="32" t="n"/>
      <c r="Q1201" s="30" t="n"/>
      <c r="R1201" s="32" t="n"/>
      <c r="S1201" s="30" t="n"/>
      <c r="T1201" s="30" t="n"/>
      <c r="U1201" s="30" t="n"/>
      <c r="V1201" s="30" t="n"/>
      <c r="W1201" s="29">
        <f>IF(H1201="","",IF(H1201="Kenya","Yes","No"))</f>
        <v/>
      </c>
      <c r="X1201" s="29">
        <f>IF(B1201="","",IF(COUNTIF($B$5:$B$3004,B1201)&gt;1,"DUPLICATE","OK"))</f>
        <v/>
      </c>
      <c r="Y1201" s="29">
        <f>IF(OR(U1201="",V1201="",V1201="Excluded"),"",IF(COUNTIFS($U$5:$U$3004,U1201,$V$5:$V$3004,"&lt;&gt;"&amp;V1201,$V$5:$V$3004,"&lt;&gt;",$V$5:$V$3004,"&lt;&gt;Excluded")&gt;0,"LEAK RISK","OK"))</f>
        <v/>
      </c>
      <c r="Z1201" s="30" t="n"/>
    </row>
    <row r="1202">
      <c r="A1202" s="30" t="n"/>
      <c r="B1202" s="30" t="n"/>
      <c r="C1202" s="30" t="n"/>
      <c r="D1202" s="30" t="n"/>
      <c r="E1202" s="30" t="n"/>
      <c r="F1202" s="30" t="n"/>
      <c r="G1202" s="30" t="n"/>
      <c r="H1202" s="30" t="n"/>
      <c r="I1202" s="31" t="n"/>
      <c r="J1202" s="30" t="n"/>
      <c r="K1202" s="30" t="n"/>
      <c r="L1202" s="30" t="n"/>
      <c r="M1202" s="30" t="n"/>
      <c r="N1202" s="32" t="n"/>
      <c r="O1202" s="30" t="n"/>
      <c r="P1202" s="32" t="n"/>
      <c r="Q1202" s="30" t="n"/>
      <c r="R1202" s="32" t="n"/>
      <c r="S1202" s="30" t="n"/>
      <c r="T1202" s="30" t="n"/>
      <c r="U1202" s="30" t="n"/>
      <c r="V1202" s="30" t="n"/>
      <c r="W1202" s="29">
        <f>IF(H1202="","",IF(H1202="Kenya","Yes","No"))</f>
        <v/>
      </c>
      <c r="X1202" s="29">
        <f>IF(B1202="","",IF(COUNTIF($B$5:$B$3004,B1202)&gt;1,"DUPLICATE","OK"))</f>
        <v/>
      </c>
      <c r="Y1202" s="29">
        <f>IF(OR(U1202="",V1202="",V1202="Excluded"),"",IF(COUNTIFS($U$5:$U$3004,U1202,$V$5:$V$3004,"&lt;&gt;"&amp;V1202,$V$5:$V$3004,"&lt;&gt;",$V$5:$V$3004,"&lt;&gt;Excluded")&gt;0,"LEAK RISK","OK"))</f>
        <v/>
      </c>
      <c r="Z1202" s="30" t="n"/>
    </row>
    <row r="1203">
      <c r="A1203" s="30" t="n"/>
      <c r="B1203" s="30" t="n"/>
      <c r="C1203" s="30" t="n"/>
      <c r="D1203" s="30" t="n"/>
      <c r="E1203" s="30" t="n"/>
      <c r="F1203" s="30" t="n"/>
      <c r="G1203" s="30" t="n"/>
      <c r="H1203" s="30" t="n"/>
      <c r="I1203" s="31" t="n"/>
      <c r="J1203" s="30" t="n"/>
      <c r="K1203" s="30" t="n"/>
      <c r="L1203" s="30" t="n"/>
      <c r="M1203" s="30" t="n"/>
      <c r="N1203" s="32" t="n"/>
      <c r="O1203" s="30" t="n"/>
      <c r="P1203" s="32" t="n"/>
      <c r="Q1203" s="30" t="n"/>
      <c r="R1203" s="32" t="n"/>
      <c r="S1203" s="30" t="n"/>
      <c r="T1203" s="30" t="n"/>
      <c r="U1203" s="30" t="n"/>
      <c r="V1203" s="30" t="n"/>
      <c r="W1203" s="29">
        <f>IF(H1203="","",IF(H1203="Kenya","Yes","No"))</f>
        <v/>
      </c>
      <c r="X1203" s="29">
        <f>IF(B1203="","",IF(COUNTIF($B$5:$B$3004,B1203)&gt;1,"DUPLICATE","OK"))</f>
        <v/>
      </c>
      <c r="Y1203" s="29">
        <f>IF(OR(U1203="",V1203="",V1203="Excluded"),"",IF(COUNTIFS($U$5:$U$3004,U1203,$V$5:$V$3004,"&lt;&gt;"&amp;V1203,$V$5:$V$3004,"&lt;&gt;",$V$5:$V$3004,"&lt;&gt;Excluded")&gt;0,"LEAK RISK","OK"))</f>
        <v/>
      </c>
      <c r="Z1203" s="30" t="n"/>
    </row>
    <row r="1204">
      <c r="A1204" s="30" t="n"/>
      <c r="B1204" s="30" t="n"/>
      <c r="C1204" s="30" t="n"/>
      <c r="D1204" s="30" t="n"/>
      <c r="E1204" s="30" t="n"/>
      <c r="F1204" s="30" t="n"/>
      <c r="G1204" s="30" t="n"/>
      <c r="H1204" s="30" t="n"/>
      <c r="I1204" s="31" t="n"/>
      <c r="J1204" s="30" t="n"/>
      <c r="K1204" s="30" t="n"/>
      <c r="L1204" s="30" t="n"/>
      <c r="M1204" s="30" t="n"/>
      <c r="N1204" s="32" t="n"/>
      <c r="O1204" s="30" t="n"/>
      <c r="P1204" s="32" t="n"/>
      <c r="Q1204" s="30" t="n"/>
      <c r="R1204" s="32" t="n"/>
      <c r="S1204" s="30" t="n"/>
      <c r="T1204" s="30" t="n"/>
      <c r="U1204" s="30" t="n"/>
      <c r="V1204" s="30" t="n"/>
      <c r="W1204" s="29">
        <f>IF(H1204="","",IF(H1204="Kenya","Yes","No"))</f>
        <v/>
      </c>
      <c r="X1204" s="29">
        <f>IF(B1204="","",IF(COUNTIF($B$5:$B$3004,B1204)&gt;1,"DUPLICATE","OK"))</f>
        <v/>
      </c>
      <c r="Y1204" s="29">
        <f>IF(OR(U1204="",V1204="",V1204="Excluded"),"",IF(COUNTIFS($U$5:$U$3004,U1204,$V$5:$V$3004,"&lt;&gt;"&amp;V1204,$V$5:$V$3004,"&lt;&gt;",$V$5:$V$3004,"&lt;&gt;Excluded")&gt;0,"LEAK RISK","OK"))</f>
        <v/>
      </c>
      <c r="Z1204" s="30" t="n"/>
    </row>
    <row r="1205">
      <c r="A1205" s="30" t="n"/>
      <c r="B1205" s="30" t="n"/>
      <c r="C1205" s="30" t="n"/>
      <c r="D1205" s="30" t="n"/>
      <c r="E1205" s="30" t="n"/>
      <c r="F1205" s="30" t="n"/>
      <c r="G1205" s="30" t="n"/>
      <c r="H1205" s="30" t="n"/>
      <c r="I1205" s="31" t="n"/>
      <c r="J1205" s="30" t="n"/>
      <c r="K1205" s="30" t="n"/>
      <c r="L1205" s="30" t="n"/>
      <c r="M1205" s="30" t="n"/>
      <c r="N1205" s="32" t="n"/>
      <c r="O1205" s="30" t="n"/>
      <c r="P1205" s="32" t="n"/>
      <c r="Q1205" s="30" t="n"/>
      <c r="R1205" s="32" t="n"/>
      <c r="S1205" s="30" t="n"/>
      <c r="T1205" s="30" t="n"/>
      <c r="U1205" s="30" t="n"/>
      <c r="V1205" s="30" t="n"/>
      <c r="W1205" s="29">
        <f>IF(H1205="","",IF(H1205="Kenya","Yes","No"))</f>
        <v/>
      </c>
      <c r="X1205" s="29">
        <f>IF(B1205="","",IF(COUNTIF($B$5:$B$3004,B1205)&gt;1,"DUPLICATE","OK"))</f>
        <v/>
      </c>
      <c r="Y1205" s="29">
        <f>IF(OR(U1205="",V1205="",V1205="Excluded"),"",IF(COUNTIFS($U$5:$U$3004,U1205,$V$5:$V$3004,"&lt;&gt;"&amp;V1205,$V$5:$V$3004,"&lt;&gt;",$V$5:$V$3004,"&lt;&gt;Excluded")&gt;0,"LEAK RISK","OK"))</f>
        <v/>
      </c>
      <c r="Z1205" s="30" t="n"/>
    </row>
    <row r="1206">
      <c r="A1206" s="30" t="n"/>
      <c r="B1206" s="30" t="n"/>
      <c r="C1206" s="30" t="n"/>
      <c r="D1206" s="30" t="n"/>
      <c r="E1206" s="30" t="n"/>
      <c r="F1206" s="30" t="n"/>
      <c r="G1206" s="30" t="n"/>
      <c r="H1206" s="30" t="n"/>
      <c r="I1206" s="31" t="n"/>
      <c r="J1206" s="30" t="n"/>
      <c r="K1206" s="30" t="n"/>
      <c r="L1206" s="30" t="n"/>
      <c r="M1206" s="30" t="n"/>
      <c r="N1206" s="32" t="n"/>
      <c r="O1206" s="30" t="n"/>
      <c r="P1206" s="32" t="n"/>
      <c r="Q1206" s="30" t="n"/>
      <c r="R1206" s="32" t="n"/>
      <c r="S1206" s="30" t="n"/>
      <c r="T1206" s="30" t="n"/>
      <c r="U1206" s="30" t="n"/>
      <c r="V1206" s="30" t="n"/>
      <c r="W1206" s="29">
        <f>IF(H1206="","",IF(H1206="Kenya","Yes","No"))</f>
        <v/>
      </c>
      <c r="X1206" s="29">
        <f>IF(B1206="","",IF(COUNTIF($B$5:$B$3004,B1206)&gt;1,"DUPLICATE","OK"))</f>
        <v/>
      </c>
      <c r="Y1206" s="29">
        <f>IF(OR(U1206="",V1206="",V1206="Excluded"),"",IF(COUNTIFS($U$5:$U$3004,U1206,$V$5:$V$3004,"&lt;&gt;"&amp;V1206,$V$5:$V$3004,"&lt;&gt;",$V$5:$V$3004,"&lt;&gt;Excluded")&gt;0,"LEAK RISK","OK"))</f>
        <v/>
      </c>
      <c r="Z1206" s="30" t="n"/>
    </row>
    <row r="1207">
      <c r="A1207" s="30" t="n"/>
      <c r="B1207" s="30" t="n"/>
      <c r="C1207" s="30" t="n"/>
      <c r="D1207" s="30" t="n"/>
      <c r="E1207" s="30" t="n"/>
      <c r="F1207" s="30" t="n"/>
      <c r="G1207" s="30" t="n"/>
      <c r="H1207" s="30" t="n"/>
      <c r="I1207" s="31" t="n"/>
      <c r="J1207" s="30" t="n"/>
      <c r="K1207" s="30" t="n"/>
      <c r="L1207" s="30" t="n"/>
      <c r="M1207" s="30" t="n"/>
      <c r="N1207" s="32" t="n"/>
      <c r="O1207" s="30" t="n"/>
      <c r="P1207" s="32" t="n"/>
      <c r="Q1207" s="30" t="n"/>
      <c r="R1207" s="32" t="n"/>
      <c r="S1207" s="30" t="n"/>
      <c r="T1207" s="30" t="n"/>
      <c r="U1207" s="30" t="n"/>
      <c r="V1207" s="30" t="n"/>
      <c r="W1207" s="29">
        <f>IF(H1207="","",IF(H1207="Kenya","Yes","No"))</f>
        <v/>
      </c>
      <c r="X1207" s="29">
        <f>IF(B1207="","",IF(COUNTIF($B$5:$B$3004,B1207)&gt;1,"DUPLICATE","OK"))</f>
        <v/>
      </c>
      <c r="Y1207" s="29">
        <f>IF(OR(U1207="",V1207="",V1207="Excluded"),"",IF(COUNTIFS($U$5:$U$3004,U1207,$V$5:$V$3004,"&lt;&gt;"&amp;V1207,$V$5:$V$3004,"&lt;&gt;",$V$5:$V$3004,"&lt;&gt;Excluded")&gt;0,"LEAK RISK","OK"))</f>
        <v/>
      </c>
      <c r="Z1207" s="30" t="n"/>
    </row>
    <row r="1208">
      <c r="A1208" s="30" t="n"/>
      <c r="B1208" s="30" t="n"/>
      <c r="C1208" s="30" t="n"/>
      <c r="D1208" s="30" t="n"/>
      <c r="E1208" s="30" t="n"/>
      <c r="F1208" s="30" t="n"/>
      <c r="G1208" s="30" t="n"/>
      <c r="H1208" s="30" t="n"/>
      <c r="I1208" s="31" t="n"/>
      <c r="J1208" s="30" t="n"/>
      <c r="K1208" s="30" t="n"/>
      <c r="L1208" s="30" t="n"/>
      <c r="M1208" s="30" t="n"/>
      <c r="N1208" s="32" t="n"/>
      <c r="O1208" s="30" t="n"/>
      <c r="P1208" s="32" t="n"/>
      <c r="Q1208" s="30" t="n"/>
      <c r="R1208" s="32" t="n"/>
      <c r="S1208" s="30" t="n"/>
      <c r="T1208" s="30" t="n"/>
      <c r="U1208" s="30" t="n"/>
      <c r="V1208" s="30" t="n"/>
      <c r="W1208" s="29">
        <f>IF(H1208="","",IF(H1208="Kenya","Yes","No"))</f>
        <v/>
      </c>
      <c r="X1208" s="29">
        <f>IF(B1208="","",IF(COUNTIF($B$5:$B$3004,B1208)&gt;1,"DUPLICATE","OK"))</f>
        <v/>
      </c>
      <c r="Y1208" s="29">
        <f>IF(OR(U1208="",V1208="",V1208="Excluded"),"",IF(COUNTIFS($U$5:$U$3004,U1208,$V$5:$V$3004,"&lt;&gt;"&amp;V1208,$V$5:$V$3004,"&lt;&gt;",$V$5:$V$3004,"&lt;&gt;Excluded")&gt;0,"LEAK RISK","OK"))</f>
        <v/>
      </c>
      <c r="Z1208" s="30" t="n"/>
    </row>
    <row r="1209">
      <c r="A1209" s="30" t="n"/>
      <c r="B1209" s="30" t="n"/>
      <c r="C1209" s="30" t="n"/>
      <c r="D1209" s="30" t="n"/>
      <c r="E1209" s="30" t="n"/>
      <c r="F1209" s="30" t="n"/>
      <c r="G1209" s="30" t="n"/>
      <c r="H1209" s="30" t="n"/>
      <c r="I1209" s="31" t="n"/>
      <c r="J1209" s="30" t="n"/>
      <c r="K1209" s="30" t="n"/>
      <c r="L1209" s="30" t="n"/>
      <c r="M1209" s="30" t="n"/>
      <c r="N1209" s="32" t="n"/>
      <c r="O1209" s="30" t="n"/>
      <c r="P1209" s="32" t="n"/>
      <c r="Q1209" s="30" t="n"/>
      <c r="R1209" s="32" t="n"/>
      <c r="S1209" s="30" t="n"/>
      <c r="T1209" s="30" t="n"/>
      <c r="U1209" s="30" t="n"/>
      <c r="V1209" s="30" t="n"/>
      <c r="W1209" s="29">
        <f>IF(H1209="","",IF(H1209="Kenya","Yes","No"))</f>
        <v/>
      </c>
      <c r="X1209" s="29">
        <f>IF(B1209="","",IF(COUNTIF($B$5:$B$3004,B1209)&gt;1,"DUPLICATE","OK"))</f>
        <v/>
      </c>
      <c r="Y1209" s="29">
        <f>IF(OR(U1209="",V1209="",V1209="Excluded"),"",IF(COUNTIFS($U$5:$U$3004,U1209,$V$5:$V$3004,"&lt;&gt;"&amp;V1209,$V$5:$V$3004,"&lt;&gt;",$V$5:$V$3004,"&lt;&gt;Excluded")&gt;0,"LEAK RISK","OK"))</f>
        <v/>
      </c>
      <c r="Z1209" s="30" t="n"/>
    </row>
    <row r="1210">
      <c r="A1210" s="30" t="n"/>
      <c r="B1210" s="30" t="n"/>
      <c r="C1210" s="30" t="n"/>
      <c r="D1210" s="30" t="n"/>
      <c r="E1210" s="30" t="n"/>
      <c r="F1210" s="30" t="n"/>
      <c r="G1210" s="30" t="n"/>
      <c r="H1210" s="30" t="n"/>
      <c r="I1210" s="31" t="n"/>
      <c r="J1210" s="30" t="n"/>
      <c r="K1210" s="30" t="n"/>
      <c r="L1210" s="30" t="n"/>
      <c r="M1210" s="30" t="n"/>
      <c r="N1210" s="32" t="n"/>
      <c r="O1210" s="30" t="n"/>
      <c r="P1210" s="32" t="n"/>
      <c r="Q1210" s="30" t="n"/>
      <c r="R1210" s="32" t="n"/>
      <c r="S1210" s="30" t="n"/>
      <c r="T1210" s="30" t="n"/>
      <c r="U1210" s="30" t="n"/>
      <c r="V1210" s="30" t="n"/>
      <c r="W1210" s="29">
        <f>IF(H1210="","",IF(H1210="Kenya","Yes","No"))</f>
        <v/>
      </c>
      <c r="X1210" s="29">
        <f>IF(B1210="","",IF(COUNTIF($B$5:$B$3004,B1210)&gt;1,"DUPLICATE","OK"))</f>
        <v/>
      </c>
      <c r="Y1210" s="29">
        <f>IF(OR(U1210="",V1210="",V1210="Excluded"),"",IF(COUNTIFS($U$5:$U$3004,U1210,$V$5:$V$3004,"&lt;&gt;"&amp;V1210,$V$5:$V$3004,"&lt;&gt;",$V$5:$V$3004,"&lt;&gt;Excluded")&gt;0,"LEAK RISK","OK"))</f>
        <v/>
      </c>
      <c r="Z1210" s="30" t="n"/>
    </row>
    <row r="1211">
      <c r="A1211" s="30" t="n"/>
      <c r="B1211" s="30" t="n"/>
      <c r="C1211" s="30" t="n"/>
      <c r="D1211" s="30" t="n"/>
      <c r="E1211" s="30" t="n"/>
      <c r="F1211" s="30" t="n"/>
      <c r="G1211" s="30" t="n"/>
      <c r="H1211" s="30" t="n"/>
      <c r="I1211" s="31" t="n"/>
      <c r="J1211" s="30" t="n"/>
      <c r="K1211" s="30" t="n"/>
      <c r="L1211" s="30" t="n"/>
      <c r="M1211" s="30" t="n"/>
      <c r="N1211" s="32" t="n"/>
      <c r="O1211" s="30" t="n"/>
      <c r="P1211" s="32" t="n"/>
      <c r="Q1211" s="30" t="n"/>
      <c r="R1211" s="32" t="n"/>
      <c r="S1211" s="30" t="n"/>
      <c r="T1211" s="30" t="n"/>
      <c r="U1211" s="30" t="n"/>
      <c r="V1211" s="30" t="n"/>
      <c r="W1211" s="29">
        <f>IF(H1211="","",IF(H1211="Kenya","Yes","No"))</f>
        <v/>
      </c>
      <c r="X1211" s="29">
        <f>IF(B1211="","",IF(COUNTIF($B$5:$B$3004,B1211)&gt;1,"DUPLICATE","OK"))</f>
        <v/>
      </c>
      <c r="Y1211" s="29">
        <f>IF(OR(U1211="",V1211="",V1211="Excluded"),"",IF(COUNTIFS($U$5:$U$3004,U1211,$V$5:$V$3004,"&lt;&gt;"&amp;V1211,$V$5:$V$3004,"&lt;&gt;",$V$5:$V$3004,"&lt;&gt;Excluded")&gt;0,"LEAK RISK","OK"))</f>
        <v/>
      </c>
      <c r="Z1211" s="30" t="n"/>
    </row>
    <row r="1212">
      <c r="A1212" s="30" t="n"/>
      <c r="B1212" s="30" t="n"/>
      <c r="C1212" s="30" t="n"/>
      <c r="D1212" s="30" t="n"/>
      <c r="E1212" s="30" t="n"/>
      <c r="F1212" s="30" t="n"/>
      <c r="G1212" s="30" t="n"/>
      <c r="H1212" s="30" t="n"/>
      <c r="I1212" s="31" t="n"/>
      <c r="J1212" s="30" t="n"/>
      <c r="K1212" s="30" t="n"/>
      <c r="L1212" s="30" t="n"/>
      <c r="M1212" s="30" t="n"/>
      <c r="N1212" s="32" t="n"/>
      <c r="O1212" s="30" t="n"/>
      <c r="P1212" s="32" t="n"/>
      <c r="Q1212" s="30" t="n"/>
      <c r="R1212" s="32" t="n"/>
      <c r="S1212" s="30" t="n"/>
      <c r="T1212" s="30" t="n"/>
      <c r="U1212" s="30" t="n"/>
      <c r="V1212" s="30" t="n"/>
      <c r="W1212" s="29">
        <f>IF(H1212="","",IF(H1212="Kenya","Yes","No"))</f>
        <v/>
      </c>
      <c r="X1212" s="29">
        <f>IF(B1212="","",IF(COUNTIF($B$5:$B$3004,B1212)&gt;1,"DUPLICATE","OK"))</f>
        <v/>
      </c>
      <c r="Y1212" s="29">
        <f>IF(OR(U1212="",V1212="",V1212="Excluded"),"",IF(COUNTIFS($U$5:$U$3004,U1212,$V$5:$V$3004,"&lt;&gt;"&amp;V1212,$V$5:$V$3004,"&lt;&gt;",$V$5:$V$3004,"&lt;&gt;Excluded")&gt;0,"LEAK RISK","OK"))</f>
        <v/>
      </c>
      <c r="Z1212" s="30" t="n"/>
    </row>
    <row r="1213">
      <c r="A1213" s="30" t="n"/>
      <c r="B1213" s="30" t="n"/>
      <c r="C1213" s="30" t="n"/>
      <c r="D1213" s="30" t="n"/>
      <c r="E1213" s="30" t="n"/>
      <c r="F1213" s="30" t="n"/>
      <c r="G1213" s="30" t="n"/>
      <c r="H1213" s="30" t="n"/>
      <c r="I1213" s="31" t="n"/>
      <c r="J1213" s="30" t="n"/>
      <c r="K1213" s="30" t="n"/>
      <c r="L1213" s="30" t="n"/>
      <c r="M1213" s="30" t="n"/>
      <c r="N1213" s="32" t="n"/>
      <c r="O1213" s="30" t="n"/>
      <c r="P1213" s="32" t="n"/>
      <c r="Q1213" s="30" t="n"/>
      <c r="R1213" s="32" t="n"/>
      <c r="S1213" s="30" t="n"/>
      <c r="T1213" s="30" t="n"/>
      <c r="U1213" s="30" t="n"/>
      <c r="V1213" s="30" t="n"/>
      <c r="W1213" s="29">
        <f>IF(H1213="","",IF(H1213="Kenya","Yes","No"))</f>
        <v/>
      </c>
      <c r="X1213" s="29">
        <f>IF(B1213="","",IF(COUNTIF($B$5:$B$3004,B1213)&gt;1,"DUPLICATE","OK"))</f>
        <v/>
      </c>
      <c r="Y1213" s="29">
        <f>IF(OR(U1213="",V1213="",V1213="Excluded"),"",IF(COUNTIFS($U$5:$U$3004,U1213,$V$5:$V$3004,"&lt;&gt;"&amp;V1213,$V$5:$V$3004,"&lt;&gt;",$V$5:$V$3004,"&lt;&gt;Excluded")&gt;0,"LEAK RISK","OK"))</f>
        <v/>
      </c>
      <c r="Z1213" s="30" t="n"/>
    </row>
    <row r="1214">
      <c r="A1214" s="30" t="n"/>
      <c r="B1214" s="30" t="n"/>
      <c r="C1214" s="30" t="n"/>
      <c r="D1214" s="30" t="n"/>
      <c r="E1214" s="30" t="n"/>
      <c r="F1214" s="30" t="n"/>
      <c r="G1214" s="30" t="n"/>
      <c r="H1214" s="30" t="n"/>
      <c r="I1214" s="31" t="n"/>
      <c r="J1214" s="30" t="n"/>
      <c r="K1214" s="30" t="n"/>
      <c r="L1214" s="30" t="n"/>
      <c r="M1214" s="30" t="n"/>
      <c r="N1214" s="32" t="n"/>
      <c r="O1214" s="30" t="n"/>
      <c r="P1214" s="32" t="n"/>
      <c r="Q1214" s="30" t="n"/>
      <c r="R1214" s="32" t="n"/>
      <c r="S1214" s="30" t="n"/>
      <c r="T1214" s="30" t="n"/>
      <c r="U1214" s="30" t="n"/>
      <c r="V1214" s="30" t="n"/>
      <c r="W1214" s="29">
        <f>IF(H1214="","",IF(H1214="Kenya","Yes","No"))</f>
        <v/>
      </c>
      <c r="X1214" s="29">
        <f>IF(B1214="","",IF(COUNTIF($B$5:$B$3004,B1214)&gt;1,"DUPLICATE","OK"))</f>
        <v/>
      </c>
      <c r="Y1214" s="29">
        <f>IF(OR(U1214="",V1214="",V1214="Excluded"),"",IF(COUNTIFS($U$5:$U$3004,U1214,$V$5:$V$3004,"&lt;&gt;"&amp;V1214,$V$5:$V$3004,"&lt;&gt;",$V$5:$V$3004,"&lt;&gt;Excluded")&gt;0,"LEAK RISK","OK"))</f>
        <v/>
      </c>
      <c r="Z1214" s="30" t="n"/>
    </row>
    <row r="1215">
      <c r="A1215" s="30" t="n"/>
      <c r="B1215" s="30" t="n"/>
      <c r="C1215" s="30" t="n"/>
      <c r="D1215" s="30" t="n"/>
      <c r="E1215" s="30" t="n"/>
      <c r="F1215" s="30" t="n"/>
      <c r="G1215" s="30" t="n"/>
      <c r="H1215" s="30" t="n"/>
      <c r="I1215" s="31" t="n"/>
      <c r="J1215" s="30" t="n"/>
      <c r="K1215" s="30" t="n"/>
      <c r="L1215" s="30" t="n"/>
      <c r="M1215" s="30" t="n"/>
      <c r="N1215" s="32" t="n"/>
      <c r="O1215" s="30" t="n"/>
      <c r="P1215" s="32" t="n"/>
      <c r="Q1215" s="30" t="n"/>
      <c r="R1215" s="32" t="n"/>
      <c r="S1215" s="30" t="n"/>
      <c r="T1215" s="30" t="n"/>
      <c r="U1215" s="30" t="n"/>
      <c r="V1215" s="30" t="n"/>
      <c r="W1215" s="29">
        <f>IF(H1215="","",IF(H1215="Kenya","Yes","No"))</f>
        <v/>
      </c>
      <c r="X1215" s="29">
        <f>IF(B1215="","",IF(COUNTIF($B$5:$B$3004,B1215)&gt;1,"DUPLICATE","OK"))</f>
        <v/>
      </c>
      <c r="Y1215" s="29">
        <f>IF(OR(U1215="",V1215="",V1215="Excluded"),"",IF(COUNTIFS($U$5:$U$3004,U1215,$V$5:$V$3004,"&lt;&gt;"&amp;V1215,$V$5:$V$3004,"&lt;&gt;",$V$5:$V$3004,"&lt;&gt;Excluded")&gt;0,"LEAK RISK","OK"))</f>
        <v/>
      </c>
      <c r="Z1215" s="30" t="n"/>
    </row>
    <row r="1216">
      <c r="A1216" s="30" t="n"/>
      <c r="B1216" s="30" t="n"/>
      <c r="C1216" s="30" t="n"/>
      <c r="D1216" s="30" t="n"/>
      <c r="E1216" s="30" t="n"/>
      <c r="F1216" s="30" t="n"/>
      <c r="G1216" s="30" t="n"/>
      <c r="H1216" s="30" t="n"/>
      <c r="I1216" s="31" t="n"/>
      <c r="J1216" s="30" t="n"/>
      <c r="K1216" s="30" t="n"/>
      <c r="L1216" s="30" t="n"/>
      <c r="M1216" s="30" t="n"/>
      <c r="N1216" s="32" t="n"/>
      <c r="O1216" s="30" t="n"/>
      <c r="P1216" s="32" t="n"/>
      <c r="Q1216" s="30" t="n"/>
      <c r="R1216" s="32" t="n"/>
      <c r="S1216" s="30" t="n"/>
      <c r="T1216" s="30" t="n"/>
      <c r="U1216" s="30" t="n"/>
      <c r="V1216" s="30" t="n"/>
      <c r="W1216" s="29">
        <f>IF(H1216="","",IF(H1216="Kenya","Yes","No"))</f>
        <v/>
      </c>
      <c r="X1216" s="29">
        <f>IF(B1216="","",IF(COUNTIF($B$5:$B$3004,B1216)&gt;1,"DUPLICATE","OK"))</f>
        <v/>
      </c>
      <c r="Y1216" s="29">
        <f>IF(OR(U1216="",V1216="",V1216="Excluded"),"",IF(COUNTIFS($U$5:$U$3004,U1216,$V$5:$V$3004,"&lt;&gt;"&amp;V1216,$V$5:$V$3004,"&lt;&gt;",$V$5:$V$3004,"&lt;&gt;Excluded")&gt;0,"LEAK RISK","OK"))</f>
        <v/>
      </c>
      <c r="Z1216" s="30" t="n"/>
    </row>
    <row r="1217">
      <c r="A1217" s="30" t="n"/>
      <c r="B1217" s="30" t="n"/>
      <c r="C1217" s="30" t="n"/>
      <c r="D1217" s="30" t="n"/>
      <c r="E1217" s="30" t="n"/>
      <c r="F1217" s="30" t="n"/>
      <c r="G1217" s="30" t="n"/>
      <c r="H1217" s="30" t="n"/>
      <c r="I1217" s="31" t="n"/>
      <c r="J1217" s="30" t="n"/>
      <c r="K1217" s="30" t="n"/>
      <c r="L1217" s="30" t="n"/>
      <c r="M1217" s="30" t="n"/>
      <c r="N1217" s="32" t="n"/>
      <c r="O1217" s="30" t="n"/>
      <c r="P1217" s="32" t="n"/>
      <c r="Q1217" s="30" t="n"/>
      <c r="R1217" s="32" t="n"/>
      <c r="S1217" s="30" t="n"/>
      <c r="T1217" s="30" t="n"/>
      <c r="U1217" s="30" t="n"/>
      <c r="V1217" s="30" t="n"/>
      <c r="W1217" s="29">
        <f>IF(H1217="","",IF(H1217="Kenya","Yes","No"))</f>
        <v/>
      </c>
      <c r="X1217" s="29">
        <f>IF(B1217="","",IF(COUNTIF($B$5:$B$3004,B1217)&gt;1,"DUPLICATE","OK"))</f>
        <v/>
      </c>
      <c r="Y1217" s="29">
        <f>IF(OR(U1217="",V1217="",V1217="Excluded"),"",IF(COUNTIFS($U$5:$U$3004,U1217,$V$5:$V$3004,"&lt;&gt;"&amp;V1217,$V$5:$V$3004,"&lt;&gt;",$V$5:$V$3004,"&lt;&gt;Excluded")&gt;0,"LEAK RISK","OK"))</f>
        <v/>
      </c>
      <c r="Z1217" s="30" t="n"/>
    </row>
    <row r="1218">
      <c r="A1218" s="30" t="n"/>
      <c r="B1218" s="30" t="n"/>
      <c r="C1218" s="30" t="n"/>
      <c r="D1218" s="30" t="n"/>
      <c r="E1218" s="30" t="n"/>
      <c r="F1218" s="30" t="n"/>
      <c r="G1218" s="30" t="n"/>
      <c r="H1218" s="30" t="n"/>
      <c r="I1218" s="31" t="n"/>
      <c r="J1218" s="30" t="n"/>
      <c r="K1218" s="30" t="n"/>
      <c r="L1218" s="30" t="n"/>
      <c r="M1218" s="30" t="n"/>
      <c r="N1218" s="32" t="n"/>
      <c r="O1218" s="30" t="n"/>
      <c r="P1218" s="32" t="n"/>
      <c r="Q1218" s="30" t="n"/>
      <c r="R1218" s="32" t="n"/>
      <c r="S1218" s="30" t="n"/>
      <c r="T1218" s="30" t="n"/>
      <c r="U1218" s="30" t="n"/>
      <c r="V1218" s="30" t="n"/>
      <c r="W1218" s="29">
        <f>IF(H1218="","",IF(H1218="Kenya","Yes","No"))</f>
        <v/>
      </c>
      <c r="X1218" s="29">
        <f>IF(B1218="","",IF(COUNTIF($B$5:$B$3004,B1218)&gt;1,"DUPLICATE","OK"))</f>
        <v/>
      </c>
      <c r="Y1218" s="29">
        <f>IF(OR(U1218="",V1218="",V1218="Excluded"),"",IF(COUNTIFS($U$5:$U$3004,U1218,$V$5:$V$3004,"&lt;&gt;"&amp;V1218,$V$5:$V$3004,"&lt;&gt;",$V$5:$V$3004,"&lt;&gt;Excluded")&gt;0,"LEAK RISK","OK"))</f>
        <v/>
      </c>
      <c r="Z1218" s="30" t="n"/>
    </row>
    <row r="1219">
      <c r="A1219" s="30" t="n"/>
      <c r="B1219" s="30" t="n"/>
      <c r="C1219" s="30" t="n"/>
      <c r="D1219" s="30" t="n"/>
      <c r="E1219" s="30" t="n"/>
      <c r="F1219" s="30" t="n"/>
      <c r="G1219" s="30" t="n"/>
      <c r="H1219" s="30" t="n"/>
      <c r="I1219" s="31" t="n"/>
      <c r="J1219" s="30" t="n"/>
      <c r="K1219" s="30" t="n"/>
      <c r="L1219" s="30" t="n"/>
      <c r="M1219" s="30" t="n"/>
      <c r="N1219" s="32" t="n"/>
      <c r="O1219" s="30" t="n"/>
      <c r="P1219" s="32" t="n"/>
      <c r="Q1219" s="30" t="n"/>
      <c r="R1219" s="32" t="n"/>
      <c r="S1219" s="30" t="n"/>
      <c r="T1219" s="30" t="n"/>
      <c r="U1219" s="30" t="n"/>
      <c r="V1219" s="30" t="n"/>
      <c r="W1219" s="29">
        <f>IF(H1219="","",IF(H1219="Kenya","Yes","No"))</f>
        <v/>
      </c>
      <c r="X1219" s="29">
        <f>IF(B1219="","",IF(COUNTIF($B$5:$B$3004,B1219)&gt;1,"DUPLICATE","OK"))</f>
        <v/>
      </c>
      <c r="Y1219" s="29">
        <f>IF(OR(U1219="",V1219="",V1219="Excluded"),"",IF(COUNTIFS($U$5:$U$3004,U1219,$V$5:$V$3004,"&lt;&gt;"&amp;V1219,$V$5:$V$3004,"&lt;&gt;",$V$5:$V$3004,"&lt;&gt;Excluded")&gt;0,"LEAK RISK","OK"))</f>
        <v/>
      </c>
      <c r="Z1219" s="30" t="n"/>
    </row>
    <row r="1220">
      <c r="A1220" s="30" t="n"/>
      <c r="B1220" s="30" t="n"/>
      <c r="C1220" s="30" t="n"/>
      <c r="D1220" s="30" t="n"/>
      <c r="E1220" s="30" t="n"/>
      <c r="F1220" s="30" t="n"/>
      <c r="G1220" s="30" t="n"/>
      <c r="H1220" s="30" t="n"/>
      <c r="I1220" s="31" t="n"/>
      <c r="J1220" s="30" t="n"/>
      <c r="K1220" s="30" t="n"/>
      <c r="L1220" s="30" t="n"/>
      <c r="M1220" s="30" t="n"/>
      <c r="N1220" s="32" t="n"/>
      <c r="O1220" s="30" t="n"/>
      <c r="P1220" s="32" t="n"/>
      <c r="Q1220" s="30" t="n"/>
      <c r="R1220" s="32" t="n"/>
      <c r="S1220" s="30" t="n"/>
      <c r="T1220" s="30" t="n"/>
      <c r="U1220" s="30" t="n"/>
      <c r="V1220" s="30" t="n"/>
      <c r="W1220" s="29">
        <f>IF(H1220="","",IF(H1220="Kenya","Yes","No"))</f>
        <v/>
      </c>
      <c r="X1220" s="29">
        <f>IF(B1220="","",IF(COUNTIF($B$5:$B$3004,B1220)&gt;1,"DUPLICATE","OK"))</f>
        <v/>
      </c>
      <c r="Y1220" s="29">
        <f>IF(OR(U1220="",V1220="",V1220="Excluded"),"",IF(COUNTIFS($U$5:$U$3004,U1220,$V$5:$V$3004,"&lt;&gt;"&amp;V1220,$V$5:$V$3004,"&lt;&gt;",$V$5:$V$3004,"&lt;&gt;Excluded")&gt;0,"LEAK RISK","OK"))</f>
        <v/>
      </c>
      <c r="Z1220" s="30" t="n"/>
    </row>
    <row r="1221">
      <c r="A1221" s="30" t="n"/>
      <c r="B1221" s="30" t="n"/>
      <c r="C1221" s="30" t="n"/>
      <c r="D1221" s="30" t="n"/>
      <c r="E1221" s="30" t="n"/>
      <c r="F1221" s="30" t="n"/>
      <c r="G1221" s="30" t="n"/>
      <c r="H1221" s="30" t="n"/>
      <c r="I1221" s="31" t="n"/>
      <c r="J1221" s="30" t="n"/>
      <c r="K1221" s="30" t="n"/>
      <c r="L1221" s="30" t="n"/>
      <c r="M1221" s="30" t="n"/>
      <c r="N1221" s="32" t="n"/>
      <c r="O1221" s="30" t="n"/>
      <c r="P1221" s="32" t="n"/>
      <c r="Q1221" s="30" t="n"/>
      <c r="R1221" s="32" t="n"/>
      <c r="S1221" s="30" t="n"/>
      <c r="T1221" s="30" t="n"/>
      <c r="U1221" s="30" t="n"/>
      <c r="V1221" s="30" t="n"/>
      <c r="W1221" s="29">
        <f>IF(H1221="","",IF(H1221="Kenya","Yes","No"))</f>
        <v/>
      </c>
      <c r="X1221" s="29">
        <f>IF(B1221="","",IF(COUNTIF($B$5:$B$3004,B1221)&gt;1,"DUPLICATE","OK"))</f>
        <v/>
      </c>
      <c r="Y1221" s="29">
        <f>IF(OR(U1221="",V1221="",V1221="Excluded"),"",IF(COUNTIFS($U$5:$U$3004,U1221,$V$5:$V$3004,"&lt;&gt;"&amp;V1221,$V$5:$V$3004,"&lt;&gt;",$V$5:$V$3004,"&lt;&gt;Excluded")&gt;0,"LEAK RISK","OK"))</f>
        <v/>
      </c>
      <c r="Z1221" s="30" t="n"/>
    </row>
    <row r="1222">
      <c r="A1222" s="30" t="n"/>
      <c r="B1222" s="30" t="n"/>
      <c r="C1222" s="30" t="n"/>
      <c r="D1222" s="30" t="n"/>
      <c r="E1222" s="30" t="n"/>
      <c r="F1222" s="30" t="n"/>
      <c r="G1222" s="30" t="n"/>
      <c r="H1222" s="30" t="n"/>
      <c r="I1222" s="31" t="n"/>
      <c r="J1222" s="30" t="n"/>
      <c r="K1222" s="30" t="n"/>
      <c r="L1222" s="30" t="n"/>
      <c r="M1222" s="30" t="n"/>
      <c r="N1222" s="32" t="n"/>
      <c r="O1222" s="30" t="n"/>
      <c r="P1222" s="32" t="n"/>
      <c r="Q1222" s="30" t="n"/>
      <c r="R1222" s="32" t="n"/>
      <c r="S1222" s="30" t="n"/>
      <c r="T1222" s="30" t="n"/>
      <c r="U1222" s="30" t="n"/>
      <c r="V1222" s="30" t="n"/>
      <c r="W1222" s="29">
        <f>IF(H1222="","",IF(H1222="Kenya","Yes","No"))</f>
        <v/>
      </c>
      <c r="X1222" s="29">
        <f>IF(B1222="","",IF(COUNTIF($B$5:$B$3004,B1222)&gt;1,"DUPLICATE","OK"))</f>
        <v/>
      </c>
      <c r="Y1222" s="29">
        <f>IF(OR(U1222="",V1222="",V1222="Excluded"),"",IF(COUNTIFS($U$5:$U$3004,U1222,$V$5:$V$3004,"&lt;&gt;"&amp;V1222,$V$5:$V$3004,"&lt;&gt;",$V$5:$V$3004,"&lt;&gt;Excluded")&gt;0,"LEAK RISK","OK"))</f>
        <v/>
      </c>
      <c r="Z1222" s="30" t="n"/>
    </row>
    <row r="1223">
      <c r="A1223" s="30" t="n"/>
      <c r="B1223" s="30" t="n"/>
      <c r="C1223" s="30" t="n"/>
      <c r="D1223" s="30" t="n"/>
      <c r="E1223" s="30" t="n"/>
      <c r="F1223" s="30" t="n"/>
      <c r="G1223" s="30" t="n"/>
      <c r="H1223" s="30" t="n"/>
      <c r="I1223" s="31" t="n"/>
      <c r="J1223" s="30" t="n"/>
      <c r="K1223" s="30" t="n"/>
      <c r="L1223" s="30" t="n"/>
      <c r="M1223" s="30" t="n"/>
      <c r="N1223" s="32" t="n"/>
      <c r="O1223" s="30" t="n"/>
      <c r="P1223" s="32" t="n"/>
      <c r="Q1223" s="30" t="n"/>
      <c r="R1223" s="32" t="n"/>
      <c r="S1223" s="30" t="n"/>
      <c r="T1223" s="30" t="n"/>
      <c r="U1223" s="30" t="n"/>
      <c r="V1223" s="30" t="n"/>
      <c r="W1223" s="29">
        <f>IF(H1223="","",IF(H1223="Kenya","Yes","No"))</f>
        <v/>
      </c>
      <c r="X1223" s="29">
        <f>IF(B1223="","",IF(COUNTIF($B$5:$B$3004,B1223)&gt;1,"DUPLICATE","OK"))</f>
        <v/>
      </c>
      <c r="Y1223" s="29">
        <f>IF(OR(U1223="",V1223="",V1223="Excluded"),"",IF(COUNTIFS($U$5:$U$3004,U1223,$V$5:$V$3004,"&lt;&gt;"&amp;V1223,$V$5:$V$3004,"&lt;&gt;",$V$5:$V$3004,"&lt;&gt;Excluded")&gt;0,"LEAK RISK","OK"))</f>
        <v/>
      </c>
      <c r="Z1223" s="30" t="n"/>
    </row>
    <row r="1224">
      <c r="A1224" s="30" t="n"/>
      <c r="B1224" s="30" t="n"/>
      <c r="C1224" s="30" t="n"/>
      <c r="D1224" s="30" t="n"/>
      <c r="E1224" s="30" t="n"/>
      <c r="F1224" s="30" t="n"/>
      <c r="G1224" s="30" t="n"/>
      <c r="H1224" s="30" t="n"/>
      <c r="I1224" s="31" t="n"/>
      <c r="J1224" s="30" t="n"/>
      <c r="K1224" s="30" t="n"/>
      <c r="L1224" s="30" t="n"/>
      <c r="M1224" s="30" t="n"/>
      <c r="N1224" s="32" t="n"/>
      <c r="O1224" s="30" t="n"/>
      <c r="P1224" s="32" t="n"/>
      <c r="Q1224" s="30" t="n"/>
      <c r="R1224" s="32" t="n"/>
      <c r="S1224" s="30" t="n"/>
      <c r="T1224" s="30" t="n"/>
      <c r="U1224" s="30" t="n"/>
      <c r="V1224" s="30" t="n"/>
      <c r="W1224" s="29">
        <f>IF(H1224="","",IF(H1224="Kenya","Yes","No"))</f>
        <v/>
      </c>
      <c r="X1224" s="29">
        <f>IF(B1224="","",IF(COUNTIF($B$5:$B$3004,B1224)&gt;1,"DUPLICATE","OK"))</f>
        <v/>
      </c>
      <c r="Y1224" s="29">
        <f>IF(OR(U1224="",V1224="",V1224="Excluded"),"",IF(COUNTIFS($U$5:$U$3004,U1224,$V$5:$V$3004,"&lt;&gt;"&amp;V1224,$V$5:$V$3004,"&lt;&gt;",$V$5:$V$3004,"&lt;&gt;Excluded")&gt;0,"LEAK RISK","OK"))</f>
        <v/>
      </c>
      <c r="Z1224" s="30" t="n"/>
    </row>
    <row r="1225">
      <c r="A1225" s="30" t="n"/>
      <c r="B1225" s="30" t="n"/>
      <c r="C1225" s="30" t="n"/>
      <c r="D1225" s="30" t="n"/>
      <c r="E1225" s="30" t="n"/>
      <c r="F1225" s="30" t="n"/>
      <c r="G1225" s="30" t="n"/>
      <c r="H1225" s="30" t="n"/>
      <c r="I1225" s="31" t="n"/>
      <c r="J1225" s="30" t="n"/>
      <c r="K1225" s="30" t="n"/>
      <c r="L1225" s="30" t="n"/>
      <c r="M1225" s="30" t="n"/>
      <c r="N1225" s="32" t="n"/>
      <c r="O1225" s="30" t="n"/>
      <c r="P1225" s="32" t="n"/>
      <c r="Q1225" s="30" t="n"/>
      <c r="R1225" s="32" t="n"/>
      <c r="S1225" s="30" t="n"/>
      <c r="T1225" s="30" t="n"/>
      <c r="U1225" s="30" t="n"/>
      <c r="V1225" s="30" t="n"/>
      <c r="W1225" s="29">
        <f>IF(H1225="","",IF(H1225="Kenya","Yes","No"))</f>
        <v/>
      </c>
      <c r="X1225" s="29">
        <f>IF(B1225="","",IF(COUNTIF($B$5:$B$3004,B1225)&gt;1,"DUPLICATE","OK"))</f>
        <v/>
      </c>
      <c r="Y1225" s="29">
        <f>IF(OR(U1225="",V1225="",V1225="Excluded"),"",IF(COUNTIFS($U$5:$U$3004,U1225,$V$5:$V$3004,"&lt;&gt;"&amp;V1225,$V$5:$V$3004,"&lt;&gt;",$V$5:$V$3004,"&lt;&gt;Excluded")&gt;0,"LEAK RISK","OK"))</f>
        <v/>
      </c>
      <c r="Z1225" s="30" t="n"/>
    </row>
    <row r="1226">
      <c r="A1226" s="30" t="n"/>
      <c r="B1226" s="30" t="n"/>
      <c r="C1226" s="30" t="n"/>
      <c r="D1226" s="30" t="n"/>
      <c r="E1226" s="30" t="n"/>
      <c r="F1226" s="30" t="n"/>
      <c r="G1226" s="30" t="n"/>
      <c r="H1226" s="30" t="n"/>
      <c r="I1226" s="31" t="n"/>
      <c r="J1226" s="30" t="n"/>
      <c r="K1226" s="30" t="n"/>
      <c r="L1226" s="30" t="n"/>
      <c r="M1226" s="30" t="n"/>
      <c r="N1226" s="32" t="n"/>
      <c r="O1226" s="30" t="n"/>
      <c r="P1226" s="32" t="n"/>
      <c r="Q1226" s="30" t="n"/>
      <c r="R1226" s="32" t="n"/>
      <c r="S1226" s="30" t="n"/>
      <c r="T1226" s="30" t="n"/>
      <c r="U1226" s="30" t="n"/>
      <c r="V1226" s="30" t="n"/>
      <c r="W1226" s="29">
        <f>IF(H1226="","",IF(H1226="Kenya","Yes","No"))</f>
        <v/>
      </c>
      <c r="X1226" s="29">
        <f>IF(B1226="","",IF(COUNTIF($B$5:$B$3004,B1226)&gt;1,"DUPLICATE","OK"))</f>
        <v/>
      </c>
      <c r="Y1226" s="29">
        <f>IF(OR(U1226="",V1226="",V1226="Excluded"),"",IF(COUNTIFS($U$5:$U$3004,U1226,$V$5:$V$3004,"&lt;&gt;"&amp;V1226,$V$5:$V$3004,"&lt;&gt;",$V$5:$V$3004,"&lt;&gt;Excluded")&gt;0,"LEAK RISK","OK"))</f>
        <v/>
      </c>
      <c r="Z1226" s="30" t="n"/>
    </row>
    <row r="1227">
      <c r="A1227" s="30" t="n"/>
      <c r="B1227" s="30" t="n"/>
      <c r="C1227" s="30" t="n"/>
      <c r="D1227" s="30" t="n"/>
      <c r="E1227" s="30" t="n"/>
      <c r="F1227" s="30" t="n"/>
      <c r="G1227" s="30" t="n"/>
      <c r="H1227" s="30" t="n"/>
      <c r="I1227" s="31" t="n"/>
      <c r="J1227" s="30" t="n"/>
      <c r="K1227" s="30" t="n"/>
      <c r="L1227" s="30" t="n"/>
      <c r="M1227" s="30" t="n"/>
      <c r="N1227" s="32" t="n"/>
      <c r="O1227" s="30" t="n"/>
      <c r="P1227" s="32" t="n"/>
      <c r="Q1227" s="30" t="n"/>
      <c r="R1227" s="32" t="n"/>
      <c r="S1227" s="30" t="n"/>
      <c r="T1227" s="30" t="n"/>
      <c r="U1227" s="30" t="n"/>
      <c r="V1227" s="30" t="n"/>
      <c r="W1227" s="29">
        <f>IF(H1227="","",IF(H1227="Kenya","Yes","No"))</f>
        <v/>
      </c>
      <c r="X1227" s="29">
        <f>IF(B1227="","",IF(COUNTIF($B$5:$B$3004,B1227)&gt;1,"DUPLICATE","OK"))</f>
        <v/>
      </c>
      <c r="Y1227" s="29">
        <f>IF(OR(U1227="",V1227="",V1227="Excluded"),"",IF(COUNTIFS($U$5:$U$3004,U1227,$V$5:$V$3004,"&lt;&gt;"&amp;V1227,$V$5:$V$3004,"&lt;&gt;",$V$5:$V$3004,"&lt;&gt;Excluded")&gt;0,"LEAK RISK","OK"))</f>
        <v/>
      </c>
      <c r="Z1227" s="30" t="n"/>
    </row>
    <row r="1228">
      <c r="A1228" s="30" t="n"/>
      <c r="B1228" s="30" t="n"/>
      <c r="C1228" s="30" t="n"/>
      <c r="D1228" s="30" t="n"/>
      <c r="E1228" s="30" t="n"/>
      <c r="F1228" s="30" t="n"/>
      <c r="G1228" s="30" t="n"/>
      <c r="H1228" s="30" t="n"/>
      <c r="I1228" s="31" t="n"/>
      <c r="J1228" s="30" t="n"/>
      <c r="K1228" s="30" t="n"/>
      <c r="L1228" s="30" t="n"/>
      <c r="M1228" s="30" t="n"/>
      <c r="N1228" s="32" t="n"/>
      <c r="O1228" s="30" t="n"/>
      <c r="P1228" s="32" t="n"/>
      <c r="Q1228" s="30" t="n"/>
      <c r="R1228" s="32" t="n"/>
      <c r="S1228" s="30" t="n"/>
      <c r="T1228" s="30" t="n"/>
      <c r="U1228" s="30" t="n"/>
      <c r="V1228" s="30" t="n"/>
      <c r="W1228" s="29">
        <f>IF(H1228="","",IF(H1228="Kenya","Yes","No"))</f>
        <v/>
      </c>
      <c r="X1228" s="29">
        <f>IF(B1228="","",IF(COUNTIF($B$5:$B$3004,B1228)&gt;1,"DUPLICATE","OK"))</f>
        <v/>
      </c>
      <c r="Y1228" s="29">
        <f>IF(OR(U1228="",V1228="",V1228="Excluded"),"",IF(COUNTIFS($U$5:$U$3004,U1228,$V$5:$V$3004,"&lt;&gt;"&amp;V1228,$V$5:$V$3004,"&lt;&gt;",$V$5:$V$3004,"&lt;&gt;Excluded")&gt;0,"LEAK RISK","OK"))</f>
        <v/>
      </c>
      <c r="Z1228" s="30" t="n"/>
    </row>
    <row r="1229">
      <c r="A1229" s="30" t="n"/>
      <c r="B1229" s="30" t="n"/>
      <c r="C1229" s="30" t="n"/>
      <c r="D1229" s="30" t="n"/>
      <c r="E1229" s="30" t="n"/>
      <c r="F1229" s="30" t="n"/>
      <c r="G1229" s="30" t="n"/>
      <c r="H1229" s="30" t="n"/>
      <c r="I1229" s="31" t="n"/>
      <c r="J1229" s="30" t="n"/>
      <c r="K1229" s="30" t="n"/>
      <c r="L1229" s="30" t="n"/>
      <c r="M1229" s="30" t="n"/>
      <c r="N1229" s="32" t="n"/>
      <c r="O1229" s="30" t="n"/>
      <c r="P1229" s="32" t="n"/>
      <c r="Q1229" s="30" t="n"/>
      <c r="R1229" s="32" t="n"/>
      <c r="S1229" s="30" t="n"/>
      <c r="T1229" s="30" t="n"/>
      <c r="U1229" s="30" t="n"/>
      <c r="V1229" s="30" t="n"/>
      <c r="W1229" s="29">
        <f>IF(H1229="","",IF(H1229="Kenya","Yes","No"))</f>
        <v/>
      </c>
      <c r="X1229" s="29">
        <f>IF(B1229="","",IF(COUNTIF($B$5:$B$3004,B1229)&gt;1,"DUPLICATE","OK"))</f>
        <v/>
      </c>
      <c r="Y1229" s="29">
        <f>IF(OR(U1229="",V1229="",V1229="Excluded"),"",IF(COUNTIFS($U$5:$U$3004,U1229,$V$5:$V$3004,"&lt;&gt;"&amp;V1229,$V$5:$V$3004,"&lt;&gt;",$V$5:$V$3004,"&lt;&gt;Excluded")&gt;0,"LEAK RISK","OK"))</f>
        <v/>
      </c>
      <c r="Z1229" s="30" t="n"/>
    </row>
    <row r="1230">
      <c r="A1230" s="30" t="n"/>
      <c r="B1230" s="30" t="n"/>
      <c r="C1230" s="30" t="n"/>
      <c r="D1230" s="30" t="n"/>
      <c r="E1230" s="30" t="n"/>
      <c r="F1230" s="30" t="n"/>
      <c r="G1230" s="30" t="n"/>
      <c r="H1230" s="30" t="n"/>
      <c r="I1230" s="31" t="n"/>
      <c r="J1230" s="30" t="n"/>
      <c r="K1230" s="30" t="n"/>
      <c r="L1230" s="30" t="n"/>
      <c r="M1230" s="30" t="n"/>
      <c r="N1230" s="32" t="n"/>
      <c r="O1230" s="30" t="n"/>
      <c r="P1230" s="32" t="n"/>
      <c r="Q1230" s="30" t="n"/>
      <c r="R1230" s="32" t="n"/>
      <c r="S1230" s="30" t="n"/>
      <c r="T1230" s="30" t="n"/>
      <c r="U1230" s="30" t="n"/>
      <c r="V1230" s="30" t="n"/>
      <c r="W1230" s="29">
        <f>IF(H1230="","",IF(H1230="Kenya","Yes","No"))</f>
        <v/>
      </c>
      <c r="X1230" s="29">
        <f>IF(B1230="","",IF(COUNTIF($B$5:$B$3004,B1230)&gt;1,"DUPLICATE","OK"))</f>
        <v/>
      </c>
      <c r="Y1230" s="29">
        <f>IF(OR(U1230="",V1230="",V1230="Excluded"),"",IF(COUNTIFS($U$5:$U$3004,U1230,$V$5:$V$3004,"&lt;&gt;"&amp;V1230,$V$5:$V$3004,"&lt;&gt;",$V$5:$V$3004,"&lt;&gt;Excluded")&gt;0,"LEAK RISK","OK"))</f>
        <v/>
      </c>
      <c r="Z1230" s="30" t="n"/>
    </row>
    <row r="1231">
      <c r="A1231" s="30" t="n"/>
      <c r="B1231" s="30" t="n"/>
      <c r="C1231" s="30" t="n"/>
      <c r="D1231" s="30" t="n"/>
      <c r="E1231" s="30" t="n"/>
      <c r="F1231" s="30" t="n"/>
      <c r="G1231" s="30" t="n"/>
      <c r="H1231" s="30" t="n"/>
      <c r="I1231" s="31" t="n"/>
      <c r="J1231" s="30" t="n"/>
      <c r="K1231" s="30" t="n"/>
      <c r="L1231" s="30" t="n"/>
      <c r="M1231" s="30" t="n"/>
      <c r="N1231" s="32" t="n"/>
      <c r="O1231" s="30" t="n"/>
      <c r="P1231" s="32" t="n"/>
      <c r="Q1231" s="30" t="n"/>
      <c r="R1231" s="32" t="n"/>
      <c r="S1231" s="30" t="n"/>
      <c r="T1231" s="30" t="n"/>
      <c r="U1231" s="30" t="n"/>
      <c r="V1231" s="30" t="n"/>
      <c r="W1231" s="29">
        <f>IF(H1231="","",IF(H1231="Kenya","Yes","No"))</f>
        <v/>
      </c>
      <c r="X1231" s="29">
        <f>IF(B1231="","",IF(COUNTIF($B$5:$B$3004,B1231)&gt;1,"DUPLICATE","OK"))</f>
        <v/>
      </c>
      <c r="Y1231" s="29">
        <f>IF(OR(U1231="",V1231="",V1231="Excluded"),"",IF(COUNTIFS($U$5:$U$3004,U1231,$V$5:$V$3004,"&lt;&gt;"&amp;V1231,$V$5:$V$3004,"&lt;&gt;",$V$5:$V$3004,"&lt;&gt;Excluded")&gt;0,"LEAK RISK","OK"))</f>
        <v/>
      </c>
      <c r="Z1231" s="30" t="n"/>
    </row>
    <row r="1232">
      <c r="A1232" s="30" t="n"/>
      <c r="B1232" s="30" t="n"/>
      <c r="C1232" s="30" t="n"/>
      <c r="D1232" s="30" t="n"/>
      <c r="E1232" s="30" t="n"/>
      <c r="F1232" s="30" t="n"/>
      <c r="G1232" s="30" t="n"/>
      <c r="H1232" s="30" t="n"/>
      <c r="I1232" s="31" t="n"/>
      <c r="J1232" s="30" t="n"/>
      <c r="K1232" s="30" t="n"/>
      <c r="L1232" s="30" t="n"/>
      <c r="M1232" s="30" t="n"/>
      <c r="N1232" s="32" t="n"/>
      <c r="O1232" s="30" t="n"/>
      <c r="P1232" s="32" t="n"/>
      <c r="Q1232" s="30" t="n"/>
      <c r="R1232" s="32" t="n"/>
      <c r="S1232" s="30" t="n"/>
      <c r="T1232" s="30" t="n"/>
      <c r="U1232" s="30" t="n"/>
      <c r="V1232" s="30" t="n"/>
      <c r="W1232" s="29">
        <f>IF(H1232="","",IF(H1232="Kenya","Yes","No"))</f>
        <v/>
      </c>
      <c r="X1232" s="29">
        <f>IF(B1232="","",IF(COUNTIF($B$5:$B$3004,B1232)&gt;1,"DUPLICATE","OK"))</f>
        <v/>
      </c>
      <c r="Y1232" s="29">
        <f>IF(OR(U1232="",V1232="",V1232="Excluded"),"",IF(COUNTIFS($U$5:$U$3004,U1232,$V$5:$V$3004,"&lt;&gt;"&amp;V1232,$V$5:$V$3004,"&lt;&gt;",$V$5:$V$3004,"&lt;&gt;Excluded")&gt;0,"LEAK RISK","OK"))</f>
        <v/>
      </c>
      <c r="Z1232" s="30" t="n"/>
    </row>
    <row r="1233">
      <c r="A1233" s="30" t="n"/>
      <c r="B1233" s="30" t="n"/>
      <c r="C1233" s="30" t="n"/>
      <c r="D1233" s="30" t="n"/>
      <c r="E1233" s="30" t="n"/>
      <c r="F1233" s="30" t="n"/>
      <c r="G1233" s="30" t="n"/>
      <c r="H1233" s="30" t="n"/>
      <c r="I1233" s="31" t="n"/>
      <c r="J1233" s="30" t="n"/>
      <c r="K1233" s="30" t="n"/>
      <c r="L1233" s="30" t="n"/>
      <c r="M1233" s="30" t="n"/>
      <c r="N1233" s="32" t="n"/>
      <c r="O1233" s="30" t="n"/>
      <c r="P1233" s="32" t="n"/>
      <c r="Q1233" s="30" t="n"/>
      <c r="R1233" s="32" t="n"/>
      <c r="S1233" s="30" t="n"/>
      <c r="T1233" s="30" t="n"/>
      <c r="U1233" s="30" t="n"/>
      <c r="V1233" s="30" t="n"/>
      <c r="W1233" s="29">
        <f>IF(H1233="","",IF(H1233="Kenya","Yes","No"))</f>
        <v/>
      </c>
      <c r="X1233" s="29">
        <f>IF(B1233="","",IF(COUNTIF($B$5:$B$3004,B1233)&gt;1,"DUPLICATE","OK"))</f>
        <v/>
      </c>
      <c r="Y1233" s="29">
        <f>IF(OR(U1233="",V1233="",V1233="Excluded"),"",IF(COUNTIFS($U$5:$U$3004,U1233,$V$5:$V$3004,"&lt;&gt;"&amp;V1233,$V$5:$V$3004,"&lt;&gt;",$V$5:$V$3004,"&lt;&gt;Excluded")&gt;0,"LEAK RISK","OK"))</f>
        <v/>
      </c>
      <c r="Z1233" s="30" t="n"/>
    </row>
    <row r="1234">
      <c r="A1234" s="30" t="n"/>
      <c r="B1234" s="30" t="n"/>
      <c r="C1234" s="30" t="n"/>
      <c r="D1234" s="30" t="n"/>
      <c r="E1234" s="30" t="n"/>
      <c r="F1234" s="30" t="n"/>
      <c r="G1234" s="30" t="n"/>
      <c r="H1234" s="30" t="n"/>
      <c r="I1234" s="31" t="n"/>
      <c r="J1234" s="30" t="n"/>
      <c r="K1234" s="30" t="n"/>
      <c r="L1234" s="30" t="n"/>
      <c r="M1234" s="30" t="n"/>
      <c r="N1234" s="32" t="n"/>
      <c r="O1234" s="30" t="n"/>
      <c r="P1234" s="32" t="n"/>
      <c r="Q1234" s="30" t="n"/>
      <c r="R1234" s="32" t="n"/>
      <c r="S1234" s="30" t="n"/>
      <c r="T1234" s="30" t="n"/>
      <c r="U1234" s="30" t="n"/>
      <c r="V1234" s="30" t="n"/>
      <c r="W1234" s="29">
        <f>IF(H1234="","",IF(H1234="Kenya","Yes","No"))</f>
        <v/>
      </c>
      <c r="X1234" s="29">
        <f>IF(B1234="","",IF(COUNTIF($B$5:$B$3004,B1234)&gt;1,"DUPLICATE","OK"))</f>
        <v/>
      </c>
      <c r="Y1234" s="29">
        <f>IF(OR(U1234="",V1234="",V1234="Excluded"),"",IF(COUNTIFS($U$5:$U$3004,U1234,$V$5:$V$3004,"&lt;&gt;"&amp;V1234,$V$5:$V$3004,"&lt;&gt;",$V$5:$V$3004,"&lt;&gt;Excluded")&gt;0,"LEAK RISK","OK"))</f>
        <v/>
      </c>
      <c r="Z1234" s="30" t="n"/>
    </row>
    <row r="1235">
      <c r="A1235" s="30" t="n"/>
      <c r="B1235" s="30" t="n"/>
      <c r="C1235" s="30" t="n"/>
      <c r="D1235" s="30" t="n"/>
      <c r="E1235" s="30" t="n"/>
      <c r="F1235" s="30" t="n"/>
      <c r="G1235" s="30" t="n"/>
      <c r="H1235" s="30" t="n"/>
      <c r="I1235" s="31" t="n"/>
      <c r="J1235" s="30" t="n"/>
      <c r="K1235" s="30" t="n"/>
      <c r="L1235" s="30" t="n"/>
      <c r="M1235" s="30" t="n"/>
      <c r="N1235" s="32" t="n"/>
      <c r="O1235" s="30" t="n"/>
      <c r="P1235" s="32" t="n"/>
      <c r="Q1235" s="30" t="n"/>
      <c r="R1235" s="32" t="n"/>
      <c r="S1235" s="30" t="n"/>
      <c r="T1235" s="30" t="n"/>
      <c r="U1235" s="30" t="n"/>
      <c r="V1235" s="30" t="n"/>
      <c r="W1235" s="29">
        <f>IF(H1235="","",IF(H1235="Kenya","Yes","No"))</f>
        <v/>
      </c>
      <c r="X1235" s="29">
        <f>IF(B1235="","",IF(COUNTIF($B$5:$B$3004,B1235)&gt;1,"DUPLICATE","OK"))</f>
        <v/>
      </c>
      <c r="Y1235" s="29">
        <f>IF(OR(U1235="",V1235="",V1235="Excluded"),"",IF(COUNTIFS($U$5:$U$3004,U1235,$V$5:$V$3004,"&lt;&gt;"&amp;V1235,$V$5:$V$3004,"&lt;&gt;",$V$5:$V$3004,"&lt;&gt;Excluded")&gt;0,"LEAK RISK","OK"))</f>
        <v/>
      </c>
      <c r="Z1235" s="30" t="n"/>
    </row>
    <row r="1236">
      <c r="A1236" s="30" t="n"/>
      <c r="B1236" s="30" t="n"/>
      <c r="C1236" s="30" t="n"/>
      <c r="D1236" s="30" t="n"/>
      <c r="E1236" s="30" t="n"/>
      <c r="F1236" s="30" t="n"/>
      <c r="G1236" s="30" t="n"/>
      <c r="H1236" s="30" t="n"/>
      <c r="I1236" s="31" t="n"/>
      <c r="J1236" s="30" t="n"/>
      <c r="K1236" s="30" t="n"/>
      <c r="L1236" s="30" t="n"/>
      <c r="M1236" s="30" t="n"/>
      <c r="N1236" s="32" t="n"/>
      <c r="O1236" s="30" t="n"/>
      <c r="P1236" s="32" t="n"/>
      <c r="Q1236" s="30" t="n"/>
      <c r="R1236" s="32" t="n"/>
      <c r="S1236" s="30" t="n"/>
      <c r="T1236" s="30" t="n"/>
      <c r="U1236" s="30" t="n"/>
      <c r="V1236" s="30" t="n"/>
      <c r="W1236" s="29">
        <f>IF(H1236="","",IF(H1236="Kenya","Yes","No"))</f>
        <v/>
      </c>
      <c r="X1236" s="29">
        <f>IF(B1236="","",IF(COUNTIF($B$5:$B$3004,B1236)&gt;1,"DUPLICATE","OK"))</f>
        <v/>
      </c>
      <c r="Y1236" s="29">
        <f>IF(OR(U1236="",V1236="",V1236="Excluded"),"",IF(COUNTIFS($U$5:$U$3004,U1236,$V$5:$V$3004,"&lt;&gt;"&amp;V1236,$V$5:$V$3004,"&lt;&gt;",$V$5:$V$3004,"&lt;&gt;Excluded")&gt;0,"LEAK RISK","OK"))</f>
        <v/>
      </c>
      <c r="Z1236" s="30" t="n"/>
    </row>
    <row r="1237">
      <c r="A1237" s="30" t="n"/>
      <c r="B1237" s="30" t="n"/>
      <c r="C1237" s="30" t="n"/>
      <c r="D1237" s="30" t="n"/>
      <c r="E1237" s="30" t="n"/>
      <c r="F1237" s="30" t="n"/>
      <c r="G1237" s="30" t="n"/>
      <c r="H1237" s="30" t="n"/>
      <c r="I1237" s="31" t="n"/>
      <c r="J1237" s="30" t="n"/>
      <c r="K1237" s="30" t="n"/>
      <c r="L1237" s="30" t="n"/>
      <c r="M1237" s="30" t="n"/>
      <c r="N1237" s="32" t="n"/>
      <c r="O1237" s="30" t="n"/>
      <c r="P1237" s="32" t="n"/>
      <c r="Q1237" s="30" t="n"/>
      <c r="R1237" s="32" t="n"/>
      <c r="S1237" s="30" t="n"/>
      <c r="T1237" s="30" t="n"/>
      <c r="U1237" s="30" t="n"/>
      <c r="V1237" s="30" t="n"/>
      <c r="W1237" s="29">
        <f>IF(H1237="","",IF(H1237="Kenya","Yes","No"))</f>
        <v/>
      </c>
      <c r="X1237" s="29">
        <f>IF(B1237="","",IF(COUNTIF($B$5:$B$3004,B1237)&gt;1,"DUPLICATE","OK"))</f>
        <v/>
      </c>
      <c r="Y1237" s="29">
        <f>IF(OR(U1237="",V1237="",V1237="Excluded"),"",IF(COUNTIFS($U$5:$U$3004,U1237,$V$5:$V$3004,"&lt;&gt;"&amp;V1237,$V$5:$V$3004,"&lt;&gt;",$V$5:$V$3004,"&lt;&gt;Excluded")&gt;0,"LEAK RISK","OK"))</f>
        <v/>
      </c>
      <c r="Z1237" s="30" t="n"/>
    </row>
    <row r="1238">
      <c r="A1238" s="30" t="n"/>
      <c r="B1238" s="30" t="n"/>
      <c r="C1238" s="30" t="n"/>
      <c r="D1238" s="30" t="n"/>
      <c r="E1238" s="30" t="n"/>
      <c r="F1238" s="30" t="n"/>
      <c r="G1238" s="30" t="n"/>
      <c r="H1238" s="30" t="n"/>
      <c r="I1238" s="31" t="n"/>
      <c r="J1238" s="30" t="n"/>
      <c r="K1238" s="30" t="n"/>
      <c r="L1238" s="30" t="n"/>
      <c r="M1238" s="30" t="n"/>
      <c r="N1238" s="32" t="n"/>
      <c r="O1238" s="30" t="n"/>
      <c r="P1238" s="32" t="n"/>
      <c r="Q1238" s="30" t="n"/>
      <c r="R1238" s="32" t="n"/>
      <c r="S1238" s="30" t="n"/>
      <c r="T1238" s="30" t="n"/>
      <c r="U1238" s="30" t="n"/>
      <c r="V1238" s="30" t="n"/>
      <c r="W1238" s="29">
        <f>IF(H1238="","",IF(H1238="Kenya","Yes","No"))</f>
        <v/>
      </c>
      <c r="X1238" s="29">
        <f>IF(B1238="","",IF(COUNTIF($B$5:$B$3004,B1238)&gt;1,"DUPLICATE","OK"))</f>
        <v/>
      </c>
      <c r="Y1238" s="29">
        <f>IF(OR(U1238="",V1238="",V1238="Excluded"),"",IF(COUNTIFS($U$5:$U$3004,U1238,$V$5:$V$3004,"&lt;&gt;"&amp;V1238,$V$5:$V$3004,"&lt;&gt;",$V$5:$V$3004,"&lt;&gt;Excluded")&gt;0,"LEAK RISK","OK"))</f>
        <v/>
      </c>
      <c r="Z1238" s="30" t="n"/>
    </row>
    <row r="1239">
      <c r="A1239" s="30" t="n"/>
      <c r="B1239" s="30" t="n"/>
      <c r="C1239" s="30" t="n"/>
      <c r="D1239" s="30" t="n"/>
      <c r="E1239" s="30" t="n"/>
      <c r="F1239" s="30" t="n"/>
      <c r="G1239" s="30" t="n"/>
      <c r="H1239" s="30" t="n"/>
      <c r="I1239" s="31" t="n"/>
      <c r="J1239" s="30" t="n"/>
      <c r="K1239" s="30" t="n"/>
      <c r="L1239" s="30" t="n"/>
      <c r="M1239" s="30" t="n"/>
      <c r="N1239" s="32" t="n"/>
      <c r="O1239" s="30" t="n"/>
      <c r="P1239" s="32" t="n"/>
      <c r="Q1239" s="30" t="n"/>
      <c r="R1239" s="32" t="n"/>
      <c r="S1239" s="30" t="n"/>
      <c r="T1239" s="30" t="n"/>
      <c r="U1239" s="30" t="n"/>
      <c r="V1239" s="30" t="n"/>
      <c r="W1239" s="29">
        <f>IF(H1239="","",IF(H1239="Kenya","Yes","No"))</f>
        <v/>
      </c>
      <c r="X1239" s="29">
        <f>IF(B1239="","",IF(COUNTIF($B$5:$B$3004,B1239)&gt;1,"DUPLICATE","OK"))</f>
        <v/>
      </c>
      <c r="Y1239" s="29">
        <f>IF(OR(U1239="",V1239="",V1239="Excluded"),"",IF(COUNTIFS($U$5:$U$3004,U1239,$V$5:$V$3004,"&lt;&gt;"&amp;V1239,$V$5:$V$3004,"&lt;&gt;",$V$5:$V$3004,"&lt;&gt;Excluded")&gt;0,"LEAK RISK","OK"))</f>
        <v/>
      </c>
      <c r="Z1239" s="30" t="n"/>
    </row>
    <row r="1240">
      <c r="A1240" s="30" t="n"/>
      <c r="B1240" s="30" t="n"/>
      <c r="C1240" s="30" t="n"/>
      <c r="D1240" s="30" t="n"/>
      <c r="E1240" s="30" t="n"/>
      <c r="F1240" s="30" t="n"/>
      <c r="G1240" s="30" t="n"/>
      <c r="H1240" s="30" t="n"/>
      <c r="I1240" s="31" t="n"/>
      <c r="J1240" s="30" t="n"/>
      <c r="K1240" s="30" t="n"/>
      <c r="L1240" s="30" t="n"/>
      <c r="M1240" s="30" t="n"/>
      <c r="N1240" s="32" t="n"/>
      <c r="O1240" s="30" t="n"/>
      <c r="P1240" s="32" t="n"/>
      <c r="Q1240" s="30" t="n"/>
      <c r="R1240" s="32" t="n"/>
      <c r="S1240" s="30" t="n"/>
      <c r="T1240" s="30" t="n"/>
      <c r="U1240" s="30" t="n"/>
      <c r="V1240" s="30" t="n"/>
      <c r="W1240" s="29">
        <f>IF(H1240="","",IF(H1240="Kenya","Yes","No"))</f>
        <v/>
      </c>
      <c r="X1240" s="29">
        <f>IF(B1240="","",IF(COUNTIF($B$5:$B$3004,B1240)&gt;1,"DUPLICATE","OK"))</f>
        <v/>
      </c>
      <c r="Y1240" s="29">
        <f>IF(OR(U1240="",V1240="",V1240="Excluded"),"",IF(COUNTIFS($U$5:$U$3004,U1240,$V$5:$V$3004,"&lt;&gt;"&amp;V1240,$V$5:$V$3004,"&lt;&gt;",$V$5:$V$3004,"&lt;&gt;Excluded")&gt;0,"LEAK RISK","OK"))</f>
        <v/>
      </c>
      <c r="Z1240" s="30" t="n"/>
    </row>
    <row r="1241">
      <c r="A1241" s="30" t="n"/>
      <c r="B1241" s="30" t="n"/>
      <c r="C1241" s="30" t="n"/>
      <c r="D1241" s="30" t="n"/>
      <c r="E1241" s="30" t="n"/>
      <c r="F1241" s="30" t="n"/>
      <c r="G1241" s="30" t="n"/>
      <c r="H1241" s="30" t="n"/>
      <c r="I1241" s="31" t="n"/>
      <c r="J1241" s="30" t="n"/>
      <c r="K1241" s="30" t="n"/>
      <c r="L1241" s="30" t="n"/>
      <c r="M1241" s="30" t="n"/>
      <c r="N1241" s="32" t="n"/>
      <c r="O1241" s="30" t="n"/>
      <c r="P1241" s="32" t="n"/>
      <c r="Q1241" s="30" t="n"/>
      <c r="R1241" s="32" t="n"/>
      <c r="S1241" s="30" t="n"/>
      <c r="T1241" s="30" t="n"/>
      <c r="U1241" s="30" t="n"/>
      <c r="V1241" s="30" t="n"/>
      <c r="W1241" s="29">
        <f>IF(H1241="","",IF(H1241="Kenya","Yes","No"))</f>
        <v/>
      </c>
      <c r="X1241" s="29">
        <f>IF(B1241="","",IF(COUNTIF($B$5:$B$3004,B1241)&gt;1,"DUPLICATE","OK"))</f>
        <v/>
      </c>
      <c r="Y1241" s="29">
        <f>IF(OR(U1241="",V1241="",V1241="Excluded"),"",IF(COUNTIFS($U$5:$U$3004,U1241,$V$5:$V$3004,"&lt;&gt;"&amp;V1241,$V$5:$V$3004,"&lt;&gt;",$V$5:$V$3004,"&lt;&gt;Excluded")&gt;0,"LEAK RISK","OK"))</f>
        <v/>
      </c>
      <c r="Z1241" s="30" t="n"/>
    </row>
    <row r="1242">
      <c r="A1242" s="30" t="n"/>
      <c r="B1242" s="30" t="n"/>
      <c r="C1242" s="30" t="n"/>
      <c r="D1242" s="30" t="n"/>
      <c r="E1242" s="30" t="n"/>
      <c r="F1242" s="30" t="n"/>
      <c r="G1242" s="30" t="n"/>
      <c r="H1242" s="30" t="n"/>
      <c r="I1242" s="31" t="n"/>
      <c r="J1242" s="30" t="n"/>
      <c r="K1242" s="30" t="n"/>
      <c r="L1242" s="30" t="n"/>
      <c r="M1242" s="30" t="n"/>
      <c r="N1242" s="32" t="n"/>
      <c r="O1242" s="30" t="n"/>
      <c r="P1242" s="32" t="n"/>
      <c r="Q1242" s="30" t="n"/>
      <c r="R1242" s="32" t="n"/>
      <c r="S1242" s="30" t="n"/>
      <c r="T1242" s="30" t="n"/>
      <c r="U1242" s="30" t="n"/>
      <c r="V1242" s="30" t="n"/>
      <c r="W1242" s="29">
        <f>IF(H1242="","",IF(H1242="Kenya","Yes","No"))</f>
        <v/>
      </c>
      <c r="X1242" s="29">
        <f>IF(B1242="","",IF(COUNTIF($B$5:$B$3004,B1242)&gt;1,"DUPLICATE","OK"))</f>
        <v/>
      </c>
      <c r="Y1242" s="29">
        <f>IF(OR(U1242="",V1242="",V1242="Excluded"),"",IF(COUNTIFS($U$5:$U$3004,U1242,$V$5:$V$3004,"&lt;&gt;"&amp;V1242,$V$5:$V$3004,"&lt;&gt;",$V$5:$V$3004,"&lt;&gt;Excluded")&gt;0,"LEAK RISK","OK"))</f>
        <v/>
      </c>
      <c r="Z1242" s="30" t="n"/>
    </row>
    <row r="1243">
      <c r="A1243" s="30" t="n"/>
      <c r="B1243" s="30" t="n"/>
      <c r="C1243" s="30" t="n"/>
      <c r="D1243" s="30" t="n"/>
      <c r="E1243" s="30" t="n"/>
      <c r="F1243" s="30" t="n"/>
      <c r="G1243" s="30" t="n"/>
      <c r="H1243" s="30" t="n"/>
      <c r="I1243" s="31" t="n"/>
      <c r="J1243" s="30" t="n"/>
      <c r="K1243" s="30" t="n"/>
      <c r="L1243" s="30" t="n"/>
      <c r="M1243" s="30" t="n"/>
      <c r="N1243" s="32" t="n"/>
      <c r="O1243" s="30" t="n"/>
      <c r="P1243" s="32" t="n"/>
      <c r="Q1243" s="30" t="n"/>
      <c r="R1243" s="32" t="n"/>
      <c r="S1243" s="30" t="n"/>
      <c r="T1243" s="30" t="n"/>
      <c r="U1243" s="30" t="n"/>
      <c r="V1243" s="30" t="n"/>
      <c r="W1243" s="29">
        <f>IF(H1243="","",IF(H1243="Kenya","Yes","No"))</f>
        <v/>
      </c>
      <c r="X1243" s="29">
        <f>IF(B1243="","",IF(COUNTIF($B$5:$B$3004,B1243)&gt;1,"DUPLICATE","OK"))</f>
        <v/>
      </c>
      <c r="Y1243" s="29">
        <f>IF(OR(U1243="",V1243="",V1243="Excluded"),"",IF(COUNTIFS($U$5:$U$3004,U1243,$V$5:$V$3004,"&lt;&gt;"&amp;V1243,$V$5:$V$3004,"&lt;&gt;",$V$5:$V$3004,"&lt;&gt;Excluded")&gt;0,"LEAK RISK","OK"))</f>
        <v/>
      </c>
      <c r="Z1243" s="30" t="n"/>
    </row>
    <row r="1244">
      <c r="A1244" s="30" t="n"/>
      <c r="B1244" s="30" t="n"/>
      <c r="C1244" s="30" t="n"/>
      <c r="D1244" s="30" t="n"/>
      <c r="E1244" s="30" t="n"/>
      <c r="F1244" s="30" t="n"/>
      <c r="G1244" s="30" t="n"/>
      <c r="H1244" s="30" t="n"/>
      <c r="I1244" s="31" t="n"/>
      <c r="J1244" s="30" t="n"/>
      <c r="K1244" s="30" t="n"/>
      <c r="L1244" s="30" t="n"/>
      <c r="M1244" s="30" t="n"/>
      <c r="N1244" s="32" t="n"/>
      <c r="O1244" s="30" t="n"/>
      <c r="P1244" s="32" t="n"/>
      <c r="Q1244" s="30" t="n"/>
      <c r="R1244" s="32" t="n"/>
      <c r="S1244" s="30" t="n"/>
      <c r="T1244" s="30" t="n"/>
      <c r="U1244" s="30" t="n"/>
      <c r="V1244" s="30" t="n"/>
      <c r="W1244" s="29">
        <f>IF(H1244="","",IF(H1244="Kenya","Yes","No"))</f>
        <v/>
      </c>
      <c r="X1244" s="29">
        <f>IF(B1244="","",IF(COUNTIF($B$5:$B$3004,B1244)&gt;1,"DUPLICATE","OK"))</f>
        <v/>
      </c>
      <c r="Y1244" s="29">
        <f>IF(OR(U1244="",V1244="",V1244="Excluded"),"",IF(COUNTIFS($U$5:$U$3004,U1244,$V$5:$V$3004,"&lt;&gt;"&amp;V1244,$V$5:$V$3004,"&lt;&gt;",$V$5:$V$3004,"&lt;&gt;Excluded")&gt;0,"LEAK RISK","OK"))</f>
        <v/>
      </c>
      <c r="Z1244" s="30" t="n"/>
    </row>
    <row r="1245">
      <c r="A1245" s="30" t="n"/>
      <c r="B1245" s="30" t="n"/>
      <c r="C1245" s="30" t="n"/>
      <c r="D1245" s="30" t="n"/>
      <c r="E1245" s="30" t="n"/>
      <c r="F1245" s="30" t="n"/>
      <c r="G1245" s="30" t="n"/>
      <c r="H1245" s="30" t="n"/>
      <c r="I1245" s="31" t="n"/>
      <c r="J1245" s="30" t="n"/>
      <c r="K1245" s="30" t="n"/>
      <c r="L1245" s="30" t="n"/>
      <c r="M1245" s="30" t="n"/>
      <c r="N1245" s="32" t="n"/>
      <c r="O1245" s="30" t="n"/>
      <c r="P1245" s="32" t="n"/>
      <c r="Q1245" s="30" t="n"/>
      <c r="R1245" s="32" t="n"/>
      <c r="S1245" s="30" t="n"/>
      <c r="T1245" s="30" t="n"/>
      <c r="U1245" s="30" t="n"/>
      <c r="V1245" s="30" t="n"/>
      <c r="W1245" s="29">
        <f>IF(H1245="","",IF(H1245="Kenya","Yes","No"))</f>
        <v/>
      </c>
      <c r="X1245" s="29">
        <f>IF(B1245="","",IF(COUNTIF($B$5:$B$3004,B1245)&gt;1,"DUPLICATE","OK"))</f>
        <v/>
      </c>
      <c r="Y1245" s="29">
        <f>IF(OR(U1245="",V1245="",V1245="Excluded"),"",IF(COUNTIFS($U$5:$U$3004,U1245,$V$5:$V$3004,"&lt;&gt;"&amp;V1245,$V$5:$V$3004,"&lt;&gt;",$V$5:$V$3004,"&lt;&gt;Excluded")&gt;0,"LEAK RISK","OK"))</f>
        <v/>
      </c>
      <c r="Z1245" s="30" t="n"/>
    </row>
    <row r="1246">
      <c r="A1246" s="30" t="n"/>
      <c r="B1246" s="30" t="n"/>
      <c r="C1246" s="30" t="n"/>
      <c r="D1246" s="30" t="n"/>
      <c r="E1246" s="30" t="n"/>
      <c r="F1246" s="30" t="n"/>
      <c r="G1246" s="30" t="n"/>
      <c r="H1246" s="30" t="n"/>
      <c r="I1246" s="31" t="n"/>
      <c r="J1246" s="30" t="n"/>
      <c r="K1246" s="30" t="n"/>
      <c r="L1246" s="30" t="n"/>
      <c r="M1246" s="30" t="n"/>
      <c r="N1246" s="32" t="n"/>
      <c r="O1246" s="30" t="n"/>
      <c r="P1246" s="32" t="n"/>
      <c r="Q1246" s="30" t="n"/>
      <c r="R1246" s="32" t="n"/>
      <c r="S1246" s="30" t="n"/>
      <c r="T1246" s="30" t="n"/>
      <c r="U1246" s="30" t="n"/>
      <c r="V1246" s="30" t="n"/>
      <c r="W1246" s="29">
        <f>IF(H1246="","",IF(H1246="Kenya","Yes","No"))</f>
        <v/>
      </c>
      <c r="X1246" s="29">
        <f>IF(B1246="","",IF(COUNTIF($B$5:$B$3004,B1246)&gt;1,"DUPLICATE","OK"))</f>
        <v/>
      </c>
      <c r="Y1246" s="29">
        <f>IF(OR(U1246="",V1246="",V1246="Excluded"),"",IF(COUNTIFS($U$5:$U$3004,U1246,$V$5:$V$3004,"&lt;&gt;"&amp;V1246,$V$5:$V$3004,"&lt;&gt;",$V$5:$V$3004,"&lt;&gt;Excluded")&gt;0,"LEAK RISK","OK"))</f>
        <v/>
      </c>
      <c r="Z1246" s="30" t="n"/>
    </row>
    <row r="1247">
      <c r="A1247" s="30" t="n"/>
      <c r="B1247" s="30" t="n"/>
      <c r="C1247" s="30" t="n"/>
      <c r="D1247" s="30" t="n"/>
      <c r="E1247" s="30" t="n"/>
      <c r="F1247" s="30" t="n"/>
      <c r="G1247" s="30" t="n"/>
      <c r="H1247" s="30" t="n"/>
      <c r="I1247" s="31" t="n"/>
      <c r="J1247" s="30" t="n"/>
      <c r="K1247" s="30" t="n"/>
      <c r="L1247" s="30" t="n"/>
      <c r="M1247" s="30" t="n"/>
      <c r="N1247" s="32" t="n"/>
      <c r="O1247" s="30" t="n"/>
      <c r="P1247" s="32" t="n"/>
      <c r="Q1247" s="30" t="n"/>
      <c r="R1247" s="32" t="n"/>
      <c r="S1247" s="30" t="n"/>
      <c r="T1247" s="30" t="n"/>
      <c r="U1247" s="30" t="n"/>
      <c r="V1247" s="30" t="n"/>
      <c r="W1247" s="29">
        <f>IF(H1247="","",IF(H1247="Kenya","Yes","No"))</f>
        <v/>
      </c>
      <c r="X1247" s="29">
        <f>IF(B1247="","",IF(COUNTIF($B$5:$B$3004,B1247)&gt;1,"DUPLICATE","OK"))</f>
        <v/>
      </c>
      <c r="Y1247" s="29">
        <f>IF(OR(U1247="",V1247="",V1247="Excluded"),"",IF(COUNTIFS($U$5:$U$3004,U1247,$V$5:$V$3004,"&lt;&gt;"&amp;V1247,$V$5:$V$3004,"&lt;&gt;",$V$5:$V$3004,"&lt;&gt;Excluded")&gt;0,"LEAK RISK","OK"))</f>
        <v/>
      </c>
      <c r="Z1247" s="30" t="n"/>
    </row>
    <row r="1248">
      <c r="A1248" s="30" t="n"/>
      <c r="B1248" s="30" t="n"/>
      <c r="C1248" s="30" t="n"/>
      <c r="D1248" s="30" t="n"/>
      <c r="E1248" s="30" t="n"/>
      <c r="F1248" s="30" t="n"/>
      <c r="G1248" s="30" t="n"/>
      <c r="H1248" s="30" t="n"/>
      <c r="I1248" s="31" t="n"/>
      <c r="J1248" s="30" t="n"/>
      <c r="K1248" s="30" t="n"/>
      <c r="L1248" s="30" t="n"/>
      <c r="M1248" s="30" t="n"/>
      <c r="N1248" s="32" t="n"/>
      <c r="O1248" s="30" t="n"/>
      <c r="P1248" s="32" t="n"/>
      <c r="Q1248" s="30" t="n"/>
      <c r="R1248" s="32" t="n"/>
      <c r="S1248" s="30" t="n"/>
      <c r="T1248" s="30" t="n"/>
      <c r="U1248" s="30" t="n"/>
      <c r="V1248" s="30" t="n"/>
      <c r="W1248" s="29">
        <f>IF(H1248="","",IF(H1248="Kenya","Yes","No"))</f>
        <v/>
      </c>
      <c r="X1248" s="29">
        <f>IF(B1248="","",IF(COUNTIF($B$5:$B$3004,B1248)&gt;1,"DUPLICATE","OK"))</f>
        <v/>
      </c>
      <c r="Y1248" s="29">
        <f>IF(OR(U1248="",V1248="",V1248="Excluded"),"",IF(COUNTIFS($U$5:$U$3004,U1248,$V$5:$V$3004,"&lt;&gt;"&amp;V1248,$V$5:$V$3004,"&lt;&gt;",$V$5:$V$3004,"&lt;&gt;Excluded")&gt;0,"LEAK RISK","OK"))</f>
        <v/>
      </c>
      <c r="Z1248" s="30" t="n"/>
    </row>
    <row r="1249">
      <c r="A1249" s="30" t="n"/>
      <c r="B1249" s="30" t="n"/>
      <c r="C1249" s="30" t="n"/>
      <c r="D1249" s="30" t="n"/>
      <c r="E1249" s="30" t="n"/>
      <c r="F1249" s="30" t="n"/>
      <c r="G1249" s="30" t="n"/>
      <c r="H1249" s="30" t="n"/>
      <c r="I1249" s="31" t="n"/>
      <c r="J1249" s="30" t="n"/>
      <c r="K1249" s="30" t="n"/>
      <c r="L1249" s="30" t="n"/>
      <c r="M1249" s="30" t="n"/>
      <c r="N1249" s="32" t="n"/>
      <c r="O1249" s="30" t="n"/>
      <c r="P1249" s="32" t="n"/>
      <c r="Q1249" s="30" t="n"/>
      <c r="R1249" s="32" t="n"/>
      <c r="S1249" s="30" t="n"/>
      <c r="T1249" s="30" t="n"/>
      <c r="U1249" s="30" t="n"/>
      <c r="V1249" s="30" t="n"/>
      <c r="W1249" s="29">
        <f>IF(H1249="","",IF(H1249="Kenya","Yes","No"))</f>
        <v/>
      </c>
      <c r="X1249" s="29">
        <f>IF(B1249="","",IF(COUNTIF($B$5:$B$3004,B1249)&gt;1,"DUPLICATE","OK"))</f>
        <v/>
      </c>
      <c r="Y1249" s="29">
        <f>IF(OR(U1249="",V1249="",V1249="Excluded"),"",IF(COUNTIFS($U$5:$U$3004,U1249,$V$5:$V$3004,"&lt;&gt;"&amp;V1249,$V$5:$V$3004,"&lt;&gt;",$V$5:$V$3004,"&lt;&gt;Excluded")&gt;0,"LEAK RISK","OK"))</f>
        <v/>
      </c>
      <c r="Z1249" s="30" t="n"/>
    </row>
    <row r="1250">
      <c r="A1250" s="30" t="n"/>
      <c r="B1250" s="30" t="n"/>
      <c r="C1250" s="30" t="n"/>
      <c r="D1250" s="30" t="n"/>
      <c r="E1250" s="30" t="n"/>
      <c r="F1250" s="30" t="n"/>
      <c r="G1250" s="30" t="n"/>
      <c r="H1250" s="30" t="n"/>
      <c r="I1250" s="31" t="n"/>
      <c r="J1250" s="30" t="n"/>
      <c r="K1250" s="30" t="n"/>
      <c r="L1250" s="30" t="n"/>
      <c r="M1250" s="30" t="n"/>
      <c r="N1250" s="32" t="n"/>
      <c r="O1250" s="30" t="n"/>
      <c r="P1250" s="32" t="n"/>
      <c r="Q1250" s="30" t="n"/>
      <c r="R1250" s="32" t="n"/>
      <c r="S1250" s="30" t="n"/>
      <c r="T1250" s="30" t="n"/>
      <c r="U1250" s="30" t="n"/>
      <c r="V1250" s="30" t="n"/>
      <c r="W1250" s="29">
        <f>IF(H1250="","",IF(H1250="Kenya","Yes","No"))</f>
        <v/>
      </c>
      <c r="X1250" s="29">
        <f>IF(B1250="","",IF(COUNTIF($B$5:$B$3004,B1250)&gt;1,"DUPLICATE","OK"))</f>
        <v/>
      </c>
      <c r="Y1250" s="29">
        <f>IF(OR(U1250="",V1250="",V1250="Excluded"),"",IF(COUNTIFS($U$5:$U$3004,U1250,$V$5:$V$3004,"&lt;&gt;"&amp;V1250,$V$5:$V$3004,"&lt;&gt;",$V$5:$V$3004,"&lt;&gt;Excluded")&gt;0,"LEAK RISK","OK"))</f>
        <v/>
      </c>
      <c r="Z1250" s="30" t="n"/>
    </row>
    <row r="1251">
      <c r="A1251" s="30" t="n"/>
      <c r="B1251" s="30" t="n"/>
      <c r="C1251" s="30" t="n"/>
      <c r="D1251" s="30" t="n"/>
      <c r="E1251" s="30" t="n"/>
      <c r="F1251" s="30" t="n"/>
      <c r="G1251" s="30" t="n"/>
      <c r="H1251" s="30" t="n"/>
      <c r="I1251" s="31" t="n"/>
      <c r="J1251" s="30" t="n"/>
      <c r="K1251" s="30" t="n"/>
      <c r="L1251" s="30" t="n"/>
      <c r="M1251" s="30" t="n"/>
      <c r="N1251" s="32" t="n"/>
      <c r="O1251" s="30" t="n"/>
      <c r="P1251" s="32" t="n"/>
      <c r="Q1251" s="30" t="n"/>
      <c r="R1251" s="32" t="n"/>
      <c r="S1251" s="30" t="n"/>
      <c r="T1251" s="30" t="n"/>
      <c r="U1251" s="30" t="n"/>
      <c r="V1251" s="30" t="n"/>
      <c r="W1251" s="29">
        <f>IF(H1251="","",IF(H1251="Kenya","Yes","No"))</f>
        <v/>
      </c>
      <c r="X1251" s="29">
        <f>IF(B1251="","",IF(COUNTIF($B$5:$B$3004,B1251)&gt;1,"DUPLICATE","OK"))</f>
        <v/>
      </c>
      <c r="Y1251" s="29">
        <f>IF(OR(U1251="",V1251="",V1251="Excluded"),"",IF(COUNTIFS($U$5:$U$3004,U1251,$V$5:$V$3004,"&lt;&gt;"&amp;V1251,$V$5:$V$3004,"&lt;&gt;",$V$5:$V$3004,"&lt;&gt;Excluded")&gt;0,"LEAK RISK","OK"))</f>
        <v/>
      </c>
      <c r="Z1251" s="30" t="n"/>
    </row>
    <row r="1252">
      <c r="A1252" s="30" t="n"/>
      <c r="B1252" s="30" t="n"/>
      <c r="C1252" s="30" t="n"/>
      <c r="D1252" s="30" t="n"/>
      <c r="E1252" s="30" t="n"/>
      <c r="F1252" s="30" t="n"/>
      <c r="G1252" s="30" t="n"/>
      <c r="H1252" s="30" t="n"/>
      <c r="I1252" s="31" t="n"/>
      <c r="J1252" s="30" t="n"/>
      <c r="K1252" s="30" t="n"/>
      <c r="L1252" s="30" t="n"/>
      <c r="M1252" s="30" t="n"/>
      <c r="N1252" s="32" t="n"/>
      <c r="O1252" s="30" t="n"/>
      <c r="P1252" s="32" t="n"/>
      <c r="Q1252" s="30" t="n"/>
      <c r="R1252" s="32" t="n"/>
      <c r="S1252" s="30" t="n"/>
      <c r="T1252" s="30" t="n"/>
      <c r="U1252" s="30" t="n"/>
      <c r="V1252" s="30" t="n"/>
      <c r="W1252" s="29">
        <f>IF(H1252="","",IF(H1252="Kenya","Yes","No"))</f>
        <v/>
      </c>
      <c r="X1252" s="29">
        <f>IF(B1252="","",IF(COUNTIF($B$5:$B$3004,B1252)&gt;1,"DUPLICATE","OK"))</f>
        <v/>
      </c>
      <c r="Y1252" s="29">
        <f>IF(OR(U1252="",V1252="",V1252="Excluded"),"",IF(COUNTIFS($U$5:$U$3004,U1252,$V$5:$V$3004,"&lt;&gt;"&amp;V1252,$V$5:$V$3004,"&lt;&gt;",$V$5:$V$3004,"&lt;&gt;Excluded")&gt;0,"LEAK RISK","OK"))</f>
        <v/>
      </c>
      <c r="Z1252" s="30" t="n"/>
    </row>
    <row r="1253">
      <c r="A1253" s="30" t="n"/>
      <c r="B1253" s="30" t="n"/>
      <c r="C1253" s="30" t="n"/>
      <c r="D1253" s="30" t="n"/>
      <c r="E1253" s="30" t="n"/>
      <c r="F1253" s="30" t="n"/>
      <c r="G1253" s="30" t="n"/>
      <c r="H1253" s="30" t="n"/>
      <c r="I1253" s="31" t="n"/>
      <c r="J1253" s="30" t="n"/>
      <c r="K1253" s="30" t="n"/>
      <c r="L1253" s="30" t="n"/>
      <c r="M1253" s="30" t="n"/>
      <c r="N1253" s="32" t="n"/>
      <c r="O1253" s="30" t="n"/>
      <c r="P1253" s="32" t="n"/>
      <c r="Q1253" s="30" t="n"/>
      <c r="R1253" s="32" t="n"/>
      <c r="S1253" s="30" t="n"/>
      <c r="T1253" s="30" t="n"/>
      <c r="U1253" s="30" t="n"/>
      <c r="V1253" s="30" t="n"/>
      <c r="W1253" s="29">
        <f>IF(H1253="","",IF(H1253="Kenya","Yes","No"))</f>
        <v/>
      </c>
      <c r="X1253" s="29">
        <f>IF(B1253="","",IF(COUNTIF($B$5:$B$3004,B1253)&gt;1,"DUPLICATE","OK"))</f>
        <v/>
      </c>
      <c r="Y1253" s="29">
        <f>IF(OR(U1253="",V1253="",V1253="Excluded"),"",IF(COUNTIFS($U$5:$U$3004,U1253,$V$5:$V$3004,"&lt;&gt;"&amp;V1253,$V$5:$V$3004,"&lt;&gt;",$V$5:$V$3004,"&lt;&gt;Excluded")&gt;0,"LEAK RISK","OK"))</f>
        <v/>
      </c>
      <c r="Z1253" s="30" t="n"/>
    </row>
    <row r="1254">
      <c r="A1254" s="30" t="n"/>
      <c r="B1254" s="30" t="n"/>
      <c r="C1254" s="30" t="n"/>
      <c r="D1254" s="30" t="n"/>
      <c r="E1254" s="30" t="n"/>
      <c r="F1254" s="30" t="n"/>
      <c r="G1254" s="30" t="n"/>
      <c r="H1254" s="30" t="n"/>
      <c r="I1254" s="31" t="n"/>
      <c r="J1254" s="30" t="n"/>
      <c r="K1254" s="30" t="n"/>
      <c r="L1254" s="30" t="n"/>
      <c r="M1254" s="30" t="n"/>
      <c r="N1254" s="32" t="n"/>
      <c r="O1254" s="30" t="n"/>
      <c r="P1254" s="32" t="n"/>
      <c r="Q1254" s="30" t="n"/>
      <c r="R1254" s="32" t="n"/>
      <c r="S1254" s="30" t="n"/>
      <c r="T1254" s="30" t="n"/>
      <c r="U1254" s="30" t="n"/>
      <c r="V1254" s="30" t="n"/>
      <c r="W1254" s="29">
        <f>IF(H1254="","",IF(H1254="Kenya","Yes","No"))</f>
        <v/>
      </c>
      <c r="X1254" s="29">
        <f>IF(B1254="","",IF(COUNTIF($B$5:$B$3004,B1254)&gt;1,"DUPLICATE","OK"))</f>
        <v/>
      </c>
      <c r="Y1254" s="29">
        <f>IF(OR(U1254="",V1254="",V1254="Excluded"),"",IF(COUNTIFS($U$5:$U$3004,U1254,$V$5:$V$3004,"&lt;&gt;"&amp;V1254,$V$5:$V$3004,"&lt;&gt;",$V$5:$V$3004,"&lt;&gt;Excluded")&gt;0,"LEAK RISK","OK"))</f>
        <v/>
      </c>
      <c r="Z1254" s="30" t="n"/>
    </row>
    <row r="1255">
      <c r="A1255" s="30" t="n"/>
      <c r="B1255" s="30" t="n"/>
      <c r="C1255" s="30" t="n"/>
      <c r="D1255" s="30" t="n"/>
      <c r="E1255" s="30" t="n"/>
      <c r="F1255" s="30" t="n"/>
      <c r="G1255" s="30" t="n"/>
      <c r="H1255" s="30" t="n"/>
      <c r="I1255" s="31" t="n"/>
      <c r="J1255" s="30" t="n"/>
      <c r="K1255" s="30" t="n"/>
      <c r="L1255" s="30" t="n"/>
      <c r="M1255" s="30" t="n"/>
      <c r="N1255" s="32" t="n"/>
      <c r="O1255" s="30" t="n"/>
      <c r="P1255" s="32" t="n"/>
      <c r="Q1255" s="30" t="n"/>
      <c r="R1255" s="32" t="n"/>
      <c r="S1255" s="30" t="n"/>
      <c r="T1255" s="30" t="n"/>
      <c r="U1255" s="30" t="n"/>
      <c r="V1255" s="30" t="n"/>
      <c r="W1255" s="29">
        <f>IF(H1255="","",IF(H1255="Kenya","Yes","No"))</f>
        <v/>
      </c>
      <c r="X1255" s="29">
        <f>IF(B1255="","",IF(COUNTIF($B$5:$B$3004,B1255)&gt;1,"DUPLICATE","OK"))</f>
        <v/>
      </c>
      <c r="Y1255" s="29">
        <f>IF(OR(U1255="",V1255="",V1255="Excluded"),"",IF(COUNTIFS($U$5:$U$3004,U1255,$V$5:$V$3004,"&lt;&gt;"&amp;V1255,$V$5:$V$3004,"&lt;&gt;",$V$5:$V$3004,"&lt;&gt;Excluded")&gt;0,"LEAK RISK","OK"))</f>
        <v/>
      </c>
      <c r="Z1255" s="30" t="n"/>
    </row>
    <row r="1256">
      <c r="A1256" s="30" t="n"/>
      <c r="B1256" s="30" t="n"/>
      <c r="C1256" s="30" t="n"/>
      <c r="D1256" s="30" t="n"/>
      <c r="E1256" s="30" t="n"/>
      <c r="F1256" s="30" t="n"/>
      <c r="G1256" s="30" t="n"/>
      <c r="H1256" s="30" t="n"/>
      <c r="I1256" s="31" t="n"/>
      <c r="J1256" s="30" t="n"/>
      <c r="K1256" s="30" t="n"/>
      <c r="L1256" s="30" t="n"/>
      <c r="M1256" s="30" t="n"/>
      <c r="N1256" s="32" t="n"/>
      <c r="O1256" s="30" t="n"/>
      <c r="P1256" s="32" t="n"/>
      <c r="Q1256" s="30" t="n"/>
      <c r="R1256" s="32" t="n"/>
      <c r="S1256" s="30" t="n"/>
      <c r="T1256" s="30" t="n"/>
      <c r="U1256" s="30" t="n"/>
      <c r="V1256" s="30" t="n"/>
      <c r="W1256" s="29">
        <f>IF(H1256="","",IF(H1256="Kenya","Yes","No"))</f>
        <v/>
      </c>
      <c r="X1256" s="29">
        <f>IF(B1256="","",IF(COUNTIF($B$5:$B$3004,B1256)&gt;1,"DUPLICATE","OK"))</f>
        <v/>
      </c>
      <c r="Y1256" s="29">
        <f>IF(OR(U1256="",V1256="",V1256="Excluded"),"",IF(COUNTIFS($U$5:$U$3004,U1256,$V$5:$V$3004,"&lt;&gt;"&amp;V1256,$V$5:$V$3004,"&lt;&gt;",$V$5:$V$3004,"&lt;&gt;Excluded")&gt;0,"LEAK RISK","OK"))</f>
        <v/>
      </c>
      <c r="Z1256" s="30" t="n"/>
    </row>
    <row r="1257">
      <c r="A1257" s="30" t="n"/>
      <c r="B1257" s="30" t="n"/>
      <c r="C1257" s="30" t="n"/>
      <c r="D1257" s="30" t="n"/>
      <c r="E1257" s="30" t="n"/>
      <c r="F1257" s="30" t="n"/>
      <c r="G1257" s="30" t="n"/>
      <c r="H1257" s="30" t="n"/>
      <c r="I1257" s="31" t="n"/>
      <c r="J1257" s="30" t="n"/>
      <c r="K1257" s="30" t="n"/>
      <c r="L1257" s="30" t="n"/>
      <c r="M1257" s="30" t="n"/>
      <c r="N1257" s="32" t="n"/>
      <c r="O1257" s="30" t="n"/>
      <c r="P1257" s="32" t="n"/>
      <c r="Q1257" s="30" t="n"/>
      <c r="R1257" s="32" t="n"/>
      <c r="S1257" s="30" t="n"/>
      <c r="T1257" s="30" t="n"/>
      <c r="U1257" s="30" t="n"/>
      <c r="V1257" s="30" t="n"/>
      <c r="W1257" s="29">
        <f>IF(H1257="","",IF(H1257="Kenya","Yes","No"))</f>
        <v/>
      </c>
      <c r="X1257" s="29">
        <f>IF(B1257="","",IF(COUNTIF($B$5:$B$3004,B1257)&gt;1,"DUPLICATE","OK"))</f>
        <v/>
      </c>
      <c r="Y1257" s="29">
        <f>IF(OR(U1257="",V1257="",V1257="Excluded"),"",IF(COUNTIFS($U$5:$U$3004,U1257,$V$5:$V$3004,"&lt;&gt;"&amp;V1257,$V$5:$V$3004,"&lt;&gt;",$V$5:$V$3004,"&lt;&gt;Excluded")&gt;0,"LEAK RISK","OK"))</f>
        <v/>
      </c>
      <c r="Z1257" s="30" t="n"/>
    </row>
    <row r="1258">
      <c r="A1258" s="30" t="n"/>
      <c r="B1258" s="30" t="n"/>
      <c r="C1258" s="30" t="n"/>
      <c r="D1258" s="30" t="n"/>
      <c r="E1258" s="30" t="n"/>
      <c r="F1258" s="30" t="n"/>
      <c r="G1258" s="30" t="n"/>
      <c r="H1258" s="30" t="n"/>
      <c r="I1258" s="31" t="n"/>
      <c r="J1258" s="30" t="n"/>
      <c r="K1258" s="30" t="n"/>
      <c r="L1258" s="30" t="n"/>
      <c r="M1258" s="30" t="n"/>
      <c r="N1258" s="32" t="n"/>
      <c r="O1258" s="30" t="n"/>
      <c r="P1258" s="32" t="n"/>
      <c r="Q1258" s="30" t="n"/>
      <c r="R1258" s="32" t="n"/>
      <c r="S1258" s="30" t="n"/>
      <c r="T1258" s="30" t="n"/>
      <c r="U1258" s="30" t="n"/>
      <c r="V1258" s="30" t="n"/>
      <c r="W1258" s="29">
        <f>IF(H1258="","",IF(H1258="Kenya","Yes","No"))</f>
        <v/>
      </c>
      <c r="X1258" s="29">
        <f>IF(B1258="","",IF(COUNTIF($B$5:$B$3004,B1258)&gt;1,"DUPLICATE","OK"))</f>
        <v/>
      </c>
      <c r="Y1258" s="29">
        <f>IF(OR(U1258="",V1258="",V1258="Excluded"),"",IF(COUNTIFS($U$5:$U$3004,U1258,$V$5:$V$3004,"&lt;&gt;"&amp;V1258,$V$5:$V$3004,"&lt;&gt;",$V$5:$V$3004,"&lt;&gt;Excluded")&gt;0,"LEAK RISK","OK"))</f>
        <v/>
      </c>
      <c r="Z1258" s="30" t="n"/>
    </row>
    <row r="1259">
      <c r="A1259" s="30" t="n"/>
      <c r="B1259" s="30" t="n"/>
      <c r="C1259" s="30" t="n"/>
      <c r="D1259" s="30" t="n"/>
      <c r="E1259" s="30" t="n"/>
      <c r="F1259" s="30" t="n"/>
      <c r="G1259" s="30" t="n"/>
      <c r="H1259" s="30" t="n"/>
      <c r="I1259" s="31" t="n"/>
      <c r="J1259" s="30" t="n"/>
      <c r="K1259" s="30" t="n"/>
      <c r="L1259" s="30" t="n"/>
      <c r="M1259" s="30" t="n"/>
      <c r="N1259" s="32" t="n"/>
      <c r="O1259" s="30" t="n"/>
      <c r="P1259" s="32" t="n"/>
      <c r="Q1259" s="30" t="n"/>
      <c r="R1259" s="32" t="n"/>
      <c r="S1259" s="30" t="n"/>
      <c r="T1259" s="30" t="n"/>
      <c r="U1259" s="30" t="n"/>
      <c r="V1259" s="30" t="n"/>
      <c r="W1259" s="29">
        <f>IF(H1259="","",IF(H1259="Kenya","Yes","No"))</f>
        <v/>
      </c>
      <c r="X1259" s="29">
        <f>IF(B1259="","",IF(COUNTIF($B$5:$B$3004,B1259)&gt;1,"DUPLICATE","OK"))</f>
        <v/>
      </c>
      <c r="Y1259" s="29">
        <f>IF(OR(U1259="",V1259="",V1259="Excluded"),"",IF(COUNTIFS($U$5:$U$3004,U1259,$V$5:$V$3004,"&lt;&gt;"&amp;V1259,$V$5:$V$3004,"&lt;&gt;",$V$5:$V$3004,"&lt;&gt;Excluded")&gt;0,"LEAK RISK","OK"))</f>
        <v/>
      </c>
      <c r="Z1259" s="30" t="n"/>
    </row>
    <row r="1260">
      <c r="A1260" s="30" t="n"/>
      <c r="B1260" s="30" t="n"/>
      <c r="C1260" s="30" t="n"/>
      <c r="D1260" s="30" t="n"/>
      <c r="E1260" s="30" t="n"/>
      <c r="F1260" s="30" t="n"/>
      <c r="G1260" s="30" t="n"/>
      <c r="H1260" s="30" t="n"/>
      <c r="I1260" s="31" t="n"/>
      <c r="J1260" s="30" t="n"/>
      <c r="K1260" s="30" t="n"/>
      <c r="L1260" s="30" t="n"/>
      <c r="M1260" s="30" t="n"/>
      <c r="N1260" s="32" t="n"/>
      <c r="O1260" s="30" t="n"/>
      <c r="P1260" s="32" t="n"/>
      <c r="Q1260" s="30" t="n"/>
      <c r="R1260" s="32" t="n"/>
      <c r="S1260" s="30" t="n"/>
      <c r="T1260" s="30" t="n"/>
      <c r="U1260" s="30" t="n"/>
      <c r="V1260" s="30" t="n"/>
      <c r="W1260" s="29">
        <f>IF(H1260="","",IF(H1260="Kenya","Yes","No"))</f>
        <v/>
      </c>
      <c r="X1260" s="29">
        <f>IF(B1260="","",IF(COUNTIF($B$5:$B$3004,B1260)&gt;1,"DUPLICATE","OK"))</f>
        <v/>
      </c>
      <c r="Y1260" s="29">
        <f>IF(OR(U1260="",V1260="",V1260="Excluded"),"",IF(COUNTIFS($U$5:$U$3004,U1260,$V$5:$V$3004,"&lt;&gt;"&amp;V1260,$V$5:$V$3004,"&lt;&gt;",$V$5:$V$3004,"&lt;&gt;Excluded")&gt;0,"LEAK RISK","OK"))</f>
        <v/>
      </c>
      <c r="Z1260" s="30" t="n"/>
    </row>
    <row r="1261">
      <c r="A1261" s="30" t="n"/>
      <c r="B1261" s="30" t="n"/>
      <c r="C1261" s="30" t="n"/>
      <c r="D1261" s="30" t="n"/>
      <c r="E1261" s="30" t="n"/>
      <c r="F1261" s="30" t="n"/>
      <c r="G1261" s="30" t="n"/>
      <c r="H1261" s="30" t="n"/>
      <c r="I1261" s="31" t="n"/>
      <c r="J1261" s="30" t="n"/>
      <c r="K1261" s="30" t="n"/>
      <c r="L1261" s="30" t="n"/>
      <c r="M1261" s="30" t="n"/>
      <c r="N1261" s="32" t="n"/>
      <c r="O1261" s="30" t="n"/>
      <c r="P1261" s="32" t="n"/>
      <c r="Q1261" s="30" t="n"/>
      <c r="R1261" s="32" t="n"/>
      <c r="S1261" s="30" t="n"/>
      <c r="T1261" s="30" t="n"/>
      <c r="U1261" s="30" t="n"/>
      <c r="V1261" s="30" t="n"/>
      <c r="W1261" s="29">
        <f>IF(H1261="","",IF(H1261="Kenya","Yes","No"))</f>
        <v/>
      </c>
      <c r="X1261" s="29">
        <f>IF(B1261="","",IF(COUNTIF($B$5:$B$3004,B1261)&gt;1,"DUPLICATE","OK"))</f>
        <v/>
      </c>
      <c r="Y1261" s="29">
        <f>IF(OR(U1261="",V1261="",V1261="Excluded"),"",IF(COUNTIFS($U$5:$U$3004,U1261,$V$5:$V$3004,"&lt;&gt;"&amp;V1261,$V$5:$V$3004,"&lt;&gt;",$V$5:$V$3004,"&lt;&gt;Excluded")&gt;0,"LEAK RISK","OK"))</f>
        <v/>
      </c>
      <c r="Z1261" s="30" t="n"/>
    </row>
    <row r="1262">
      <c r="A1262" s="30" t="n"/>
      <c r="B1262" s="30" t="n"/>
      <c r="C1262" s="30" t="n"/>
      <c r="D1262" s="30" t="n"/>
      <c r="E1262" s="30" t="n"/>
      <c r="F1262" s="30" t="n"/>
      <c r="G1262" s="30" t="n"/>
      <c r="H1262" s="30" t="n"/>
      <c r="I1262" s="31" t="n"/>
      <c r="J1262" s="30" t="n"/>
      <c r="K1262" s="30" t="n"/>
      <c r="L1262" s="30" t="n"/>
      <c r="M1262" s="30" t="n"/>
      <c r="N1262" s="32" t="n"/>
      <c r="O1262" s="30" t="n"/>
      <c r="P1262" s="32" t="n"/>
      <c r="Q1262" s="30" t="n"/>
      <c r="R1262" s="32" t="n"/>
      <c r="S1262" s="30" t="n"/>
      <c r="T1262" s="30" t="n"/>
      <c r="U1262" s="30" t="n"/>
      <c r="V1262" s="30" t="n"/>
      <c r="W1262" s="29">
        <f>IF(H1262="","",IF(H1262="Kenya","Yes","No"))</f>
        <v/>
      </c>
      <c r="X1262" s="29">
        <f>IF(B1262="","",IF(COUNTIF($B$5:$B$3004,B1262)&gt;1,"DUPLICATE","OK"))</f>
        <v/>
      </c>
      <c r="Y1262" s="29">
        <f>IF(OR(U1262="",V1262="",V1262="Excluded"),"",IF(COUNTIFS($U$5:$U$3004,U1262,$V$5:$V$3004,"&lt;&gt;"&amp;V1262,$V$5:$V$3004,"&lt;&gt;",$V$5:$V$3004,"&lt;&gt;Excluded")&gt;0,"LEAK RISK","OK"))</f>
        <v/>
      </c>
      <c r="Z1262" s="30" t="n"/>
    </row>
    <row r="1263">
      <c r="A1263" s="30" t="n"/>
      <c r="B1263" s="30" t="n"/>
      <c r="C1263" s="30" t="n"/>
      <c r="D1263" s="30" t="n"/>
      <c r="E1263" s="30" t="n"/>
      <c r="F1263" s="30" t="n"/>
      <c r="G1263" s="30" t="n"/>
      <c r="H1263" s="30" t="n"/>
      <c r="I1263" s="31" t="n"/>
      <c r="J1263" s="30" t="n"/>
      <c r="K1263" s="30" t="n"/>
      <c r="L1263" s="30" t="n"/>
      <c r="M1263" s="30" t="n"/>
      <c r="N1263" s="32" t="n"/>
      <c r="O1263" s="30" t="n"/>
      <c r="P1263" s="32" t="n"/>
      <c r="Q1263" s="30" t="n"/>
      <c r="R1263" s="32" t="n"/>
      <c r="S1263" s="30" t="n"/>
      <c r="T1263" s="30" t="n"/>
      <c r="U1263" s="30" t="n"/>
      <c r="V1263" s="30" t="n"/>
      <c r="W1263" s="29">
        <f>IF(H1263="","",IF(H1263="Kenya","Yes","No"))</f>
        <v/>
      </c>
      <c r="X1263" s="29">
        <f>IF(B1263="","",IF(COUNTIF($B$5:$B$3004,B1263)&gt;1,"DUPLICATE","OK"))</f>
        <v/>
      </c>
      <c r="Y1263" s="29">
        <f>IF(OR(U1263="",V1263="",V1263="Excluded"),"",IF(COUNTIFS($U$5:$U$3004,U1263,$V$5:$V$3004,"&lt;&gt;"&amp;V1263,$V$5:$V$3004,"&lt;&gt;",$V$5:$V$3004,"&lt;&gt;Excluded")&gt;0,"LEAK RISK","OK"))</f>
        <v/>
      </c>
      <c r="Z1263" s="30" t="n"/>
    </row>
    <row r="1264">
      <c r="A1264" s="30" t="n"/>
      <c r="B1264" s="30" t="n"/>
      <c r="C1264" s="30" t="n"/>
      <c r="D1264" s="30" t="n"/>
      <c r="E1264" s="30" t="n"/>
      <c r="F1264" s="30" t="n"/>
      <c r="G1264" s="30" t="n"/>
      <c r="H1264" s="30" t="n"/>
      <c r="I1264" s="31" t="n"/>
      <c r="J1264" s="30" t="n"/>
      <c r="K1264" s="30" t="n"/>
      <c r="L1264" s="30" t="n"/>
      <c r="M1264" s="30" t="n"/>
      <c r="N1264" s="32" t="n"/>
      <c r="O1264" s="30" t="n"/>
      <c r="P1264" s="32" t="n"/>
      <c r="Q1264" s="30" t="n"/>
      <c r="R1264" s="32" t="n"/>
      <c r="S1264" s="30" t="n"/>
      <c r="T1264" s="30" t="n"/>
      <c r="U1264" s="30" t="n"/>
      <c r="V1264" s="30" t="n"/>
      <c r="W1264" s="29">
        <f>IF(H1264="","",IF(H1264="Kenya","Yes","No"))</f>
        <v/>
      </c>
      <c r="X1264" s="29">
        <f>IF(B1264="","",IF(COUNTIF($B$5:$B$3004,B1264)&gt;1,"DUPLICATE","OK"))</f>
        <v/>
      </c>
      <c r="Y1264" s="29">
        <f>IF(OR(U1264="",V1264="",V1264="Excluded"),"",IF(COUNTIFS($U$5:$U$3004,U1264,$V$5:$V$3004,"&lt;&gt;"&amp;V1264,$V$5:$V$3004,"&lt;&gt;",$V$5:$V$3004,"&lt;&gt;Excluded")&gt;0,"LEAK RISK","OK"))</f>
        <v/>
      </c>
      <c r="Z1264" s="30" t="n"/>
    </row>
    <row r="1265">
      <c r="A1265" s="30" t="n"/>
      <c r="B1265" s="30" t="n"/>
      <c r="C1265" s="30" t="n"/>
      <c r="D1265" s="30" t="n"/>
      <c r="E1265" s="30" t="n"/>
      <c r="F1265" s="30" t="n"/>
      <c r="G1265" s="30" t="n"/>
      <c r="H1265" s="30" t="n"/>
      <c r="I1265" s="31" t="n"/>
      <c r="J1265" s="30" t="n"/>
      <c r="K1265" s="30" t="n"/>
      <c r="L1265" s="30" t="n"/>
      <c r="M1265" s="30" t="n"/>
      <c r="N1265" s="32" t="n"/>
      <c r="O1265" s="30" t="n"/>
      <c r="P1265" s="32" t="n"/>
      <c r="Q1265" s="30" t="n"/>
      <c r="R1265" s="32" t="n"/>
      <c r="S1265" s="30" t="n"/>
      <c r="T1265" s="30" t="n"/>
      <c r="U1265" s="30" t="n"/>
      <c r="V1265" s="30" t="n"/>
      <c r="W1265" s="29">
        <f>IF(H1265="","",IF(H1265="Kenya","Yes","No"))</f>
        <v/>
      </c>
      <c r="X1265" s="29">
        <f>IF(B1265="","",IF(COUNTIF($B$5:$B$3004,B1265)&gt;1,"DUPLICATE","OK"))</f>
        <v/>
      </c>
      <c r="Y1265" s="29">
        <f>IF(OR(U1265="",V1265="",V1265="Excluded"),"",IF(COUNTIFS($U$5:$U$3004,U1265,$V$5:$V$3004,"&lt;&gt;"&amp;V1265,$V$5:$V$3004,"&lt;&gt;",$V$5:$V$3004,"&lt;&gt;Excluded")&gt;0,"LEAK RISK","OK"))</f>
        <v/>
      </c>
      <c r="Z1265" s="30" t="n"/>
    </row>
    <row r="1266">
      <c r="A1266" s="30" t="n"/>
      <c r="B1266" s="30" t="n"/>
      <c r="C1266" s="30" t="n"/>
      <c r="D1266" s="30" t="n"/>
      <c r="E1266" s="30" t="n"/>
      <c r="F1266" s="30" t="n"/>
      <c r="G1266" s="30" t="n"/>
      <c r="H1266" s="30" t="n"/>
      <c r="I1266" s="31" t="n"/>
      <c r="J1266" s="30" t="n"/>
      <c r="K1266" s="30" t="n"/>
      <c r="L1266" s="30" t="n"/>
      <c r="M1266" s="30" t="n"/>
      <c r="N1266" s="32" t="n"/>
      <c r="O1266" s="30" t="n"/>
      <c r="P1266" s="32" t="n"/>
      <c r="Q1266" s="30" t="n"/>
      <c r="R1266" s="32" t="n"/>
      <c r="S1266" s="30" t="n"/>
      <c r="T1266" s="30" t="n"/>
      <c r="U1266" s="30" t="n"/>
      <c r="V1266" s="30" t="n"/>
      <c r="W1266" s="29">
        <f>IF(H1266="","",IF(H1266="Kenya","Yes","No"))</f>
        <v/>
      </c>
      <c r="X1266" s="29">
        <f>IF(B1266="","",IF(COUNTIF($B$5:$B$3004,B1266)&gt;1,"DUPLICATE","OK"))</f>
        <v/>
      </c>
      <c r="Y1266" s="29">
        <f>IF(OR(U1266="",V1266="",V1266="Excluded"),"",IF(COUNTIFS($U$5:$U$3004,U1266,$V$5:$V$3004,"&lt;&gt;"&amp;V1266,$V$5:$V$3004,"&lt;&gt;",$V$5:$V$3004,"&lt;&gt;Excluded")&gt;0,"LEAK RISK","OK"))</f>
        <v/>
      </c>
      <c r="Z1266" s="30" t="n"/>
    </row>
    <row r="1267">
      <c r="A1267" s="30" t="n"/>
      <c r="B1267" s="30" t="n"/>
      <c r="C1267" s="30" t="n"/>
      <c r="D1267" s="30" t="n"/>
      <c r="E1267" s="30" t="n"/>
      <c r="F1267" s="30" t="n"/>
      <c r="G1267" s="30" t="n"/>
      <c r="H1267" s="30" t="n"/>
      <c r="I1267" s="31" t="n"/>
      <c r="J1267" s="30" t="n"/>
      <c r="K1267" s="30" t="n"/>
      <c r="L1267" s="30" t="n"/>
      <c r="M1267" s="30" t="n"/>
      <c r="N1267" s="32" t="n"/>
      <c r="O1267" s="30" t="n"/>
      <c r="P1267" s="32" t="n"/>
      <c r="Q1267" s="30" t="n"/>
      <c r="R1267" s="32" t="n"/>
      <c r="S1267" s="30" t="n"/>
      <c r="T1267" s="30" t="n"/>
      <c r="U1267" s="30" t="n"/>
      <c r="V1267" s="30" t="n"/>
      <c r="W1267" s="29">
        <f>IF(H1267="","",IF(H1267="Kenya","Yes","No"))</f>
        <v/>
      </c>
      <c r="X1267" s="29">
        <f>IF(B1267="","",IF(COUNTIF($B$5:$B$3004,B1267)&gt;1,"DUPLICATE","OK"))</f>
        <v/>
      </c>
      <c r="Y1267" s="29">
        <f>IF(OR(U1267="",V1267="",V1267="Excluded"),"",IF(COUNTIFS($U$5:$U$3004,U1267,$V$5:$V$3004,"&lt;&gt;"&amp;V1267,$V$5:$V$3004,"&lt;&gt;",$V$5:$V$3004,"&lt;&gt;Excluded")&gt;0,"LEAK RISK","OK"))</f>
        <v/>
      </c>
      <c r="Z1267" s="30" t="n"/>
    </row>
    <row r="1268">
      <c r="A1268" s="30" t="n"/>
      <c r="B1268" s="30" t="n"/>
      <c r="C1268" s="30" t="n"/>
      <c r="D1268" s="30" t="n"/>
      <c r="E1268" s="30" t="n"/>
      <c r="F1268" s="30" t="n"/>
      <c r="G1268" s="30" t="n"/>
      <c r="H1268" s="30" t="n"/>
      <c r="I1268" s="31" t="n"/>
      <c r="J1268" s="30" t="n"/>
      <c r="K1268" s="30" t="n"/>
      <c r="L1268" s="30" t="n"/>
      <c r="M1268" s="30" t="n"/>
      <c r="N1268" s="32" t="n"/>
      <c r="O1268" s="30" t="n"/>
      <c r="P1268" s="32" t="n"/>
      <c r="Q1268" s="30" t="n"/>
      <c r="R1268" s="32" t="n"/>
      <c r="S1268" s="30" t="n"/>
      <c r="T1268" s="30" t="n"/>
      <c r="U1268" s="30" t="n"/>
      <c r="V1268" s="30" t="n"/>
      <c r="W1268" s="29">
        <f>IF(H1268="","",IF(H1268="Kenya","Yes","No"))</f>
        <v/>
      </c>
      <c r="X1268" s="29">
        <f>IF(B1268="","",IF(COUNTIF($B$5:$B$3004,B1268)&gt;1,"DUPLICATE","OK"))</f>
        <v/>
      </c>
      <c r="Y1268" s="29">
        <f>IF(OR(U1268="",V1268="",V1268="Excluded"),"",IF(COUNTIFS($U$5:$U$3004,U1268,$V$5:$V$3004,"&lt;&gt;"&amp;V1268,$V$5:$V$3004,"&lt;&gt;",$V$5:$V$3004,"&lt;&gt;Excluded")&gt;0,"LEAK RISK","OK"))</f>
        <v/>
      </c>
      <c r="Z1268" s="30" t="n"/>
    </row>
    <row r="1269">
      <c r="A1269" s="30" t="n"/>
      <c r="B1269" s="30" t="n"/>
      <c r="C1269" s="30" t="n"/>
      <c r="D1269" s="30" t="n"/>
      <c r="E1269" s="30" t="n"/>
      <c r="F1269" s="30" t="n"/>
      <c r="G1269" s="30" t="n"/>
      <c r="H1269" s="30" t="n"/>
      <c r="I1269" s="31" t="n"/>
      <c r="J1269" s="30" t="n"/>
      <c r="K1269" s="30" t="n"/>
      <c r="L1269" s="30" t="n"/>
      <c r="M1269" s="30" t="n"/>
      <c r="N1269" s="32" t="n"/>
      <c r="O1269" s="30" t="n"/>
      <c r="P1269" s="32" t="n"/>
      <c r="Q1269" s="30" t="n"/>
      <c r="R1269" s="32" t="n"/>
      <c r="S1269" s="30" t="n"/>
      <c r="T1269" s="30" t="n"/>
      <c r="U1269" s="30" t="n"/>
      <c r="V1269" s="30" t="n"/>
      <c r="W1269" s="29">
        <f>IF(H1269="","",IF(H1269="Kenya","Yes","No"))</f>
        <v/>
      </c>
      <c r="X1269" s="29">
        <f>IF(B1269="","",IF(COUNTIF($B$5:$B$3004,B1269)&gt;1,"DUPLICATE","OK"))</f>
        <v/>
      </c>
      <c r="Y1269" s="29">
        <f>IF(OR(U1269="",V1269="",V1269="Excluded"),"",IF(COUNTIFS($U$5:$U$3004,U1269,$V$5:$V$3004,"&lt;&gt;"&amp;V1269,$V$5:$V$3004,"&lt;&gt;",$V$5:$V$3004,"&lt;&gt;Excluded")&gt;0,"LEAK RISK","OK"))</f>
        <v/>
      </c>
      <c r="Z1269" s="30" t="n"/>
    </row>
    <row r="1270">
      <c r="A1270" s="30" t="n"/>
      <c r="B1270" s="30" t="n"/>
      <c r="C1270" s="30" t="n"/>
      <c r="D1270" s="30" t="n"/>
      <c r="E1270" s="30" t="n"/>
      <c r="F1270" s="30" t="n"/>
      <c r="G1270" s="30" t="n"/>
      <c r="H1270" s="30" t="n"/>
      <c r="I1270" s="31" t="n"/>
      <c r="J1270" s="30" t="n"/>
      <c r="K1270" s="30" t="n"/>
      <c r="L1270" s="30" t="n"/>
      <c r="M1270" s="30" t="n"/>
      <c r="N1270" s="32" t="n"/>
      <c r="O1270" s="30" t="n"/>
      <c r="P1270" s="32" t="n"/>
      <c r="Q1270" s="30" t="n"/>
      <c r="R1270" s="32" t="n"/>
      <c r="S1270" s="30" t="n"/>
      <c r="T1270" s="30" t="n"/>
      <c r="U1270" s="30" t="n"/>
      <c r="V1270" s="30" t="n"/>
      <c r="W1270" s="29">
        <f>IF(H1270="","",IF(H1270="Kenya","Yes","No"))</f>
        <v/>
      </c>
      <c r="X1270" s="29">
        <f>IF(B1270="","",IF(COUNTIF($B$5:$B$3004,B1270)&gt;1,"DUPLICATE","OK"))</f>
        <v/>
      </c>
      <c r="Y1270" s="29">
        <f>IF(OR(U1270="",V1270="",V1270="Excluded"),"",IF(COUNTIFS($U$5:$U$3004,U1270,$V$5:$V$3004,"&lt;&gt;"&amp;V1270,$V$5:$V$3004,"&lt;&gt;",$V$5:$V$3004,"&lt;&gt;Excluded")&gt;0,"LEAK RISK","OK"))</f>
        <v/>
      </c>
      <c r="Z1270" s="30" t="n"/>
    </row>
    <row r="1271">
      <c r="A1271" s="30" t="n"/>
      <c r="B1271" s="30" t="n"/>
      <c r="C1271" s="30" t="n"/>
      <c r="D1271" s="30" t="n"/>
      <c r="E1271" s="30" t="n"/>
      <c r="F1271" s="30" t="n"/>
      <c r="G1271" s="30" t="n"/>
      <c r="H1271" s="30" t="n"/>
      <c r="I1271" s="31" t="n"/>
      <c r="J1271" s="30" t="n"/>
      <c r="K1271" s="30" t="n"/>
      <c r="L1271" s="30" t="n"/>
      <c r="M1271" s="30" t="n"/>
      <c r="N1271" s="32" t="n"/>
      <c r="O1271" s="30" t="n"/>
      <c r="P1271" s="32" t="n"/>
      <c r="Q1271" s="30" t="n"/>
      <c r="R1271" s="32" t="n"/>
      <c r="S1271" s="30" t="n"/>
      <c r="T1271" s="30" t="n"/>
      <c r="U1271" s="30" t="n"/>
      <c r="V1271" s="30" t="n"/>
      <c r="W1271" s="29">
        <f>IF(H1271="","",IF(H1271="Kenya","Yes","No"))</f>
        <v/>
      </c>
      <c r="X1271" s="29">
        <f>IF(B1271="","",IF(COUNTIF($B$5:$B$3004,B1271)&gt;1,"DUPLICATE","OK"))</f>
        <v/>
      </c>
      <c r="Y1271" s="29">
        <f>IF(OR(U1271="",V1271="",V1271="Excluded"),"",IF(COUNTIFS($U$5:$U$3004,U1271,$V$5:$V$3004,"&lt;&gt;"&amp;V1271,$V$5:$V$3004,"&lt;&gt;",$V$5:$V$3004,"&lt;&gt;Excluded")&gt;0,"LEAK RISK","OK"))</f>
        <v/>
      </c>
      <c r="Z1271" s="30" t="n"/>
    </row>
    <row r="1272">
      <c r="A1272" s="30" t="n"/>
      <c r="B1272" s="30" t="n"/>
      <c r="C1272" s="30" t="n"/>
      <c r="D1272" s="30" t="n"/>
      <c r="E1272" s="30" t="n"/>
      <c r="F1272" s="30" t="n"/>
      <c r="G1272" s="30" t="n"/>
      <c r="H1272" s="30" t="n"/>
      <c r="I1272" s="31" t="n"/>
      <c r="J1272" s="30" t="n"/>
      <c r="K1272" s="30" t="n"/>
      <c r="L1272" s="30" t="n"/>
      <c r="M1272" s="30" t="n"/>
      <c r="N1272" s="32" t="n"/>
      <c r="O1272" s="30" t="n"/>
      <c r="P1272" s="32" t="n"/>
      <c r="Q1272" s="30" t="n"/>
      <c r="R1272" s="32" t="n"/>
      <c r="S1272" s="30" t="n"/>
      <c r="T1272" s="30" t="n"/>
      <c r="U1272" s="30" t="n"/>
      <c r="V1272" s="30" t="n"/>
      <c r="W1272" s="29">
        <f>IF(H1272="","",IF(H1272="Kenya","Yes","No"))</f>
        <v/>
      </c>
      <c r="X1272" s="29">
        <f>IF(B1272="","",IF(COUNTIF($B$5:$B$3004,B1272)&gt;1,"DUPLICATE","OK"))</f>
        <v/>
      </c>
      <c r="Y1272" s="29">
        <f>IF(OR(U1272="",V1272="",V1272="Excluded"),"",IF(COUNTIFS($U$5:$U$3004,U1272,$V$5:$V$3004,"&lt;&gt;"&amp;V1272,$V$5:$V$3004,"&lt;&gt;",$V$5:$V$3004,"&lt;&gt;Excluded")&gt;0,"LEAK RISK","OK"))</f>
        <v/>
      </c>
      <c r="Z1272" s="30" t="n"/>
    </row>
    <row r="1273">
      <c r="A1273" s="30" t="n"/>
      <c r="B1273" s="30" t="n"/>
      <c r="C1273" s="30" t="n"/>
      <c r="D1273" s="30" t="n"/>
      <c r="E1273" s="30" t="n"/>
      <c r="F1273" s="30" t="n"/>
      <c r="G1273" s="30" t="n"/>
      <c r="H1273" s="30" t="n"/>
      <c r="I1273" s="31" t="n"/>
      <c r="J1273" s="30" t="n"/>
      <c r="K1273" s="30" t="n"/>
      <c r="L1273" s="30" t="n"/>
      <c r="M1273" s="30" t="n"/>
      <c r="N1273" s="32" t="n"/>
      <c r="O1273" s="30" t="n"/>
      <c r="P1273" s="32" t="n"/>
      <c r="Q1273" s="30" t="n"/>
      <c r="R1273" s="32" t="n"/>
      <c r="S1273" s="30" t="n"/>
      <c r="T1273" s="30" t="n"/>
      <c r="U1273" s="30" t="n"/>
      <c r="V1273" s="30" t="n"/>
      <c r="W1273" s="29">
        <f>IF(H1273="","",IF(H1273="Kenya","Yes","No"))</f>
        <v/>
      </c>
      <c r="X1273" s="29">
        <f>IF(B1273="","",IF(COUNTIF($B$5:$B$3004,B1273)&gt;1,"DUPLICATE","OK"))</f>
        <v/>
      </c>
      <c r="Y1273" s="29">
        <f>IF(OR(U1273="",V1273="",V1273="Excluded"),"",IF(COUNTIFS($U$5:$U$3004,U1273,$V$5:$V$3004,"&lt;&gt;"&amp;V1273,$V$5:$V$3004,"&lt;&gt;",$V$5:$V$3004,"&lt;&gt;Excluded")&gt;0,"LEAK RISK","OK"))</f>
        <v/>
      </c>
      <c r="Z1273" s="30" t="n"/>
    </row>
    <row r="1274">
      <c r="A1274" s="30" t="n"/>
      <c r="B1274" s="30" t="n"/>
      <c r="C1274" s="30" t="n"/>
      <c r="D1274" s="30" t="n"/>
      <c r="E1274" s="30" t="n"/>
      <c r="F1274" s="30" t="n"/>
      <c r="G1274" s="30" t="n"/>
      <c r="H1274" s="30" t="n"/>
      <c r="I1274" s="31" t="n"/>
      <c r="J1274" s="30" t="n"/>
      <c r="K1274" s="30" t="n"/>
      <c r="L1274" s="30" t="n"/>
      <c r="M1274" s="30" t="n"/>
      <c r="N1274" s="32" t="n"/>
      <c r="O1274" s="30" t="n"/>
      <c r="P1274" s="32" t="n"/>
      <c r="Q1274" s="30" t="n"/>
      <c r="R1274" s="32" t="n"/>
      <c r="S1274" s="30" t="n"/>
      <c r="T1274" s="30" t="n"/>
      <c r="U1274" s="30" t="n"/>
      <c r="V1274" s="30" t="n"/>
      <c r="W1274" s="29">
        <f>IF(H1274="","",IF(H1274="Kenya","Yes","No"))</f>
        <v/>
      </c>
      <c r="X1274" s="29">
        <f>IF(B1274="","",IF(COUNTIF($B$5:$B$3004,B1274)&gt;1,"DUPLICATE","OK"))</f>
        <v/>
      </c>
      <c r="Y1274" s="29">
        <f>IF(OR(U1274="",V1274="",V1274="Excluded"),"",IF(COUNTIFS($U$5:$U$3004,U1274,$V$5:$V$3004,"&lt;&gt;"&amp;V1274,$V$5:$V$3004,"&lt;&gt;",$V$5:$V$3004,"&lt;&gt;Excluded")&gt;0,"LEAK RISK","OK"))</f>
        <v/>
      </c>
      <c r="Z1274" s="30" t="n"/>
    </row>
    <row r="1275">
      <c r="A1275" s="30" t="n"/>
      <c r="B1275" s="30" t="n"/>
      <c r="C1275" s="30" t="n"/>
      <c r="D1275" s="30" t="n"/>
      <c r="E1275" s="30" t="n"/>
      <c r="F1275" s="30" t="n"/>
      <c r="G1275" s="30" t="n"/>
      <c r="H1275" s="30" t="n"/>
      <c r="I1275" s="31" t="n"/>
      <c r="J1275" s="30" t="n"/>
      <c r="K1275" s="30" t="n"/>
      <c r="L1275" s="30" t="n"/>
      <c r="M1275" s="30" t="n"/>
      <c r="N1275" s="32" t="n"/>
      <c r="O1275" s="30" t="n"/>
      <c r="P1275" s="32" t="n"/>
      <c r="Q1275" s="30" t="n"/>
      <c r="R1275" s="32" t="n"/>
      <c r="S1275" s="30" t="n"/>
      <c r="T1275" s="30" t="n"/>
      <c r="U1275" s="30" t="n"/>
      <c r="V1275" s="30" t="n"/>
      <c r="W1275" s="29">
        <f>IF(H1275="","",IF(H1275="Kenya","Yes","No"))</f>
        <v/>
      </c>
      <c r="X1275" s="29">
        <f>IF(B1275="","",IF(COUNTIF($B$5:$B$3004,B1275)&gt;1,"DUPLICATE","OK"))</f>
        <v/>
      </c>
      <c r="Y1275" s="29">
        <f>IF(OR(U1275="",V1275="",V1275="Excluded"),"",IF(COUNTIFS($U$5:$U$3004,U1275,$V$5:$V$3004,"&lt;&gt;"&amp;V1275,$V$5:$V$3004,"&lt;&gt;",$V$5:$V$3004,"&lt;&gt;Excluded")&gt;0,"LEAK RISK","OK"))</f>
        <v/>
      </c>
      <c r="Z1275" s="30" t="n"/>
    </row>
    <row r="1276">
      <c r="A1276" s="30" t="n"/>
      <c r="B1276" s="30" t="n"/>
      <c r="C1276" s="30" t="n"/>
      <c r="D1276" s="30" t="n"/>
      <c r="E1276" s="30" t="n"/>
      <c r="F1276" s="30" t="n"/>
      <c r="G1276" s="30" t="n"/>
      <c r="H1276" s="30" t="n"/>
      <c r="I1276" s="31" t="n"/>
      <c r="J1276" s="30" t="n"/>
      <c r="K1276" s="30" t="n"/>
      <c r="L1276" s="30" t="n"/>
      <c r="M1276" s="30" t="n"/>
      <c r="N1276" s="32" t="n"/>
      <c r="O1276" s="30" t="n"/>
      <c r="P1276" s="32" t="n"/>
      <c r="Q1276" s="30" t="n"/>
      <c r="R1276" s="32" t="n"/>
      <c r="S1276" s="30" t="n"/>
      <c r="T1276" s="30" t="n"/>
      <c r="U1276" s="30" t="n"/>
      <c r="V1276" s="30" t="n"/>
      <c r="W1276" s="29">
        <f>IF(H1276="","",IF(H1276="Kenya","Yes","No"))</f>
        <v/>
      </c>
      <c r="X1276" s="29">
        <f>IF(B1276="","",IF(COUNTIF($B$5:$B$3004,B1276)&gt;1,"DUPLICATE","OK"))</f>
        <v/>
      </c>
      <c r="Y1276" s="29">
        <f>IF(OR(U1276="",V1276="",V1276="Excluded"),"",IF(COUNTIFS($U$5:$U$3004,U1276,$V$5:$V$3004,"&lt;&gt;"&amp;V1276,$V$5:$V$3004,"&lt;&gt;",$V$5:$V$3004,"&lt;&gt;Excluded")&gt;0,"LEAK RISK","OK"))</f>
        <v/>
      </c>
      <c r="Z1276" s="30" t="n"/>
    </row>
    <row r="1277">
      <c r="A1277" s="30" t="n"/>
      <c r="B1277" s="30" t="n"/>
      <c r="C1277" s="30" t="n"/>
      <c r="D1277" s="30" t="n"/>
      <c r="E1277" s="30" t="n"/>
      <c r="F1277" s="30" t="n"/>
      <c r="G1277" s="30" t="n"/>
      <c r="H1277" s="30" t="n"/>
      <c r="I1277" s="31" t="n"/>
      <c r="J1277" s="30" t="n"/>
      <c r="K1277" s="30" t="n"/>
      <c r="L1277" s="30" t="n"/>
      <c r="M1277" s="30" t="n"/>
      <c r="N1277" s="32" t="n"/>
      <c r="O1277" s="30" t="n"/>
      <c r="P1277" s="32" t="n"/>
      <c r="Q1277" s="30" t="n"/>
      <c r="R1277" s="32" t="n"/>
      <c r="S1277" s="30" t="n"/>
      <c r="T1277" s="30" t="n"/>
      <c r="U1277" s="30" t="n"/>
      <c r="V1277" s="30" t="n"/>
      <c r="W1277" s="29">
        <f>IF(H1277="","",IF(H1277="Kenya","Yes","No"))</f>
        <v/>
      </c>
      <c r="X1277" s="29">
        <f>IF(B1277="","",IF(COUNTIF($B$5:$B$3004,B1277)&gt;1,"DUPLICATE","OK"))</f>
        <v/>
      </c>
      <c r="Y1277" s="29">
        <f>IF(OR(U1277="",V1277="",V1277="Excluded"),"",IF(COUNTIFS($U$5:$U$3004,U1277,$V$5:$V$3004,"&lt;&gt;"&amp;V1277,$V$5:$V$3004,"&lt;&gt;",$V$5:$V$3004,"&lt;&gt;Excluded")&gt;0,"LEAK RISK","OK"))</f>
        <v/>
      </c>
      <c r="Z1277" s="30" t="n"/>
    </row>
    <row r="1278">
      <c r="A1278" s="30" t="n"/>
      <c r="B1278" s="30" t="n"/>
      <c r="C1278" s="30" t="n"/>
      <c r="D1278" s="30" t="n"/>
      <c r="E1278" s="30" t="n"/>
      <c r="F1278" s="30" t="n"/>
      <c r="G1278" s="30" t="n"/>
      <c r="H1278" s="30" t="n"/>
      <c r="I1278" s="31" t="n"/>
      <c r="J1278" s="30" t="n"/>
      <c r="K1278" s="30" t="n"/>
      <c r="L1278" s="30" t="n"/>
      <c r="M1278" s="30" t="n"/>
      <c r="N1278" s="32" t="n"/>
      <c r="O1278" s="30" t="n"/>
      <c r="P1278" s="32" t="n"/>
      <c r="Q1278" s="30" t="n"/>
      <c r="R1278" s="32" t="n"/>
      <c r="S1278" s="30" t="n"/>
      <c r="T1278" s="30" t="n"/>
      <c r="U1278" s="30" t="n"/>
      <c r="V1278" s="30" t="n"/>
      <c r="W1278" s="29">
        <f>IF(H1278="","",IF(H1278="Kenya","Yes","No"))</f>
        <v/>
      </c>
      <c r="X1278" s="29">
        <f>IF(B1278="","",IF(COUNTIF($B$5:$B$3004,B1278)&gt;1,"DUPLICATE","OK"))</f>
        <v/>
      </c>
      <c r="Y1278" s="29">
        <f>IF(OR(U1278="",V1278="",V1278="Excluded"),"",IF(COUNTIFS($U$5:$U$3004,U1278,$V$5:$V$3004,"&lt;&gt;"&amp;V1278,$V$5:$V$3004,"&lt;&gt;",$V$5:$V$3004,"&lt;&gt;Excluded")&gt;0,"LEAK RISK","OK"))</f>
        <v/>
      </c>
      <c r="Z1278" s="30" t="n"/>
    </row>
    <row r="1279">
      <c r="A1279" s="30" t="n"/>
      <c r="B1279" s="30" t="n"/>
      <c r="C1279" s="30" t="n"/>
      <c r="D1279" s="30" t="n"/>
      <c r="E1279" s="30" t="n"/>
      <c r="F1279" s="30" t="n"/>
      <c r="G1279" s="30" t="n"/>
      <c r="H1279" s="30" t="n"/>
      <c r="I1279" s="31" t="n"/>
      <c r="J1279" s="30" t="n"/>
      <c r="K1279" s="30" t="n"/>
      <c r="L1279" s="30" t="n"/>
      <c r="M1279" s="30" t="n"/>
      <c r="N1279" s="32" t="n"/>
      <c r="O1279" s="30" t="n"/>
      <c r="P1279" s="32" t="n"/>
      <c r="Q1279" s="30" t="n"/>
      <c r="R1279" s="32" t="n"/>
      <c r="S1279" s="30" t="n"/>
      <c r="T1279" s="30" t="n"/>
      <c r="U1279" s="30" t="n"/>
      <c r="V1279" s="30" t="n"/>
      <c r="W1279" s="29">
        <f>IF(H1279="","",IF(H1279="Kenya","Yes","No"))</f>
        <v/>
      </c>
      <c r="X1279" s="29">
        <f>IF(B1279="","",IF(COUNTIF($B$5:$B$3004,B1279)&gt;1,"DUPLICATE","OK"))</f>
        <v/>
      </c>
      <c r="Y1279" s="29">
        <f>IF(OR(U1279="",V1279="",V1279="Excluded"),"",IF(COUNTIFS($U$5:$U$3004,U1279,$V$5:$V$3004,"&lt;&gt;"&amp;V1279,$V$5:$V$3004,"&lt;&gt;",$V$5:$V$3004,"&lt;&gt;Excluded")&gt;0,"LEAK RISK","OK"))</f>
        <v/>
      </c>
      <c r="Z1279" s="30" t="n"/>
    </row>
    <row r="1280">
      <c r="A1280" s="30" t="n"/>
      <c r="B1280" s="30" t="n"/>
      <c r="C1280" s="30" t="n"/>
      <c r="D1280" s="30" t="n"/>
      <c r="E1280" s="30" t="n"/>
      <c r="F1280" s="30" t="n"/>
      <c r="G1280" s="30" t="n"/>
      <c r="H1280" s="30" t="n"/>
      <c r="I1280" s="31" t="n"/>
      <c r="J1280" s="30" t="n"/>
      <c r="K1280" s="30" t="n"/>
      <c r="L1280" s="30" t="n"/>
      <c r="M1280" s="30" t="n"/>
      <c r="N1280" s="32" t="n"/>
      <c r="O1280" s="30" t="n"/>
      <c r="P1280" s="32" t="n"/>
      <c r="Q1280" s="30" t="n"/>
      <c r="R1280" s="32" t="n"/>
      <c r="S1280" s="30" t="n"/>
      <c r="T1280" s="30" t="n"/>
      <c r="U1280" s="30" t="n"/>
      <c r="V1280" s="30" t="n"/>
      <c r="W1280" s="29">
        <f>IF(H1280="","",IF(H1280="Kenya","Yes","No"))</f>
        <v/>
      </c>
      <c r="X1280" s="29">
        <f>IF(B1280="","",IF(COUNTIF($B$5:$B$3004,B1280)&gt;1,"DUPLICATE","OK"))</f>
        <v/>
      </c>
      <c r="Y1280" s="29">
        <f>IF(OR(U1280="",V1280="",V1280="Excluded"),"",IF(COUNTIFS($U$5:$U$3004,U1280,$V$5:$V$3004,"&lt;&gt;"&amp;V1280,$V$5:$V$3004,"&lt;&gt;",$V$5:$V$3004,"&lt;&gt;Excluded")&gt;0,"LEAK RISK","OK"))</f>
        <v/>
      </c>
      <c r="Z1280" s="30" t="n"/>
    </row>
    <row r="1281">
      <c r="A1281" s="30" t="n"/>
      <c r="B1281" s="30" t="n"/>
      <c r="C1281" s="30" t="n"/>
      <c r="D1281" s="30" t="n"/>
      <c r="E1281" s="30" t="n"/>
      <c r="F1281" s="30" t="n"/>
      <c r="G1281" s="30" t="n"/>
      <c r="H1281" s="30" t="n"/>
      <c r="I1281" s="31" t="n"/>
      <c r="J1281" s="30" t="n"/>
      <c r="K1281" s="30" t="n"/>
      <c r="L1281" s="30" t="n"/>
      <c r="M1281" s="30" t="n"/>
      <c r="N1281" s="32" t="n"/>
      <c r="O1281" s="30" t="n"/>
      <c r="P1281" s="32" t="n"/>
      <c r="Q1281" s="30" t="n"/>
      <c r="R1281" s="32" t="n"/>
      <c r="S1281" s="30" t="n"/>
      <c r="T1281" s="30" t="n"/>
      <c r="U1281" s="30" t="n"/>
      <c r="V1281" s="30" t="n"/>
      <c r="W1281" s="29">
        <f>IF(H1281="","",IF(H1281="Kenya","Yes","No"))</f>
        <v/>
      </c>
      <c r="X1281" s="29">
        <f>IF(B1281="","",IF(COUNTIF($B$5:$B$3004,B1281)&gt;1,"DUPLICATE","OK"))</f>
        <v/>
      </c>
      <c r="Y1281" s="29">
        <f>IF(OR(U1281="",V1281="",V1281="Excluded"),"",IF(COUNTIFS($U$5:$U$3004,U1281,$V$5:$V$3004,"&lt;&gt;"&amp;V1281,$V$5:$V$3004,"&lt;&gt;",$V$5:$V$3004,"&lt;&gt;Excluded")&gt;0,"LEAK RISK","OK"))</f>
        <v/>
      </c>
      <c r="Z1281" s="30" t="n"/>
    </row>
    <row r="1282">
      <c r="A1282" s="30" t="n"/>
      <c r="B1282" s="30" t="n"/>
      <c r="C1282" s="30" t="n"/>
      <c r="D1282" s="30" t="n"/>
      <c r="E1282" s="30" t="n"/>
      <c r="F1282" s="30" t="n"/>
      <c r="G1282" s="30" t="n"/>
      <c r="H1282" s="30" t="n"/>
      <c r="I1282" s="31" t="n"/>
      <c r="J1282" s="30" t="n"/>
      <c r="K1282" s="30" t="n"/>
      <c r="L1282" s="30" t="n"/>
      <c r="M1282" s="30" t="n"/>
      <c r="N1282" s="32" t="n"/>
      <c r="O1282" s="30" t="n"/>
      <c r="P1282" s="32" t="n"/>
      <c r="Q1282" s="30" t="n"/>
      <c r="R1282" s="32" t="n"/>
      <c r="S1282" s="30" t="n"/>
      <c r="T1282" s="30" t="n"/>
      <c r="U1282" s="30" t="n"/>
      <c r="V1282" s="30" t="n"/>
      <c r="W1282" s="29">
        <f>IF(H1282="","",IF(H1282="Kenya","Yes","No"))</f>
        <v/>
      </c>
      <c r="X1282" s="29">
        <f>IF(B1282="","",IF(COUNTIF($B$5:$B$3004,B1282)&gt;1,"DUPLICATE","OK"))</f>
        <v/>
      </c>
      <c r="Y1282" s="29">
        <f>IF(OR(U1282="",V1282="",V1282="Excluded"),"",IF(COUNTIFS($U$5:$U$3004,U1282,$V$5:$V$3004,"&lt;&gt;"&amp;V1282,$V$5:$V$3004,"&lt;&gt;",$V$5:$V$3004,"&lt;&gt;Excluded")&gt;0,"LEAK RISK","OK"))</f>
        <v/>
      </c>
      <c r="Z1282" s="30" t="n"/>
    </row>
    <row r="1283">
      <c r="A1283" s="30" t="n"/>
      <c r="B1283" s="30" t="n"/>
      <c r="C1283" s="30" t="n"/>
      <c r="D1283" s="30" t="n"/>
      <c r="E1283" s="30" t="n"/>
      <c r="F1283" s="30" t="n"/>
      <c r="G1283" s="30" t="n"/>
      <c r="H1283" s="30" t="n"/>
      <c r="I1283" s="31" t="n"/>
      <c r="J1283" s="30" t="n"/>
      <c r="K1283" s="30" t="n"/>
      <c r="L1283" s="30" t="n"/>
      <c r="M1283" s="30" t="n"/>
      <c r="N1283" s="32" t="n"/>
      <c r="O1283" s="30" t="n"/>
      <c r="P1283" s="32" t="n"/>
      <c r="Q1283" s="30" t="n"/>
      <c r="R1283" s="32" t="n"/>
      <c r="S1283" s="30" t="n"/>
      <c r="T1283" s="30" t="n"/>
      <c r="U1283" s="30" t="n"/>
      <c r="V1283" s="30" t="n"/>
      <c r="W1283" s="29">
        <f>IF(H1283="","",IF(H1283="Kenya","Yes","No"))</f>
        <v/>
      </c>
      <c r="X1283" s="29">
        <f>IF(B1283="","",IF(COUNTIF($B$5:$B$3004,B1283)&gt;1,"DUPLICATE","OK"))</f>
        <v/>
      </c>
      <c r="Y1283" s="29">
        <f>IF(OR(U1283="",V1283="",V1283="Excluded"),"",IF(COUNTIFS($U$5:$U$3004,U1283,$V$5:$V$3004,"&lt;&gt;"&amp;V1283,$V$5:$V$3004,"&lt;&gt;",$V$5:$V$3004,"&lt;&gt;Excluded")&gt;0,"LEAK RISK","OK"))</f>
        <v/>
      </c>
      <c r="Z1283" s="30" t="n"/>
    </row>
    <row r="1284">
      <c r="A1284" s="30" t="n"/>
      <c r="B1284" s="30" t="n"/>
      <c r="C1284" s="30" t="n"/>
      <c r="D1284" s="30" t="n"/>
      <c r="E1284" s="30" t="n"/>
      <c r="F1284" s="30" t="n"/>
      <c r="G1284" s="30" t="n"/>
      <c r="H1284" s="30" t="n"/>
      <c r="I1284" s="31" t="n"/>
      <c r="J1284" s="30" t="n"/>
      <c r="K1284" s="30" t="n"/>
      <c r="L1284" s="30" t="n"/>
      <c r="M1284" s="30" t="n"/>
      <c r="N1284" s="32" t="n"/>
      <c r="O1284" s="30" t="n"/>
      <c r="P1284" s="32" t="n"/>
      <c r="Q1284" s="30" t="n"/>
      <c r="R1284" s="32" t="n"/>
      <c r="S1284" s="30" t="n"/>
      <c r="T1284" s="30" t="n"/>
      <c r="U1284" s="30" t="n"/>
      <c r="V1284" s="30" t="n"/>
      <c r="W1284" s="29">
        <f>IF(H1284="","",IF(H1284="Kenya","Yes","No"))</f>
        <v/>
      </c>
      <c r="X1284" s="29">
        <f>IF(B1284="","",IF(COUNTIF($B$5:$B$3004,B1284)&gt;1,"DUPLICATE","OK"))</f>
        <v/>
      </c>
      <c r="Y1284" s="29">
        <f>IF(OR(U1284="",V1284="",V1284="Excluded"),"",IF(COUNTIFS($U$5:$U$3004,U1284,$V$5:$V$3004,"&lt;&gt;"&amp;V1284,$V$5:$V$3004,"&lt;&gt;",$V$5:$V$3004,"&lt;&gt;Excluded")&gt;0,"LEAK RISK","OK"))</f>
        <v/>
      </c>
      <c r="Z1284" s="30" t="n"/>
    </row>
    <row r="1285">
      <c r="A1285" s="30" t="n"/>
      <c r="B1285" s="30" t="n"/>
      <c r="C1285" s="30" t="n"/>
      <c r="D1285" s="30" t="n"/>
      <c r="E1285" s="30" t="n"/>
      <c r="F1285" s="30" t="n"/>
      <c r="G1285" s="30" t="n"/>
      <c r="H1285" s="30" t="n"/>
      <c r="I1285" s="31" t="n"/>
      <c r="J1285" s="30" t="n"/>
      <c r="K1285" s="30" t="n"/>
      <c r="L1285" s="30" t="n"/>
      <c r="M1285" s="30" t="n"/>
      <c r="N1285" s="32" t="n"/>
      <c r="O1285" s="30" t="n"/>
      <c r="P1285" s="32" t="n"/>
      <c r="Q1285" s="30" t="n"/>
      <c r="R1285" s="32" t="n"/>
      <c r="S1285" s="30" t="n"/>
      <c r="T1285" s="30" t="n"/>
      <c r="U1285" s="30" t="n"/>
      <c r="V1285" s="30" t="n"/>
      <c r="W1285" s="29">
        <f>IF(H1285="","",IF(H1285="Kenya","Yes","No"))</f>
        <v/>
      </c>
      <c r="X1285" s="29">
        <f>IF(B1285="","",IF(COUNTIF($B$5:$B$3004,B1285)&gt;1,"DUPLICATE","OK"))</f>
        <v/>
      </c>
      <c r="Y1285" s="29">
        <f>IF(OR(U1285="",V1285="",V1285="Excluded"),"",IF(COUNTIFS($U$5:$U$3004,U1285,$V$5:$V$3004,"&lt;&gt;"&amp;V1285,$V$5:$V$3004,"&lt;&gt;",$V$5:$V$3004,"&lt;&gt;Excluded")&gt;0,"LEAK RISK","OK"))</f>
        <v/>
      </c>
      <c r="Z1285" s="30" t="n"/>
    </row>
    <row r="1286">
      <c r="A1286" s="30" t="n"/>
      <c r="B1286" s="30" t="n"/>
      <c r="C1286" s="30" t="n"/>
      <c r="D1286" s="30" t="n"/>
      <c r="E1286" s="30" t="n"/>
      <c r="F1286" s="30" t="n"/>
      <c r="G1286" s="30" t="n"/>
      <c r="H1286" s="30" t="n"/>
      <c r="I1286" s="31" t="n"/>
      <c r="J1286" s="30" t="n"/>
      <c r="K1286" s="30" t="n"/>
      <c r="L1286" s="30" t="n"/>
      <c r="M1286" s="30" t="n"/>
      <c r="N1286" s="32" t="n"/>
      <c r="O1286" s="30" t="n"/>
      <c r="P1286" s="32" t="n"/>
      <c r="Q1286" s="30" t="n"/>
      <c r="R1286" s="32" t="n"/>
      <c r="S1286" s="30" t="n"/>
      <c r="T1286" s="30" t="n"/>
      <c r="U1286" s="30" t="n"/>
      <c r="V1286" s="30" t="n"/>
      <c r="W1286" s="29">
        <f>IF(H1286="","",IF(H1286="Kenya","Yes","No"))</f>
        <v/>
      </c>
      <c r="X1286" s="29">
        <f>IF(B1286="","",IF(COUNTIF($B$5:$B$3004,B1286)&gt;1,"DUPLICATE","OK"))</f>
        <v/>
      </c>
      <c r="Y1286" s="29">
        <f>IF(OR(U1286="",V1286="",V1286="Excluded"),"",IF(COUNTIFS($U$5:$U$3004,U1286,$V$5:$V$3004,"&lt;&gt;"&amp;V1286,$V$5:$V$3004,"&lt;&gt;",$V$5:$V$3004,"&lt;&gt;Excluded")&gt;0,"LEAK RISK","OK"))</f>
        <v/>
      </c>
      <c r="Z1286" s="30" t="n"/>
    </row>
    <row r="1287">
      <c r="A1287" s="30" t="n"/>
      <c r="B1287" s="30" t="n"/>
      <c r="C1287" s="30" t="n"/>
      <c r="D1287" s="30" t="n"/>
      <c r="E1287" s="30" t="n"/>
      <c r="F1287" s="30" t="n"/>
      <c r="G1287" s="30" t="n"/>
      <c r="H1287" s="30" t="n"/>
      <c r="I1287" s="31" t="n"/>
      <c r="J1287" s="30" t="n"/>
      <c r="K1287" s="30" t="n"/>
      <c r="L1287" s="30" t="n"/>
      <c r="M1287" s="30" t="n"/>
      <c r="N1287" s="32" t="n"/>
      <c r="O1287" s="30" t="n"/>
      <c r="P1287" s="32" t="n"/>
      <c r="Q1287" s="30" t="n"/>
      <c r="R1287" s="32" t="n"/>
      <c r="S1287" s="30" t="n"/>
      <c r="T1287" s="30" t="n"/>
      <c r="U1287" s="30" t="n"/>
      <c r="V1287" s="30" t="n"/>
      <c r="W1287" s="29">
        <f>IF(H1287="","",IF(H1287="Kenya","Yes","No"))</f>
        <v/>
      </c>
      <c r="X1287" s="29">
        <f>IF(B1287="","",IF(COUNTIF($B$5:$B$3004,B1287)&gt;1,"DUPLICATE","OK"))</f>
        <v/>
      </c>
      <c r="Y1287" s="29">
        <f>IF(OR(U1287="",V1287="",V1287="Excluded"),"",IF(COUNTIFS($U$5:$U$3004,U1287,$V$5:$V$3004,"&lt;&gt;"&amp;V1287,$V$5:$V$3004,"&lt;&gt;",$V$5:$V$3004,"&lt;&gt;Excluded")&gt;0,"LEAK RISK","OK"))</f>
        <v/>
      </c>
      <c r="Z1287" s="30" t="n"/>
    </row>
    <row r="1288">
      <c r="A1288" s="30" t="n"/>
      <c r="B1288" s="30" t="n"/>
      <c r="C1288" s="30" t="n"/>
      <c r="D1288" s="30" t="n"/>
      <c r="E1288" s="30" t="n"/>
      <c r="F1288" s="30" t="n"/>
      <c r="G1288" s="30" t="n"/>
      <c r="H1288" s="30" t="n"/>
      <c r="I1288" s="31" t="n"/>
      <c r="J1288" s="30" t="n"/>
      <c r="K1288" s="30" t="n"/>
      <c r="L1288" s="30" t="n"/>
      <c r="M1288" s="30" t="n"/>
      <c r="N1288" s="32" t="n"/>
      <c r="O1288" s="30" t="n"/>
      <c r="P1288" s="32" t="n"/>
      <c r="Q1288" s="30" t="n"/>
      <c r="R1288" s="32" t="n"/>
      <c r="S1288" s="30" t="n"/>
      <c r="T1288" s="30" t="n"/>
      <c r="U1288" s="30" t="n"/>
      <c r="V1288" s="30" t="n"/>
      <c r="W1288" s="29">
        <f>IF(H1288="","",IF(H1288="Kenya","Yes","No"))</f>
        <v/>
      </c>
      <c r="X1288" s="29">
        <f>IF(B1288="","",IF(COUNTIF($B$5:$B$3004,B1288)&gt;1,"DUPLICATE","OK"))</f>
        <v/>
      </c>
      <c r="Y1288" s="29">
        <f>IF(OR(U1288="",V1288="",V1288="Excluded"),"",IF(COUNTIFS($U$5:$U$3004,U1288,$V$5:$V$3004,"&lt;&gt;"&amp;V1288,$V$5:$V$3004,"&lt;&gt;",$V$5:$V$3004,"&lt;&gt;Excluded")&gt;0,"LEAK RISK","OK"))</f>
        <v/>
      </c>
      <c r="Z1288" s="30" t="n"/>
    </row>
    <row r="1289">
      <c r="A1289" s="30" t="n"/>
      <c r="B1289" s="30" t="n"/>
      <c r="C1289" s="30" t="n"/>
      <c r="D1289" s="30" t="n"/>
      <c r="E1289" s="30" t="n"/>
      <c r="F1289" s="30" t="n"/>
      <c r="G1289" s="30" t="n"/>
      <c r="H1289" s="30" t="n"/>
      <c r="I1289" s="31" t="n"/>
      <c r="J1289" s="30" t="n"/>
      <c r="K1289" s="30" t="n"/>
      <c r="L1289" s="30" t="n"/>
      <c r="M1289" s="30" t="n"/>
      <c r="N1289" s="32" t="n"/>
      <c r="O1289" s="30" t="n"/>
      <c r="P1289" s="32" t="n"/>
      <c r="Q1289" s="30" t="n"/>
      <c r="R1289" s="32" t="n"/>
      <c r="S1289" s="30" t="n"/>
      <c r="T1289" s="30" t="n"/>
      <c r="U1289" s="30" t="n"/>
      <c r="V1289" s="30" t="n"/>
      <c r="W1289" s="29">
        <f>IF(H1289="","",IF(H1289="Kenya","Yes","No"))</f>
        <v/>
      </c>
      <c r="X1289" s="29">
        <f>IF(B1289="","",IF(COUNTIF($B$5:$B$3004,B1289)&gt;1,"DUPLICATE","OK"))</f>
        <v/>
      </c>
      <c r="Y1289" s="29">
        <f>IF(OR(U1289="",V1289="",V1289="Excluded"),"",IF(COUNTIFS($U$5:$U$3004,U1289,$V$5:$V$3004,"&lt;&gt;"&amp;V1289,$V$5:$V$3004,"&lt;&gt;",$V$5:$V$3004,"&lt;&gt;Excluded")&gt;0,"LEAK RISK","OK"))</f>
        <v/>
      </c>
      <c r="Z1289" s="30" t="n"/>
    </row>
    <row r="1290">
      <c r="A1290" s="30" t="n"/>
      <c r="B1290" s="30" t="n"/>
      <c r="C1290" s="30" t="n"/>
      <c r="D1290" s="30" t="n"/>
      <c r="E1290" s="30" t="n"/>
      <c r="F1290" s="30" t="n"/>
      <c r="G1290" s="30" t="n"/>
      <c r="H1290" s="30" t="n"/>
      <c r="I1290" s="31" t="n"/>
      <c r="J1290" s="30" t="n"/>
      <c r="K1290" s="30" t="n"/>
      <c r="L1290" s="30" t="n"/>
      <c r="M1290" s="30" t="n"/>
      <c r="N1290" s="32" t="n"/>
      <c r="O1290" s="30" t="n"/>
      <c r="P1290" s="32" t="n"/>
      <c r="Q1290" s="30" t="n"/>
      <c r="R1290" s="32" t="n"/>
      <c r="S1290" s="30" t="n"/>
      <c r="T1290" s="30" t="n"/>
      <c r="U1290" s="30" t="n"/>
      <c r="V1290" s="30" t="n"/>
      <c r="W1290" s="29">
        <f>IF(H1290="","",IF(H1290="Kenya","Yes","No"))</f>
        <v/>
      </c>
      <c r="X1290" s="29">
        <f>IF(B1290="","",IF(COUNTIF($B$5:$B$3004,B1290)&gt;1,"DUPLICATE","OK"))</f>
        <v/>
      </c>
      <c r="Y1290" s="29">
        <f>IF(OR(U1290="",V1290="",V1290="Excluded"),"",IF(COUNTIFS($U$5:$U$3004,U1290,$V$5:$V$3004,"&lt;&gt;"&amp;V1290,$V$5:$V$3004,"&lt;&gt;",$V$5:$V$3004,"&lt;&gt;Excluded")&gt;0,"LEAK RISK","OK"))</f>
        <v/>
      </c>
      <c r="Z1290" s="30" t="n"/>
    </row>
    <row r="1291">
      <c r="A1291" s="30" t="n"/>
      <c r="B1291" s="30" t="n"/>
      <c r="C1291" s="30" t="n"/>
      <c r="D1291" s="30" t="n"/>
      <c r="E1291" s="30" t="n"/>
      <c r="F1291" s="30" t="n"/>
      <c r="G1291" s="30" t="n"/>
      <c r="H1291" s="30" t="n"/>
      <c r="I1291" s="31" t="n"/>
      <c r="J1291" s="30" t="n"/>
      <c r="K1291" s="30" t="n"/>
      <c r="L1291" s="30" t="n"/>
      <c r="M1291" s="30" t="n"/>
      <c r="N1291" s="32" t="n"/>
      <c r="O1291" s="30" t="n"/>
      <c r="P1291" s="32" t="n"/>
      <c r="Q1291" s="30" t="n"/>
      <c r="R1291" s="32" t="n"/>
      <c r="S1291" s="30" t="n"/>
      <c r="T1291" s="30" t="n"/>
      <c r="U1291" s="30" t="n"/>
      <c r="V1291" s="30" t="n"/>
      <c r="W1291" s="29">
        <f>IF(H1291="","",IF(H1291="Kenya","Yes","No"))</f>
        <v/>
      </c>
      <c r="X1291" s="29">
        <f>IF(B1291="","",IF(COUNTIF($B$5:$B$3004,B1291)&gt;1,"DUPLICATE","OK"))</f>
        <v/>
      </c>
      <c r="Y1291" s="29">
        <f>IF(OR(U1291="",V1291="",V1291="Excluded"),"",IF(COUNTIFS($U$5:$U$3004,U1291,$V$5:$V$3004,"&lt;&gt;"&amp;V1291,$V$5:$V$3004,"&lt;&gt;",$V$5:$V$3004,"&lt;&gt;Excluded")&gt;0,"LEAK RISK","OK"))</f>
        <v/>
      </c>
      <c r="Z1291" s="30" t="n"/>
    </row>
    <row r="1292">
      <c r="A1292" s="30" t="n"/>
      <c r="B1292" s="30" t="n"/>
      <c r="C1292" s="30" t="n"/>
      <c r="D1292" s="30" t="n"/>
      <c r="E1292" s="30" t="n"/>
      <c r="F1292" s="30" t="n"/>
      <c r="G1292" s="30" t="n"/>
      <c r="H1292" s="30" t="n"/>
      <c r="I1292" s="31" t="n"/>
      <c r="J1292" s="30" t="n"/>
      <c r="K1292" s="30" t="n"/>
      <c r="L1292" s="30" t="n"/>
      <c r="M1292" s="30" t="n"/>
      <c r="N1292" s="32" t="n"/>
      <c r="O1292" s="30" t="n"/>
      <c r="P1292" s="32" t="n"/>
      <c r="Q1292" s="30" t="n"/>
      <c r="R1292" s="32" t="n"/>
      <c r="S1292" s="30" t="n"/>
      <c r="T1292" s="30" t="n"/>
      <c r="U1292" s="30" t="n"/>
      <c r="V1292" s="30" t="n"/>
      <c r="W1292" s="29">
        <f>IF(H1292="","",IF(H1292="Kenya","Yes","No"))</f>
        <v/>
      </c>
      <c r="X1292" s="29">
        <f>IF(B1292="","",IF(COUNTIF($B$5:$B$3004,B1292)&gt;1,"DUPLICATE","OK"))</f>
        <v/>
      </c>
      <c r="Y1292" s="29">
        <f>IF(OR(U1292="",V1292="",V1292="Excluded"),"",IF(COUNTIFS($U$5:$U$3004,U1292,$V$5:$V$3004,"&lt;&gt;"&amp;V1292,$V$5:$V$3004,"&lt;&gt;",$V$5:$V$3004,"&lt;&gt;Excluded")&gt;0,"LEAK RISK","OK"))</f>
        <v/>
      </c>
      <c r="Z1292" s="30" t="n"/>
    </row>
    <row r="1293">
      <c r="A1293" s="30" t="n"/>
      <c r="B1293" s="30" t="n"/>
      <c r="C1293" s="30" t="n"/>
      <c r="D1293" s="30" t="n"/>
      <c r="E1293" s="30" t="n"/>
      <c r="F1293" s="30" t="n"/>
      <c r="G1293" s="30" t="n"/>
      <c r="H1293" s="30" t="n"/>
      <c r="I1293" s="31" t="n"/>
      <c r="J1293" s="30" t="n"/>
      <c r="K1293" s="30" t="n"/>
      <c r="L1293" s="30" t="n"/>
      <c r="M1293" s="30" t="n"/>
      <c r="N1293" s="32" t="n"/>
      <c r="O1293" s="30" t="n"/>
      <c r="P1293" s="32" t="n"/>
      <c r="Q1293" s="30" t="n"/>
      <c r="R1293" s="32" t="n"/>
      <c r="S1293" s="30" t="n"/>
      <c r="T1293" s="30" t="n"/>
      <c r="U1293" s="30" t="n"/>
      <c r="V1293" s="30" t="n"/>
      <c r="W1293" s="29">
        <f>IF(H1293="","",IF(H1293="Kenya","Yes","No"))</f>
        <v/>
      </c>
      <c r="X1293" s="29">
        <f>IF(B1293="","",IF(COUNTIF($B$5:$B$3004,B1293)&gt;1,"DUPLICATE","OK"))</f>
        <v/>
      </c>
      <c r="Y1293" s="29">
        <f>IF(OR(U1293="",V1293="",V1293="Excluded"),"",IF(COUNTIFS($U$5:$U$3004,U1293,$V$5:$V$3004,"&lt;&gt;"&amp;V1293,$V$5:$V$3004,"&lt;&gt;",$V$5:$V$3004,"&lt;&gt;Excluded")&gt;0,"LEAK RISK","OK"))</f>
        <v/>
      </c>
      <c r="Z1293" s="30" t="n"/>
    </row>
    <row r="1294">
      <c r="A1294" s="30" t="n"/>
      <c r="B1294" s="30" t="n"/>
      <c r="C1294" s="30" t="n"/>
      <c r="D1294" s="30" t="n"/>
      <c r="E1294" s="30" t="n"/>
      <c r="F1294" s="30" t="n"/>
      <c r="G1294" s="30" t="n"/>
      <c r="H1294" s="30" t="n"/>
      <c r="I1294" s="31" t="n"/>
      <c r="J1294" s="30" t="n"/>
      <c r="K1294" s="30" t="n"/>
      <c r="L1294" s="30" t="n"/>
      <c r="M1294" s="30" t="n"/>
      <c r="N1294" s="32" t="n"/>
      <c r="O1294" s="30" t="n"/>
      <c r="P1294" s="32" t="n"/>
      <c r="Q1294" s="30" t="n"/>
      <c r="R1294" s="32" t="n"/>
      <c r="S1294" s="30" t="n"/>
      <c r="T1294" s="30" t="n"/>
      <c r="U1294" s="30" t="n"/>
      <c r="V1294" s="30" t="n"/>
      <c r="W1294" s="29">
        <f>IF(H1294="","",IF(H1294="Kenya","Yes","No"))</f>
        <v/>
      </c>
      <c r="X1294" s="29">
        <f>IF(B1294="","",IF(COUNTIF($B$5:$B$3004,B1294)&gt;1,"DUPLICATE","OK"))</f>
        <v/>
      </c>
      <c r="Y1294" s="29">
        <f>IF(OR(U1294="",V1294="",V1294="Excluded"),"",IF(COUNTIFS($U$5:$U$3004,U1294,$V$5:$V$3004,"&lt;&gt;"&amp;V1294,$V$5:$V$3004,"&lt;&gt;",$V$5:$V$3004,"&lt;&gt;Excluded")&gt;0,"LEAK RISK","OK"))</f>
        <v/>
      </c>
      <c r="Z1294" s="30" t="n"/>
    </row>
    <row r="1295">
      <c r="A1295" s="30" t="n"/>
      <c r="B1295" s="30" t="n"/>
      <c r="C1295" s="30" t="n"/>
      <c r="D1295" s="30" t="n"/>
      <c r="E1295" s="30" t="n"/>
      <c r="F1295" s="30" t="n"/>
      <c r="G1295" s="30" t="n"/>
      <c r="H1295" s="30" t="n"/>
      <c r="I1295" s="31" t="n"/>
      <c r="J1295" s="30" t="n"/>
      <c r="K1295" s="30" t="n"/>
      <c r="L1295" s="30" t="n"/>
      <c r="M1295" s="30" t="n"/>
      <c r="N1295" s="32" t="n"/>
      <c r="O1295" s="30" t="n"/>
      <c r="P1295" s="32" t="n"/>
      <c r="Q1295" s="30" t="n"/>
      <c r="R1295" s="32" t="n"/>
      <c r="S1295" s="30" t="n"/>
      <c r="T1295" s="30" t="n"/>
      <c r="U1295" s="30" t="n"/>
      <c r="V1295" s="30" t="n"/>
      <c r="W1295" s="29">
        <f>IF(H1295="","",IF(H1295="Kenya","Yes","No"))</f>
        <v/>
      </c>
      <c r="X1295" s="29">
        <f>IF(B1295="","",IF(COUNTIF($B$5:$B$3004,B1295)&gt;1,"DUPLICATE","OK"))</f>
        <v/>
      </c>
      <c r="Y1295" s="29">
        <f>IF(OR(U1295="",V1295="",V1295="Excluded"),"",IF(COUNTIFS($U$5:$U$3004,U1295,$V$5:$V$3004,"&lt;&gt;"&amp;V1295,$V$5:$V$3004,"&lt;&gt;",$V$5:$V$3004,"&lt;&gt;Excluded")&gt;0,"LEAK RISK","OK"))</f>
        <v/>
      </c>
      <c r="Z1295" s="30" t="n"/>
    </row>
    <row r="1296">
      <c r="A1296" s="30" t="n"/>
      <c r="B1296" s="30" t="n"/>
      <c r="C1296" s="30" t="n"/>
      <c r="D1296" s="30" t="n"/>
      <c r="E1296" s="30" t="n"/>
      <c r="F1296" s="30" t="n"/>
      <c r="G1296" s="30" t="n"/>
      <c r="H1296" s="30" t="n"/>
      <c r="I1296" s="31" t="n"/>
      <c r="J1296" s="30" t="n"/>
      <c r="K1296" s="30" t="n"/>
      <c r="L1296" s="30" t="n"/>
      <c r="M1296" s="30" t="n"/>
      <c r="N1296" s="32" t="n"/>
      <c r="O1296" s="30" t="n"/>
      <c r="P1296" s="32" t="n"/>
      <c r="Q1296" s="30" t="n"/>
      <c r="R1296" s="32" t="n"/>
      <c r="S1296" s="30" t="n"/>
      <c r="T1296" s="30" t="n"/>
      <c r="U1296" s="30" t="n"/>
      <c r="V1296" s="30" t="n"/>
      <c r="W1296" s="29">
        <f>IF(H1296="","",IF(H1296="Kenya","Yes","No"))</f>
        <v/>
      </c>
      <c r="X1296" s="29">
        <f>IF(B1296="","",IF(COUNTIF($B$5:$B$3004,B1296)&gt;1,"DUPLICATE","OK"))</f>
        <v/>
      </c>
      <c r="Y1296" s="29">
        <f>IF(OR(U1296="",V1296="",V1296="Excluded"),"",IF(COUNTIFS($U$5:$U$3004,U1296,$V$5:$V$3004,"&lt;&gt;"&amp;V1296,$V$5:$V$3004,"&lt;&gt;",$V$5:$V$3004,"&lt;&gt;Excluded")&gt;0,"LEAK RISK","OK"))</f>
        <v/>
      </c>
      <c r="Z1296" s="30" t="n"/>
    </row>
    <row r="1297">
      <c r="A1297" s="30" t="n"/>
      <c r="B1297" s="30" t="n"/>
      <c r="C1297" s="30" t="n"/>
      <c r="D1297" s="30" t="n"/>
      <c r="E1297" s="30" t="n"/>
      <c r="F1297" s="30" t="n"/>
      <c r="G1297" s="30" t="n"/>
      <c r="H1297" s="30" t="n"/>
      <c r="I1297" s="31" t="n"/>
      <c r="J1297" s="30" t="n"/>
      <c r="K1297" s="30" t="n"/>
      <c r="L1297" s="30" t="n"/>
      <c r="M1297" s="30" t="n"/>
      <c r="N1297" s="32" t="n"/>
      <c r="O1297" s="30" t="n"/>
      <c r="P1297" s="32" t="n"/>
      <c r="Q1297" s="30" t="n"/>
      <c r="R1297" s="32" t="n"/>
      <c r="S1297" s="30" t="n"/>
      <c r="T1297" s="30" t="n"/>
      <c r="U1297" s="30" t="n"/>
      <c r="V1297" s="30" t="n"/>
      <c r="W1297" s="29">
        <f>IF(H1297="","",IF(H1297="Kenya","Yes","No"))</f>
        <v/>
      </c>
      <c r="X1297" s="29">
        <f>IF(B1297="","",IF(COUNTIF($B$5:$B$3004,B1297)&gt;1,"DUPLICATE","OK"))</f>
        <v/>
      </c>
      <c r="Y1297" s="29">
        <f>IF(OR(U1297="",V1297="",V1297="Excluded"),"",IF(COUNTIFS($U$5:$U$3004,U1297,$V$5:$V$3004,"&lt;&gt;"&amp;V1297,$V$5:$V$3004,"&lt;&gt;",$V$5:$V$3004,"&lt;&gt;Excluded")&gt;0,"LEAK RISK","OK"))</f>
        <v/>
      </c>
      <c r="Z1297" s="30" t="n"/>
    </row>
    <row r="1298">
      <c r="A1298" s="30" t="n"/>
      <c r="B1298" s="30" t="n"/>
      <c r="C1298" s="30" t="n"/>
      <c r="D1298" s="30" t="n"/>
      <c r="E1298" s="30" t="n"/>
      <c r="F1298" s="30" t="n"/>
      <c r="G1298" s="30" t="n"/>
      <c r="H1298" s="30" t="n"/>
      <c r="I1298" s="31" t="n"/>
      <c r="J1298" s="30" t="n"/>
      <c r="K1298" s="30" t="n"/>
      <c r="L1298" s="30" t="n"/>
      <c r="M1298" s="30" t="n"/>
      <c r="N1298" s="32" t="n"/>
      <c r="O1298" s="30" t="n"/>
      <c r="P1298" s="32" t="n"/>
      <c r="Q1298" s="30" t="n"/>
      <c r="R1298" s="32" t="n"/>
      <c r="S1298" s="30" t="n"/>
      <c r="T1298" s="30" t="n"/>
      <c r="U1298" s="30" t="n"/>
      <c r="V1298" s="30" t="n"/>
      <c r="W1298" s="29">
        <f>IF(H1298="","",IF(H1298="Kenya","Yes","No"))</f>
        <v/>
      </c>
      <c r="X1298" s="29">
        <f>IF(B1298="","",IF(COUNTIF($B$5:$B$3004,B1298)&gt;1,"DUPLICATE","OK"))</f>
        <v/>
      </c>
      <c r="Y1298" s="29">
        <f>IF(OR(U1298="",V1298="",V1298="Excluded"),"",IF(COUNTIFS($U$5:$U$3004,U1298,$V$5:$V$3004,"&lt;&gt;"&amp;V1298,$V$5:$V$3004,"&lt;&gt;",$V$5:$V$3004,"&lt;&gt;Excluded")&gt;0,"LEAK RISK","OK"))</f>
        <v/>
      </c>
      <c r="Z1298" s="30" t="n"/>
    </row>
    <row r="1299">
      <c r="A1299" s="30" t="n"/>
      <c r="B1299" s="30" t="n"/>
      <c r="C1299" s="30" t="n"/>
      <c r="D1299" s="30" t="n"/>
      <c r="E1299" s="30" t="n"/>
      <c r="F1299" s="30" t="n"/>
      <c r="G1299" s="30" t="n"/>
      <c r="H1299" s="30" t="n"/>
      <c r="I1299" s="31" t="n"/>
      <c r="J1299" s="30" t="n"/>
      <c r="K1299" s="30" t="n"/>
      <c r="L1299" s="30" t="n"/>
      <c r="M1299" s="30" t="n"/>
      <c r="N1299" s="32" t="n"/>
      <c r="O1299" s="30" t="n"/>
      <c r="P1299" s="32" t="n"/>
      <c r="Q1299" s="30" t="n"/>
      <c r="R1299" s="32" t="n"/>
      <c r="S1299" s="30" t="n"/>
      <c r="T1299" s="30" t="n"/>
      <c r="U1299" s="30" t="n"/>
      <c r="V1299" s="30" t="n"/>
      <c r="W1299" s="29">
        <f>IF(H1299="","",IF(H1299="Kenya","Yes","No"))</f>
        <v/>
      </c>
      <c r="X1299" s="29">
        <f>IF(B1299="","",IF(COUNTIF($B$5:$B$3004,B1299)&gt;1,"DUPLICATE","OK"))</f>
        <v/>
      </c>
      <c r="Y1299" s="29">
        <f>IF(OR(U1299="",V1299="",V1299="Excluded"),"",IF(COUNTIFS($U$5:$U$3004,U1299,$V$5:$V$3004,"&lt;&gt;"&amp;V1299,$V$5:$V$3004,"&lt;&gt;",$V$5:$V$3004,"&lt;&gt;Excluded")&gt;0,"LEAK RISK","OK"))</f>
        <v/>
      </c>
      <c r="Z1299" s="30" t="n"/>
    </row>
    <row r="1300">
      <c r="A1300" s="30" t="n"/>
      <c r="B1300" s="30" t="n"/>
      <c r="C1300" s="30" t="n"/>
      <c r="D1300" s="30" t="n"/>
      <c r="E1300" s="30" t="n"/>
      <c r="F1300" s="30" t="n"/>
      <c r="G1300" s="30" t="n"/>
      <c r="H1300" s="30" t="n"/>
      <c r="I1300" s="31" t="n"/>
      <c r="J1300" s="30" t="n"/>
      <c r="K1300" s="30" t="n"/>
      <c r="L1300" s="30" t="n"/>
      <c r="M1300" s="30" t="n"/>
      <c r="N1300" s="32" t="n"/>
      <c r="O1300" s="30" t="n"/>
      <c r="P1300" s="32" t="n"/>
      <c r="Q1300" s="30" t="n"/>
      <c r="R1300" s="32" t="n"/>
      <c r="S1300" s="30" t="n"/>
      <c r="T1300" s="30" t="n"/>
      <c r="U1300" s="30" t="n"/>
      <c r="V1300" s="30" t="n"/>
      <c r="W1300" s="29">
        <f>IF(H1300="","",IF(H1300="Kenya","Yes","No"))</f>
        <v/>
      </c>
      <c r="X1300" s="29">
        <f>IF(B1300="","",IF(COUNTIF($B$5:$B$3004,B1300)&gt;1,"DUPLICATE","OK"))</f>
        <v/>
      </c>
      <c r="Y1300" s="29">
        <f>IF(OR(U1300="",V1300="",V1300="Excluded"),"",IF(COUNTIFS($U$5:$U$3004,U1300,$V$5:$V$3004,"&lt;&gt;"&amp;V1300,$V$5:$V$3004,"&lt;&gt;",$V$5:$V$3004,"&lt;&gt;Excluded")&gt;0,"LEAK RISK","OK"))</f>
        <v/>
      </c>
      <c r="Z1300" s="30" t="n"/>
    </row>
    <row r="1301">
      <c r="A1301" s="30" t="n"/>
      <c r="B1301" s="30" t="n"/>
      <c r="C1301" s="30" t="n"/>
      <c r="D1301" s="30" t="n"/>
      <c r="E1301" s="30" t="n"/>
      <c r="F1301" s="30" t="n"/>
      <c r="G1301" s="30" t="n"/>
      <c r="H1301" s="30" t="n"/>
      <c r="I1301" s="31" t="n"/>
      <c r="J1301" s="30" t="n"/>
      <c r="K1301" s="30" t="n"/>
      <c r="L1301" s="30" t="n"/>
      <c r="M1301" s="30" t="n"/>
      <c r="N1301" s="32" t="n"/>
      <c r="O1301" s="30" t="n"/>
      <c r="P1301" s="32" t="n"/>
      <c r="Q1301" s="30" t="n"/>
      <c r="R1301" s="32" t="n"/>
      <c r="S1301" s="30" t="n"/>
      <c r="T1301" s="30" t="n"/>
      <c r="U1301" s="30" t="n"/>
      <c r="V1301" s="30" t="n"/>
      <c r="W1301" s="29">
        <f>IF(H1301="","",IF(H1301="Kenya","Yes","No"))</f>
        <v/>
      </c>
      <c r="X1301" s="29">
        <f>IF(B1301="","",IF(COUNTIF($B$5:$B$3004,B1301)&gt;1,"DUPLICATE","OK"))</f>
        <v/>
      </c>
      <c r="Y1301" s="29">
        <f>IF(OR(U1301="",V1301="",V1301="Excluded"),"",IF(COUNTIFS($U$5:$U$3004,U1301,$V$5:$V$3004,"&lt;&gt;"&amp;V1301,$V$5:$V$3004,"&lt;&gt;",$V$5:$V$3004,"&lt;&gt;Excluded")&gt;0,"LEAK RISK","OK"))</f>
        <v/>
      </c>
      <c r="Z1301" s="30" t="n"/>
    </row>
    <row r="1302">
      <c r="A1302" s="30" t="n"/>
      <c r="B1302" s="30" t="n"/>
      <c r="C1302" s="30" t="n"/>
      <c r="D1302" s="30" t="n"/>
      <c r="E1302" s="30" t="n"/>
      <c r="F1302" s="30" t="n"/>
      <c r="G1302" s="30" t="n"/>
      <c r="H1302" s="30" t="n"/>
      <c r="I1302" s="31" t="n"/>
      <c r="J1302" s="30" t="n"/>
      <c r="K1302" s="30" t="n"/>
      <c r="L1302" s="30" t="n"/>
      <c r="M1302" s="30" t="n"/>
      <c r="N1302" s="32" t="n"/>
      <c r="O1302" s="30" t="n"/>
      <c r="P1302" s="32" t="n"/>
      <c r="Q1302" s="30" t="n"/>
      <c r="R1302" s="32" t="n"/>
      <c r="S1302" s="30" t="n"/>
      <c r="T1302" s="30" t="n"/>
      <c r="U1302" s="30" t="n"/>
      <c r="V1302" s="30" t="n"/>
      <c r="W1302" s="29">
        <f>IF(H1302="","",IF(H1302="Kenya","Yes","No"))</f>
        <v/>
      </c>
      <c r="X1302" s="29">
        <f>IF(B1302="","",IF(COUNTIF($B$5:$B$3004,B1302)&gt;1,"DUPLICATE","OK"))</f>
        <v/>
      </c>
      <c r="Y1302" s="29">
        <f>IF(OR(U1302="",V1302="",V1302="Excluded"),"",IF(COUNTIFS($U$5:$U$3004,U1302,$V$5:$V$3004,"&lt;&gt;"&amp;V1302,$V$5:$V$3004,"&lt;&gt;",$V$5:$V$3004,"&lt;&gt;Excluded")&gt;0,"LEAK RISK","OK"))</f>
        <v/>
      </c>
      <c r="Z1302" s="30" t="n"/>
    </row>
    <row r="1303">
      <c r="A1303" s="30" t="n"/>
      <c r="B1303" s="30" t="n"/>
      <c r="C1303" s="30" t="n"/>
      <c r="D1303" s="30" t="n"/>
      <c r="E1303" s="30" t="n"/>
      <c r="F1303" s="30" t="n"/>
      <c r="G1303" s="30" t="n"/>
      <c r="H1303" s="30" t="n"/>
      <c r="I1303" s="31" t="n"/>
      <c r="J1303" s="30" t="n"/>
      <c r="K1303" s="30" t="n"/>
      <c r="L1303" s="30" t="n"/>
      <c r="M1303" s="30" t="n"/>
      <c r="N1303" s="32" t="n"/>
      <c r="O1303" s="30" t="n"/>
      <c r="P1303" s="32" t="n"/>
      <c r="Q1303" s="30" t="n"/>
      <c r="R1303" s="32" t="n"/>
      <c r="S1303" s="30" t="n"/>
      <c r="T1303" s="30" t="n"/>
      <c r="U1303" s="30" t="n"/>
      <c r="V1303" s="30" t="n"/>
      <c r="W1303" s="29">
        <f>IF(H1303="","",IF(H1303="Kenya","Yes","No"))</f>
        <v/>
      </c>
      <c r="X1303" s="29">
        <f>IF(B1303="","",IF(COUNTIF($B$5:$B$3004,B1303)&gt;1,"DUPLICATE","OK"))</f>
        <v/>
      </c>
      <c r="Y1303" s="29">
        <f>IF(OR(U1303="",V1303="",V1303="Excluded"),"",IF(COUNTIFS($U$5:$U$3004,U1303,$V$5:$V$3004,"&lt;&gt;"&amp;V1303,$V$5:$V$3004,"&lt;&gt;",$V$5:$V$3004,"&lt;&gt;Excluded")&gt;0,"LEAK RISK","OK"))</f>
        <v/>
      </c>
      <c r="Z1303" s="30" t="n"/>
    </row>
    <row r="1304">
      <c r="A1304" s="30" t="n"/>
      <c r="B1304" s="30" t="n"/>
      <c r="C1304" s="30" t="n"/>
      <c r="D1304" s="30" t="n"/>
      <c r="E1304" s="30" t="n"/>
      <c r="F1304" s="30" t="n"/>
      <c r="G1304" s="30" t="n"/>
      <c r="H1304" s="30" t="n"/>
      <c r="I1304" s="31" t="n"/>
      <c r="J1304" s="30" t="n"/>
      <c r="K1304" s="30" t="n"/>
      <c r="L1304" s="30" t="n"/>
      <c r="M1304" s="30" t="n"/>
      <c r="N1304" s="32" t="n"/>
      <c r="O1304" s="30" t="n"/>
      <c r="P1304" s="32" t="n"/>
      <c r="Q1304" s="30" t="n"/>
      <c r="R1304" s="32" t="n"/>
      <c r="S1304" s="30" t="n"/>
      <c r="T1304" s="30" t="n"/>
      <c r="U1304" s="30" t="n"/>
      <c r="V1304" s="30" t="n"/>
      <c r="W1304" s="29">
        <f>IF(H1304="","",IF(H1304="Kenya","Yes","No"))</f>
        <v/>
      </c>
      <c r="X1304" s="29">
        <f>IF(B1304="","",IF(COUNTIF($B$5:$B$3004,B1304)&gt;1,"DUPLICATE","OK"))</f>
        <v/>
      </c>
      <c r="Y1304" s="29">
        <f>IF(OR(U1304="",V1304="",V1304="Excluded"),"",IF(COUNTIFS($U$5:$U$3004,U1304,$V$5:$V$3004,"&lt;&gt;"&amp;V1304,$V$5:$V$3004,"&lt;&gt;",$V$5:$V$3004,"&lt;&gt;Excluded")&gt;0,"LEAK RISK","OK"))</f>
        <v/>
      </c>
      <c r="Z1304" s="30" t="n"/>
    </row>
    <row r="1305">
      <c r="A1305" s="30" t="n"/>
      <c r="B1305" s="30" t="n"/>
      <c r="C1305" s="30" t="n"/>
      <c r="D1305" s="30" t="n"/>
      <c r="E1305" s="30" t="n"/>
      <c r="F1305" s="30" t="n"/>
      <c r="G1305" s="30" t="n"/>
      <c r="H1305" s="30" t="n"/>
      <c r="I1305" s="31" t="n"/>
      <c r="J1305" s="30" t="n"/>
      <c r="K1305" s="30" t="n"/>
      <c r="L1305" s="30" t="n"/>
      <c r="M1305" s="30" t="n"/>
      <c r="N1305" s="32" t="n"/>
      <c r="O1305" s="30" t="n"/>
      <c r="P1305" s="32" t="n"/>
      <c r="Q1305" s="30" t="n"/>
      <c r="R1305" s="32" t="n"/>
      <c r="S1305" s="30" t="n"/>
      <c r="T1305" s="30" t="n"/>
      <c r="U1305" s="30" t="n"/>
      <c r="V1305" s="30" t="n"/>
      <c r="W1305" s="29">
        <f>IF(H1305="","",IF(H1305="Kenya","Yes","No"))</f>
        <v/>
      </c>
      <c r="X1305" s="29">
        <f>IF(B1305="","",IF(COUNTIF($B$5:$B$3004,B1305)&gt;1,"DUPLICATE","OK"))</f>
        <v/>
      </c>
      <c r="Y1305" s="29">
        <f>IF(OR(U1305="",V1305="",V1305="Excluded"),"",IF(COUNTIFS($U$5:$U$3004,U1305,$V$5:$V$3004,"&lt;&gt;"&amp;V1305,$V$5:$V$3004,"&lt;&gt;",$V$5:$V$3004,"&lt;&gt;Excluded")&gt;0,"LEAK RISK","OK"))</f>
        <v/>
      </c>
      <c r="Z1305" s="30" t="n"/>
    </row>
    <row r="1306">
      <c r="A1306" s="30" t="n"/>
      <c r="B1306" s="30" t="n"/>
      <c r="C1306" s="30" t="n"/>
      <c r="D1306" s="30" t="n"/>
      <c r="E1306" s="30" t="n"/>
      <c r="F1306" s="30" t="n"/>
      <c r="G1306" s="30" t="n"/>
      <c r="H1306" s="30" t="n"/>
      <c r="I1306" s="31" t="n"/>
      <c r="J1306" s="30" t="n"/>
      <c r="K1306" s="30" t="n"/>
      <c r="L1306" s="30" t="n"/>
      <c r="M1306" s="30" t="n"/>
      <c r="N1306" s="32" t="n"/>
      <c r="O1306" s="30" t="n"/>
      <c r="P1306" s="32" t="n"/>
      <c r="Q1306" s="30" t="n"/>
      <c r="R1306" s="32" t="n"/>
      <c r="S1306" s="30" t="n"/>
      <c r="T1306" s="30" t="n"/>
      <c r="U1306" s="30" t="n"/>
      <c r="V1306" s="30" t="n"/>
      <c r="W1306" s="29">
        <f>IF(H1306="","",IF(H1306="Kenya","Yes","No"))</f>
        <v/>
      </c>
      <c r="X1306" s="29">
        <f>IF(B1306="","",IF(COUNTIF($B$5:$B$3004,B1306)&gt;1,"DUPLICATE","OK"))</f>
        <v/>
      </c>
      <c r="Y1306" s="29">
        <f>IF(OR(U1306="",V1306="",V1306="Excluded"),"",IF(COUNTIFS($U$5:$U$3004,U1306,$V$5:$V$3004,"&lt;&gt;"&amp;V1306,$V$5:$V$3004,"&lt;&gt;",$V$5:$V$3004,"&lt;&gt;Excluded")&gt;0,"LEAK RISK","OK"))</f>
        <v/>
      </c>
      <c r="Z1306" s="30" t="n"/>
    </row>
    <row r="1307">
      <c r="A1307" s="30" t="n"/>
      <c r="B1307" s="30" t="n"/>
      <c r="C1307" s="30" t="n"/>
      <c r="D1307" s="30" t="n"/>
      <c r="E1307" s="30" t="n"/>
      <c r="F1307" s="30" t="n"/>
      <c r="G1307" s="30" t="n"/>
      <c r="H1307" s="30" t="n"/>
      <c r="I1307" s="31" t="n"/>
      <c r="J1307" s="30" t="n"/>
      <c r="K1307" s="30" t="n"/>
      <c r="L1307" s="30" t="n"/>
      <c r="M1307" s="30" t="n"/>
      <c r="N1307" s="32" t="n"/>
      <c r="O1307" s="30" t="n"/>
      <c r="P1307" s="32" t="n"/>
      <c r="Q1307" s="30" t="n"/>
      <c r="R1307" s="32" t="n"/>
      <c r="S1307" s="30" t="n"/>
      <c r="T1307" s="30" t="n"/>
      <c r="U1307" s="30" t="n"/>
      <c r="V1307" s="30" t="n"/>
      <c r="W1307" s="29">
        <f>IF(H1307="","",IF(H1307="Kenya","Yes","No"))</f>
        <v/>
      </c>
      <c r="X1307" s="29">
        <f>IF(B1307="","",IF(COUNTIF($B$5:$B$3004,B1307)&gt;1,"DUPLICATE","OK"))</f>
        <v/>
      </c>
      <c r="Y1307" s="29">
        <f>IF(OR(U1307="",V1307="",V1307="Excluded"),"",IF(COUNTIFS($U$5:$U$3004,U1307,$V$5:$V$3004,"&lt;&gt;"&amp;V1307,$V$5:$V$3004,"&lt;&gt;",$V$5:$V$3004,"&lt;&gt;Excluded")&gt;0,"LEAK RISK","OK"))</f>
        <v/>
      </c>
      <c r="Z1307" s="30" t="n"/>
    </row>
    <row r="1308">
      <c r="A1308" s="30" t="n"/>
      <c r="B1308" s="30" t="n"/>
      <c r="C1308" s="30" t="n"/>
      <c r="D1308" s="30" t="n"/>
      <c r="E1308" s="30" t="n"/>
      <c r="F1308" s="30" t="n"/>
      <c r="G1308" s="30" t="n"/>
      <c r="H1308" s="30" t="n"/>
      <c r="I1308" s="31" t="n"/>
      <c r="J1308" s="30" t="n"/>
      <c r="K1308" s="30" t="n"/>
      <c r="L1308" s="30" t="n"/>
      <c r="M1308" s="30" t="n"/>
      <c r="N1308" s="32" t="n"/>
      <c r="O1308" s="30" t="n"/>
      <c r="P1308" s="32" t="n"/>
      <c r="Q1308" s="30" t="n"/>
      <c r="R1308" s="32" t="n"/>
      <c r="S1308" s="30" t="n"/>
      <c r="T1308" s="30" t="n"/>
      <c r="U1308" s="30" t="n"/>
      <c r="V1308" s="30" t="n"/>
      <c r="W1308" s="29">
        <f>IF(H1308="","",IF(H1308="Kenya","Yes","No"))</f>
        <v/>
      </c>
      <c r="X1308" s="29">
        <f>IF(B1308="","",IF(COUNTIF($B$5:$B$3004,B1308)&gt;1,"DUPLICATE","OK"))</f>
        <v/>
      </c>
      <c r="Y1308" s="29">
        <f>IF(OR(U1308="",V1308="",V1308="Excluded"),"",IF(COUNTIFS($U$5:$U$3004,U1308,$V$5:$V$3004,"&lt;&gt;"&amp;V1308,$V$5:$V$3004,"&lt;&gt;",$V$5:$V$3004,"&lt;&gt;Excluded")&gt;0,"LEAK RISK","OK"))</f>
        <v/>
      </c>
      <c r="Z1308" s="30" t="n"/>
    </row>
    <row r="1309">
      <c r="A1309" s="30" t="n"/>
      <c r="B1309" s="30" t="n"/>
      <c r="C1309" s="30" t="n"/>
      <c r="D1309" s="30" t="n"/>
      <c r="E1309" s="30" t="n"/>
      <c r="F1309" s="30" t="n"/>
      <c r="G1309" s="30" t="n"/>
      <c r="H1309" s="30" t="n"/>
      <c r="I1309" s="31" t="n"/>
      <c r="J1309" s="30" t="n"/>
      <c r="K1309" s="30" t="n"/>
      <c r="L1309" s="30" t="n"/>
      <c r="M1309" s="30" t="n"/>
      <c r="N1309" s="32" t="n"/>
      <c r="O1309" s="30" t="n"/>
      <c r="P1309" s="32" t="n"/>
      <c r="Q1309" s="30" t="n"/>
      <c r="R1309" s="32" t="n"/>
      <c r="S1309" s="30" t="n"/>
      <c r="T1309" s="30" t="n"/>
      <c r="U1309" s="30" t="n"/>
      <c r="V1309" s="30" t="n"/>
      <c r="W1309" s="29">
        <f>IF(H1309="","",IF(H1309="Kenya","Yes","No"))</f>
        <v/>
      </c>
      <c r="X1309" s="29">
        <f>IF(B1309="","",IF(COUNTIF($B$5:$B$3004,B1309)&gt;1,"DUPLICATE","OK"))</f>
        <v/>
      </c>
      <c r="Y1309" s="29">
        <f>IF(OR(U1309="",V1309="",V1309="Excluded"),"",IF(COUNTIFS($U$5:$U$3004,U1309,$V$5:$V$3004,"&lt;&gt;"&amp;V1309,$V$5:$V$3004,"&lt;&gt;",$V$5:$V$3004,"&lt;&gt;Excluded")&gt;0,"LEAK RISK","OK"))</f>
        <v/>
      </c>
      <c r="Z1309" s="30" t="n"/>
    </row>
    <row r="1310">
      <c r="A1310" s="30" t="n"/>
      <c r="B1310" s="30" t="n"/>
      <c r="C1310" s="30" t="n"/>
      <c r="D1310" s="30" t="n"/>
      <c r="E1310" s="30" t="n"/>
      <c r="F1310" s="30" t="n"/>
      <c r="G1310" s="30" t="n"/>
      <c r="H1310" s="30" t="n"/>
      <c r="I1310" s="31" t="n"/>
      <c r="J1310" s="30" t="n"/>
      <c r="K1310" s="30" t="n"/>
      <c r="L1310" s="30" t="n"/>
      <c r="M1310" s="30" t="n"/>
      <c r="N1310" s="32" t="n"/>
      <c r="O1310" s="30" t="n"/>
      <c r="P1310" s="32" t="n"/>
      <c r="Q1310" s="30" t="n"/>
      <c r="R1310" s="32" t="n"/>
      <c r="S1310" s="30" t="n"/>
      <c r="T1310" s="30" t="n"/>
      <c r="U1310" s="30" t="n"/>
      <c r="V1310" s="30" t="n"/>
      <c r="W1310" s="29">
        <f>IF(H1310="","",IF(H1310="Kenya","Yes","No"))</f>
        <v/>
      </c>
      <c r="X1310" s="29">
        <f>IF(B1310="","",IF(COUNTIF($B$5:$B$3004,B1310)&gt;1,"DUPLICATE","OK"))</f>
        <v/>
      </c>
      <c r="Y1310" s="29">
        <f>IF(OR(U1310="",V1310="",V1310="Excluded"),"",IF(COUNTIFS($U$5:$U$3004,U1310,$V$5:$V$3004,"&lt;&gt;"&amp;V1310,$V$5:$V$3004,"&lt;&gt;",$V$5:$V$3004,"&lt;&gt;Excluded")&gt;0,"LEAK RISK","OK"))</f>
        <v/>
      </c>
      <c r="Z1310" s="30" t="n"/>
    </row>
    <row r="1311">
      <c r="A1311" s="30" t="n"/>
      <c r="B1311" s="30" t="n"/>
      <c r="C1311" s="30" t="n"/>
      <c r="D1311" s="30" t="n"/>
      <c r="E1311" s="30" t="n"/>
      <c r="F1311" s="30" t="n"/>
      <c r="G1311" s="30" t="n"/>
      <c r="H1311" s="30" t="n"/>
      <c r="I1311" s="31" t="n"/>
      <c r="J1311" s="30" t="n"/>
      <c r="K1311" s="30" t="n"/>
      <c r="L1311" s="30" t="n"/>
      <c r="M1311" s="30" t="n"/>
      <c r="N1311" s="32" t="n"/>
      <c r="O1311" s="30" t="n"/>
      <c r="P1311" s="32" t="n"/>
      <c r="Q1311" s="30" t="n"/>
      <c r="R1311" s="32" t="n"/>
      <c r="S1311" s="30" t="n"/>
      <c r="T1311" s="30" t="n"/>
      <c r="U1311" s="30" t="n"/>
      <c r="V1311" s="30" t="n"/>
      <c r="W1311" s="29">
        <f>IF(H1311="","",IF(H1311="Kenya","Yes","No"))</f>
        <v/>
      </c>
      <c r="X1311" s="29">
        <f>IF(B1311="","",IF(COUNTIF($B$5:$B$3004,B1311)&gt;1,"DUPLICATE","OK"))</f>
        <v/>
      </c>
      <c r="Y1311" s="29">
        <f>IF(OR(U1311="",V1311="",V1311="Excluded"),"",IF(COUNTIFS($U$5:$U$3004,U1311,$V$5:$V$3004,"&lt;&gt;"&amp;V1311,$V$5:$V$3004,"&lt;&gt;",$V$5:$V$3004,"&lt;&gt;Excluded")&gt;0,"LEAK RISK","OK"))</f>
        <v/>
      </c>
      <c r="Z1311" s="30" t="n"/>
    </row>
    <row r="1312">
      <c r="A1312" s="30" t="n"/>
      <c r="B1312" s="30" t="n"/>
      <c r="C1312" s="30" t="n"/>
      <c r="D1312" s="30" t="n"/>
      <c r="E1312" s="30" t="n"/>
      <c r="F1312" s="30" t="n"/>
      <c r="G1312" s="30" t="n"/>
      <c r="H1312" s="30" t="n"/>
      <c r="I1312" s="31" t="n"/>
      <c r="J1312" s="30" t="n"/>
      <c r="K1312" s="30" t="n"/>
      <c r="L1312" s="30" t="n"/>
      <c r="M1312" s="30" t="n"/>
      <c r="N1312" s="32" t="n"/>
      <c r="O1312" s="30" t="n"/>
      <c r="P1312" s="32" t="n"/>
      <c r="Q1312" s="30" t="n"/>
      <c r="R1312" s="32" t="n"/>
      <c r="S1312" s="30" t="n"/>
      <c r="T1312" s="30" t="n"/>
      <c r="U1312" s="30" t="n"/>
      <c r="V1312" s="30" t="n"/>
      <c r="W1312" s="29">
        <f>IF(H1312="","",IF(H1312="Kenya","Yes","No"))</f>
        <v/>
      </c>
      <c r="X1312" s="29">
        <f>IF(B1312="","",IF(COUNTIF($B$5:$B$3004,B1312)&gt;1,"DUPLICATE","OK"))</f>
        <v/>
      </c>
      <c r="Y1312" s="29">
        <f>IF(OR(U1312="",V1312="",V1312="Excluded"),"",IF(COUNTIFS($U$5:$U$3004,U1312,$V$5:$V$3004,"&lt;&gt;"&amp;V1312,$V$5:$V$3004,"&lt;&gt;",$V$5:$V$3004,"&lt;&gt;Excluded")&gt;0,"LEAK RISK","OK"))</f>
        <v/>
      </c>
      <c r="Z1312" s="30" t="n"/>
    </row>
    <row r="1313">
      <c r="A1313" s="30" t="n"/>
      <c r="B1313" s="30" t="n"/>
      <c r="C1313" s="30" t="n"/>
      <c r="D1313" s="30" t="n"/>
      <c r="E1313" s="30" t="n"/>
      <c r="F1313" s="30" t="n"/>
      <c r="G1313" s="30" t="n"/>
      <c r="H1313" s="30" t="n"/>
      <c r="I1313" s="31" t="n"/>
      <c r="J1313" s="30" t="n"/>
      <c r="K1313" s="30" t="n"/>
      <c r="L1313" s="30" t="n"/>
      <c r="M1313" s="30" t="n"/>
      <c r="N1313" s="32" t="n"/>
      <c r="O1313" s="30" t="n"/>
      <c r="P1313" s="32" t="n"/>
      <c r="Q1313" s="30" t="n"/>
      <c r="R1313" s="32" t="n"/>
      <c r="S1313" s="30" t="n"/>
      <c r="T1313" s="30" t="n"/>
      <c r="U1313" s="30" t="n"/>
      <c r="V1313" s="30" t="n"/>
      <c r="W1313" s="29">
        <f>IF(H1313="","",IF(H1313="Kenya","Yes","No"))</f>
        <v/>
      </c>
      <c r="X1313" s="29">
        <f>IF(B1313="","",IF(COUNTIF($B$5:$B$3004,B1313)&gt;1,"DUPLICATE","OK"))</f>
        <v/>
      </c>
      <c r="Y1313" s="29">
        <f>IF(OR(U1313="",V1313="",V1313="Excluded"),"",IF(COUNTIFS($U$5:$U$3004,U1313,$V$5:$V$3004,"&lt;&gt;"&amp;V1313,$V$5:$V$3004,"&lt;&gt;",$V$5:$V$3004,"&lt;&gt;Excluded")&gt;0,"LEAK RISK","OK"))</f>
        <v/>
      </c>
      <c r="Z1313" s="30" t="n"/>
    </row>
    <row r="1314">
      <c r="A1314" s="30" t="n"/>
      <c r="B1314" s="30" t="n"/>
      <c r="C1314" s="30" t="n"/>
      <c r="D1314" s="30" t="n"/>
      <c r="E1314" s="30" t="n"/>
      <c r="F1314" s="30" t="n"/>
      <c r="G1314" s="30" t="n"/>
      <c r="H1314" s="30" t="n"/>
      <c r="I1314" s="31" t="n"/>
      <c r="J1314" s="30" t="n"/>
      <c r="K1314" s="30" t="n"/>
      <c r="L1314" s="30" t="n"/>
      <c r="M1314" s="30" t="n"/>
      <c r="N1314" s="32" t="n"/>
      <c r="O1314" s="30" t="n"/>
      <c r="P1314" s="32" t="n"/>
      <c r="Q1314" s="30" t="n"/>
      <c r="R1314" s="32" t="n"/>
      <c r="S1314" s="30" t="n"/>
      <c r="T1314" s="30" t="n"/>
      <c r="U1314" s="30" t="n"/>
      <c r="V1314" s="30" t="n"/>
      <c r="W1314" s="29">
        <f>IF(H1314="","",IF(H1314="Kenya","Yes","No"))</f>
        <v/>
      </c>
      <c r="X1314" s="29">
        <f>IF(B1314="","",IF(COUNTIF($B$5:$B$3004,B1314)&gt;1,"DUPLICATE","OK"))</f>
        <v/>
      </c>
      <c r="Y1314" s="29">
        <f>IF(OR(U1314="",V1314="",V1314="Excluded"),"",IF(COUNTIFS($U$5:$U$3004,U1314,$V$5:$V$3004,"&lt;&gt;"&amp;V1314,$V$5:$V$3004,"&lt;&gt;",$V$5:$V$3004,"&lt;&gt;Excluded")&gt;0,"LEAK RISK","OK"))</f>
        <v/>
      </c>
      <c r="Z1314" s="30" t="n"/>
    </row>
    <row r="1315">
      <c r="A1315" s="30" t="n"/>
      <c r="B1315" s="30" t="n"/>
      <c r="C1315" s="30" t="n"/>
      <c r="D1315" s="30" t="n"/>
      <c r="E1315" s="30" t="n"/>
      <c r="F1315" s="30" t="n"/>
      <c r="G1315" s="30" t="n"/>
      <c r="H1315" s="30" t="n"/>
      <c r="I1315" s="31" t="n"/>
      <c r="J1315" s="30" t="n"/>
      <c r="K1315" s="30" t="n"/>
      <c r="L1315" s="30" t="n"/>
      <c r="M1315" s="30" t="n"/>
      <c r="N1315" s="32" t="n"/>
      <c r="O1315" s="30" t="n"/>
      <c r="P1315" s="32" t="n"/>
      <c r="Q1315" s="30" t="n"/>
      <c r="R1315" s="32" t="n"/>
      <c r="S1315" s="30" t="n"/>
      <c r="T1315" s="30" t="n"/>
      <c r="U1315" s="30" t="n"/>
      <c r="V1315" s="30" t="n"/>
      <c r="W1315" s="29">
        <f>IF(H1315="","",IF(H1315="Kenya","Yes","No"))</f>
        <v/>
      </c>
      <c r="X1315" s="29">
        <f>IF(B1315="","",IF(COUNTIF($B$5:$B$3004,B1315)&gt;1,"DUPLICATE","OK"))</f>
        <v/>
      </c>
      <c r="Y1315" s="29">
        <f>IF(OR(U1315="",V1315="",V1315="Excluded"),"",IF(COUNTIFS($U$5:$U$3004,U1315,$V$5:$V$3004,"&lt;&gt;"&amp;V1315,$V$5:$V$3004,"&lt;&gt;",$V$5:$V$3004,"&lt;&gt;Excluded")&gt;0,"LEAK RISK","OK"))</f>
        <v/>
      </c>
      <c r="Z1315" s="30" t="n"/>
    </row>
    <row r="1316">
      <c r="A1316" s="30" t="n"/>
      <c r="B1316" s="30" t="n"/>
      <c r="C1316" s="30" t="n"/>
      <c r="D1316" s="30" t="n"/>
      <c r="E1316" s="30" t="n"/>
      <c r="F1316" s="30" t="n"/>
      <c r="G1316" s="30" t="n"/>
      <c r="H1316" s="30" t="n"/>
      <c r="I1316" s="31" t="n"/>
      <c r="J1316" s="30" t="n"/>
      <c r="K1316" s="30" t="n"/>
      <c r="L1316" s="30" t="n"/>
      <c r="M1316" s="30" t="n"/>
      <c r="N1316" s="32" t="n"/>
      <c r="O1316" s="30" t="n"/>
      <c r="P1316" s="32" t="n"/>
      <c r="Q1316" s="30" t="n"/>
      <c r="R1316" s="32" t="n"/>
      <c r="S1316" s="30" t="n"/>
      <c r="T1316" s="30" t="n"/>
      <c r="U1316" s="30" t="n"/>
      <c r="V1316" s="30" t="n"/>
      <c r="W1316" s="29">
        <f>IF(H1316="","",IF(H1316="Kenya","Yes","No"))</f>
        <v/>
      </c>
      <c r="X1316" s="29">
        <f>IF(B1316="","",IF(COUNTIF($B$5:$B$3004,B1316)&gt;1,"DUPLICATE","OK"))</f>
        <v/>
      </c>
      <c r="Y1316" s="29">
        <f>IF(OR(U1316="",V1316="",V1316="Excluded"),"",IF(COUNTIFS($U$5:$U$3004,U1316,$V$5:$V$3004,"&lt;&gt;"&amp;V1316,$V$5:$V$3004,"&lt;&gt;",$V$5:$V$3004,"&lt;&gt;Excluded")&gt;0,"LEAK RISK","OK"))</f>
        <v/>
      </c>
      <c r="Z1316" s="30" t="n"/>
    </row>
    <row r="1317">
      <c r="A1317" s="30" t="n"/>
      <c r="B1317" s="30" t="n"/>
      <c r="C1317" s="30" t="n"/>
      <c r="D1317" s="30" t="n"/>
      <c r="E1317" s="30" t="n"/>
      <c r="F1317" s="30" t="n"/>
      <c r="G1317" s="30" t="n"/>
      <c r="H1317" s="30" t="n"/>
      <c r="I1317" s="31" t="n"/>
      <c r="J1317" s="30" t="n"/>
      <c r="K1317" s="30" t="n"/>
      <c r="L1317" s="30" t="n"/>
      <c r="M1317" s="30" t="n"/>
      <c r="N1317" s="32" t="n"/>
      <c r="O1317" s="30" t="n"/>
      <c r="P1317" s="32" t="n"/>
      <c r="Q1317" s="30" t="n"/>
      <c r="R1317" s="32" t="n"/>
      <c r="S1317" s="30" t="n"/>
      <c r="T1317" s="30" t="n"/>
      <c r="U1317" s="30" t="n"/>
      <c r="V1317" s="30" t="n"/>
      <c r="W1317" s="29">
        <f>IF(H1317="","",IF(H1317="Kenya","Yes","No"))</f>
        <v/>
      </c>
      <c r="X1317" s="29">
        <f>IF(B1317="","",IF(COUNTIF($B$5:$B$3004,B1317)&gt;1,"DUPLICATE","OK"))</f>
        <v/>
      </c>
      <c r="Y1317" s="29">
        <f>IF(OR(U1317="",V1317="",V1317="Excluded"),"",IF(COUNTIFS($U$5:$U$3004,U1317,$V$5:$V$3004,"&lt;&gt;"&amp;V1317,$V$5:$V$3004,"&lt;&gt;",$V$5:$V$3004,"&lt;&gt;Excluded")&gt;0,"LEAK RISK","OK"))</f>
        <v/>
      </c>
      <c r="Z1317" s="30" t="n"/>
    </row>
    <row r="1318">
      <c r="A1318" s="30" t="n"/>
      <c r="B1318" s="30" t="n"/>
      <c r="C1318" s="30" t="n"/>
      <c r="D1318" s="30" t="n"/>
      <c r="E1318" s="30" t="n"/>
      <c r="F1318" s="30" t="n"/>
      <c r="G1318" s="30" t="n"/>
      <c r="H1318" s="30" t="n"/>
      <c r="I1318" s="31" t="n"/>
      <c r="J1318" s="30" t="n"/>
      <c r="K1318" s="30" t="n"/>
      <c r="L1318" s="30" t="n"/>
      <c r="M1318" s="30" t="n"/>
      <c r="N1318" s="32" t="n"/>
      <c r="O1318" s="30" t="n"/>
      <c r="P1318" s="32" t="n"/>
      <c r="Q1318" s="30" t="n"/>
      <c r="R1318" s="32" t="n"/>
      <c r="S1318" s="30" t="n"/>
      <c r="T1318" s="30" t="n"/>
      <c r="U1318" s="30" t="n"/>
      <c r="V1318" s="30" t="n"/>
      <c r="W1318" s="29">
        <f>IF(H1318="","",IF(H1318="Kenya","Yes","No"))</f>
        <v/>
      </c>
      <c r="X1318" s="29">
        <f>IF(B1318="","",IF(COUNTIF($B$5:$B$3004,B1318)&gt;1,"DUPLICATE","OK"))</f>
        <v/>
      </c>
      <c r="Y1318" s="29">
        <f>IF(OR(U1318="",V1318="",V1318="Excluded"),"",IF(COUNTIFS($U$5:$U$3004,U1318,$V$5:$V$3004,"&lt;&gt;"&amp;V1318,$V$5:$V$3004,"&lt;&gt;",$V$5:$V$3004,"&lt;&gt;Excluded")&gt;0,"LEAK RISK","OK"))</f>
        <v/>
      </c>
      <c r="Z1318" s="30" t="n"/>
    </row>
    <row r="1319">
      <c r="A1319" s="30" t="n"/>
      <c r="B1319" s="30" t="n"/>
      <c r="C1319" s="30" t="n"/>
      <c r="D1319" s="30" t="n"/>
      <c r="E1319" s="30" t="n"/>
      <c r="F1319" s="30" t="n"/>
      <c r="G1319" s="30" t="n"/>
      <c r="H1319" s="30" t="n"/>
      <c r="I1319" s="31" t="n"/>
      <c r="J1319" s="30" t="n"/>
      <c r="K1319" s="30" t="n"/>
      <c r="L1319" s="30" t="n"/>
      <c r="M1319" s="30" t="n"/>
      <c r="N1319" s="32" t="n"/>
      <c r="O1319" s="30" t="n"/>
      <c r="P1319" s="32" t="n"/>
      <c r="Q1319" s="30" t="n"/>
      <c r="R1319" s="32" t="n"/>
      <c r="S1319" s="30" t="n"/>
      <c r="T1319" s="30" t="n"/>
      <c r="U1319" s="30" t="n"/>
      <c r="V1319" s="30" t="n"/>
      <c r="W1319" s="29">
        <f>IF(H1319="","",IF(H1319="Kenya","Yes","No"))</f>
        <v/>
      </c>
      <c r="X1319" s="29">
        <f>IF(B1319="","",IF(COUNTIF($B$5:$B$3004,B1319)&gt;1,"DUPLICATE","OK"))</f>
        <v/>
      </c>
      <c r="Y1319" s="29">
        <f>IF(OR(U1319="",V1319="",V1319="Excluded"),"",IF(COUNTIFS($U$5:$U$3004,U1319,$V$5:$V$3004,"&lt;&gt;"&amp;V1319,$V$5:$V$3004,"&lt;&gt;",$V$5:$V$3004,"&lt;&gt;Excluded")&gt;0,"LEAK RISK","OK"))</f>
        <v/>
      </c>
      <c r="Z1319" s="30" t="n"/>
    </row>
    <row r="1320">
      <c r="A1320" s="30" t="n"/>
      <c r="B1320" s="30" t="n"/>
      <c r="C1320" s="30" t="n"/>
      <c r="D1320" s="30" t="n"/>
      <c r="E1320" s="30" t="n"/>
      <c r="F1320" s="30" t="n"/>
      <c r="G1320" s="30" t="n"/>
      <c r="H1320" s="30" t="n"/>
      <c r="I1320" s="31" t="n"/>
      <c r="J1320" s="30" t="n"/>
      <c r="K1320" s="30" t="n"/>
      <c r="L1320" s="30" t="n"/>
      <c r="M1320" s="30" t="n"/>
      <c r="N1320" s="32" t="n"/>
      <c r="O1320" s="30" t="n"/>
      <c r="P1320" s="32" t="n"/>
      <c r="Q1320" s="30" t="n"/>
      <c r="R1320" s="32" t="n"/>
      <c r="S1320" s="30" t="n"/>
      <c r="T1320" s="30" t="n"/>
      <c r="U1320" s="30" t="n"/>
      <c r="V1320" s="30" t="n"/>
      <c r="W1320" s="29">
        <f>IF(H1320="","",IF(H1320="Kenya","Yes","No"))</f>
        <v/>
      </c>
      <c r="X1320" s="29">
        <f>IF(B1320="","",IF(COUNTIF($B$5:$B$3004,B1320)&gt;1,"DUPLICATE","OK"))</f>
        <v/>
      </c>
      <c r="Y1320" s="29">
        <f>IF(OR(U1320="",V1320="",V1320="Excluded"),"",IF(COUNTIFS($U$5:$U$3004,U1320,$V$5:$V$3004,"&lt;&gt;"&amp;V1320,$V$5:$V$3004,"&lt;&gt;",$V$5:$V$3004,"&lt;&gt;Excluded")&gt;0,"LEAK RISK","OK"))</f>
        <v/>
      </c>
      <c r="Z1320" s="30" t="n"/>
    </row>
    <row r="1321">
      <c r="A1321" s="30" t="n"/>
      <c r="B1321" s="30" t="n"/>
      <c r="C1321" s="30" t="n"/>
      <c r="D1321" s="30" t="n"/>
      <c r="E1321" s="30" t="n"/>
      <c r="F1321" s="30" t="n"/>
      <c r="G1321" s="30" t="n"/>
      <c r="H1321" s="30" t="n"/>
      <c r="I1321" s="31" t="n"/>
      <c r="J1321" s="30" t="n"/>
      <c r="K1321" s="30" t="n"/>
      <c r="L1321" s="30" t="n"/>
      <c r="M1321" s="30" t="n"/>
      <c r="N1321" s="32" t="n"/>
      <c r="O1321" s="30" t="n"/>
      <c r="P1321" s="32" t="n"/>
      <c r="Q1321" s="30" t="n"/>
      <c r="R1321" s="32" t="n"/>
      <c r="S1321" s="30" t="n"/>
      <c r="T1321" s="30" t="n"/>
      <c r="U1321" s="30" t="n"/>
      <c r="V1321" s="30" t="n"/>
      <c r="W1321" s="29">
        <f>IF(H1321="","",IF(H1321="Kenya","Yes","No"))</f>
        <v/>
      </c>
      <c r="X1321" s="29">
        <f>IF(B1321="","",IF(COUNTIF($B$5:$B$3004,B1321)&gt;1,"DUPLICATE","OK"))</f>
        <v/>
      </c>
      <c r="Y1321" s="29">
        <f>IF(OR(U1321="",V1321="",V1321="Excluded"),"",IF(COUNTIFS($U$5:$U$3004,U1321,$V$5:$V$3004,"&lt;&gt;"&amp;V1321,$V$5:$V$3004,"&lt;&gt;",$V$5:$V$3004,"&lt;&gt;Excluded")&gt;0,"LEAK RISK","OK"))</f>
        <v/>
      </c>
      <c r="Z1321" s="30" t="n"/>
    </row>
    <row r="1322">
      <c r="A1322" s="30" t="n"/>
      <c r="B1322" s="30" t="n"/>
      <c r="C1322" s="30" t="n"/>
      <c r="D1322" s="30" t="n"/>
      <c r="E1322" s="30" t="n"/>
      <c r="F1322" s="30" t="n"/>
      <c r="G1322" s="30" t="n"/>
      <c r="H1322" s="30" t="n"/>
      <c r="I1322" s="31" t="n"/>
      <c r="J1322" s="30" t="n"/>
      <c r="K1322" s="30" t="n"/>
      <c r="L1322" s="30" t="n"/>
      <c r="M1322" s="30" t="n"/>
      <c r="N1322" s="32" t="n"/>
      <c r="O1322" s="30" t="n"/>
      <c r="P1322" s="32" t="n"/>
      <c r="Q1322" s="30" t="n"/>
      <c r="R1322" s="32" t="n"/>
      <c r="S1322" s="30" t="n"/>
      <c r="T1322" s="30" t="n"/>
      <c r="U1322" s="30" t="n"/>
      <c r="V1322" s="30" t="n"/>
      <c r="W1322" s="29">
        <f>IF(H1322="","",IF(H1322="Kenya","Yes","No"))</f>
        <v/>
      </c>
      <c r="X1322" s="29">
        <f>IF(B1322="","",IF(COUNTIF($B$5:$B$3004,B1322)&gt;1,"DUPLICATE","OK"))</f>
        <v/>
      </c>
      <c r="Y1322" s="29">
        <f>IF(OR(U1322="",V1322="",V1322="Excluded"),"",IF(COUNTIFS($U$5:$U$3004,U1322,$V$5:$V$3004,"&lt;&gt;"&amp;V1322,$V$5:$V$3004,"&lt;&gt;",$V$5:$V$3004,"&lt;&gt;Excluded")&gt;0,"LEAK RISK","OK"))</f>
        <v/>
      </c>
      <c r="Z1322" s="30" t="n"/>
    </row>
    <row r="1323">
      <c r="A1323" s="30" t="n"/>
      <c r="B1323" s="30" t="n"/>
      <c r="C1323" s="30" t="n"/>
      <c r="D1323" s="30" t="n"/>
      <c r="E1323" s="30" t="n"/>
      <c r="F1323" s="30" t="n"/>
      <c r="G1323" s="30" t="n"/>
      <c r="H1323" s="30" t="n"/>
      <c r="I1323" s="31" t="n"/>
      <c r="J1323" s="30" t="n"/>
      <c r="K1323" s="30" t="n"/>
      <c r="L1323" s="30" t="n"/>
      <c r="M1323" s="30" t="n"/>
      <c r="N1323" s="32" t="n"/>
      <c r="O1323" s="30" t="n"/>
      <c r="P1323" s="32" t="n"/>
      <c r="Q1323" s="30" t="n"/>
      <c r="R1323" s="32" t="n"/>
      <c r="S1323" s="30" t="n"/>
      <c r="T1323" s="30" t="n"/>
      <c r="U1323" s="30" t="n"/>
      <c r="V1323" s="30" t="n"/>
      <c r="W1323" s="29">
        <f>IF(H1323="","",IF(H1323="Kenya","Yes","No"))</f>
        <v/>
      </c>
      <c r="X1323" s="29">
        <f>IF(B1323="","",IF(COUNTIF($B$5:$B$3004,B1323)&gt;1,"DUPLICATE","OK"))</f>
        <v/>
      </c>
      <c r="Y1323" s="29">
        <f>IF(OR(U1323="",V1323="",V1323="Excluded"),"",IF(COUNTIFS($U$5:$U$3004,U1323,$V$5:$V$3004,"&lt;&gt;"&amp;V1323,$V$5:$V$3004,"&lt;&gt;",$V$5:$V$3004,"&lt;&gt;Excluded")&gt;0,"LEAK RISK","OK"))</f>
        <v/>
      </c>
      <c r="Z1323" s="30" t="n"/>
    </row>
    <row r="1324">
      <c r="A1324" s="30" t="n"/>
      <c r="B1324" s="30" t="n"/>
      <c r="C1324" s="30" t="n"/>
      <c r="D1324" s="30" t="n"/>
      <c r="E1324" s="30" t="n"/>
      <c r="F1324" s="30" t="n"/>
      <c r="G1324" s="30" t="n"/>
      <c r="H1324" s="30" t="n"/>
      <c r="I1324" s="31" t="n"/>
      <c r="J1324" s="30" t="n"/>
      <c r="K1324" s="30" t="n"/>
      <c r="L1324" s="30" t="n"/>
      <c r="M1324" s="30" t="n"/>
      <c r="N1324" s="32" t="n"/>
      <c r="O1324" s="30" t="n"/>
      <c r="P1324" s="32" t="n"/>
      <c r="Q1324" s="30" t="n"/>
      <c r="R1324" s="32" t="n"/>
      <c r="S1324" s="30" t="n"/>
      <c r="T1324" s="30" t="n"/>
      <c r="U1324" s="30" t="n"/>
      <c r="V1324" s="30" t="n"/>
      <c r="W1324" s="29">
        <f>IF(H1324="","",IF(H1324="Kenya","Yes","No"))</f>
        <v/>
      </c>
      <c r="X1324" s="29">
        <f>IF(B1324="","",IF(COUNTIF($B$5:$B$3004,B1324)&gt;1,"DUPLICATE","OK"))</f>
        <v/>
      </c>
      <c r="Y1324" s="29">
        <f>IF(OR(U1324="",V1324="",V1324="Excluded"),"",IF(COUNTIFS($U$5:$U$3004,U1324,$V$5:$V$3004,"&lt;&gt;"&amp;V1324,$V$5:$V$3004,"&lt;&gt;",$V$5:$V$3004,"&lt;&gt;Excluded")&gt;0,"LEAK RISK","OK"))</f>
        <v/>
      </c>
      <c r="Z1324" s="30" t="n"/>
    </row>
    <row r="1325">
      <c r="A1325" s="30" t="n"/>
      <c r="B1325" s="30" t="n"/>
      <c r="C1325" s="30" t="n"/>
      <c r="D1325" s="30" t="n"/>
      <c r="E1325" s="30" t="n"/>
      <c r="F1325" s="30" t="n"/>
      <c r="G1325" s="30" t="n"/>
      <c r="H1325" s="30" t="n"/>
      <c r="I1325" s="31" t="n"/>
      <c r="J1325" s="30" t="n"/>
      <c r="K1325" s="30" t="n"/>
      <c r="L1325" s="30" t="n"/>
      <c r="M1325" s="30" t="n"/>
      <c r="N1325" s="32" t="n"/>
      <c r="O1325" s="30" t="n"/>
      <c r="P1325" s="32" t="n"/>
      <c r="Q1325" s="30" t="n"/>
      <c r="R1325" s="32" t="n"/>
      <c r="S1325" s="30" t="n"/>
      <c r="T1325" s="30" t="n"/>
      <c r="U1325" s="30" t="n"/>
      <c r="V1325" s="30" t="n"/>
      <c r="W1325" s="29">
        <f>IF(H1325="","",IF(H1325="Kenya","Yes","No"))</f>
        <v/>
      </c>
      <c r="X1325" s="29">
        <f>IF(B1325="","",IF(COUNTIF($B$5:$B$3004,B1325)&gt;1,"DUPLICATE","OK"))</f>
        <v/>
      </c>
      <c r="Y1325" s="29">
        <f>IF(OR(U1325="",V1325="",V1325="Excluded"),"",IF(COUNTIFS($U$5:$U$3004,U1325,$V$5:$V$3004,"&lt;&gt;"&amp;V1325,$V$5:$V$3004,"&lt;&gt;",$V$5:$V$3004,"&lt;&gt;Excluded")&gt;0,"LEAK RISK","OK"))</f>
        <v/>
      </c>
      <c r="Z1325" s="30" t="n"/>
    </row>
    <row r="1326">
      <c r="A1326" s="30" t="n"/>
      <c r="B1326" s="30" t="n"/>
      <c r="C1326" s="30" t="n"/>
      <c r="D1326" s="30" t="n"/>
      <c r="E1326" s="30" t="n"/>
      <c r="F1326" s="30" t="n"/>
      <c r="G1326" s="30" t="n"/>
      <c r="H1326" s="30" t="n"/>
      <c r="I1326" s="31" t="n"/>
      <c r="J1326" s="30" t="n"/>
      <c r="K1326" s="30" t="n"/>
      <c r="L1326" s="30" t="n"/>
      <c r="M1326" s="30" t="n"/>
      <c r="N1326" s="32" t="n"/>
      <c r="O1326" s="30" t="n"/>
      <c r="P1326" s="32" t="n"/>
      <c r="Q1326" s="30" t="n"/>
      <c r="R1326" s="32" t="n"/>
      <c r="S1326" s="30" t="n"/>
      <c r="T1326" s="30" t="n"/>
      <c r="U1326" s="30" t="n"/>
      <c r="V1326" s="30" t="n"/>
      <c r="W1326" s="29">
        <f>IF(H1326="","",IF(H1326="Kenya","Yes","No"))</f>
        <v/>
      </c>
      <c r="X1326" s="29">
        <f>IF(B1326="","",IF(COUNTIF($B$5:$B$3004,B1326)&gt;1,"DUPLICATE","OK"))</f>
        <v/>
      </c>
      <c r="Y1326" s="29">
        <f>IF(OR(U1326="",V1326="",V1326="Excluded"),"",IF(COUNTIFS($U$5:$U$3004,U1326,$V$5:$V$3004,"&lt;&gt;"&amp;V1326,$V$5:$V$3004,"&lt;&gt;",$V$5:$V$3004,"&lt;&gt;Excluded")&gt;0,"LEAK RISK","OK"))</f>
        <v/>
      </c>
      <c r="Z1326" s="30" t="n"/>
    </row>
    <row r="1327">
      <c r="A1327" s="30" t="n"/>
      <c r="B1327" s="30" t="n"/>
      <c r="C1327" s="30" t="n"/>
      <c r="D1327" s="30" t="n"/>
      <c r="E1327" s="30" t="n"/>
      <c r="F1327" s="30" t="n"/>
      <c r="G1327" s="30" t="n"/>
      <c r="H1327" s="30" t="n"/>
      <c r="I1327" s="31" t="n"/>
      <c r="J1327" s="30" t="n"/>
      <c r="K1327" s="30" t="n"/>
      <c r="L1327" s="30" t="n"/>
      <c r="M1327" s="30" t="n"/>
      <c r="N1327" s="32" t="n"/>
      <c r="O1327" s="30" t="n"/>
      <c r="P1327" s="32" t="n"/>
      <c r="Q1327" s="30" t="n"/>
      <c r="R1327" s="32" t="n"/>
      <c r="S1327" s="30" t="n"/>
      <c r="T1327" s="30" t="n"/>
      <c r="U1327" s="30" t="n"/>
      <c r="V1327" s="30" t="n"/>
      <c r="W1327" s="29">
        <f>IF(H1327="","",IF(H1327="Kenya","Yes","No"))</f>
        <v/>
      </c>
      <c r="X1327" s="29">
        <f>IF(B1327="","",IF(COUNTIF($B$5:$B$3004,B1327)&gt;1,"DUPLICATE","OK"))</f>
        <v/>
      </c>
      <c r="Y1327" s="29">
        <f>IF(OR(U1327="",V1327="",V1327="Excluded"),"",IF(COUNTIFS($U$5:$U$3004,U1327,$V$5:$V$3004,"&lt;&gt;"&amp;V1327,$V$5:$V$3004,"&lt;&gt;",$V$5:$V$3004,"&lt;&gt;Excluded")&gt;0,"LEAK RISK","OK"))</f>
        <v/>
      </c>
      <c r="Z1327" s="30" t="n"/>
    </row>
    <row r="1328">
      <c r="A1328" s="30" t="n"/>
      <c r="B1328" s="30" t="n"/>
      <c r="C1328" s="30" t="n"/>
      <c r="D1328" s="30" t="n"/>
      <c r="E1328" s="30" t="n"/>
      <c r="F1328" s="30" t="n"/>
      <c r="G1328" s="30" t="n"/>
      <c r="H1328" s="30" t="n"/>
      <c r="I1328" s="31" t="n"/>
      <c r="J1328" s="30" t="n"/>
      <c r="K1328" s="30" t="n"/>
      <c r="L1328" s="30" t="n"/>
      <c r="M1328" s="30" t="n"/>
      <c r="N1328" s="32" t="n"/>
      <c r="O1328" s="30" t="n"/>
      <c r="P1328" s="32" t="n"/>
      <c r="Q1328" s="30" t="n"/>
      <c r="R1328" s="32" t="n"/>
      <c r="S1328" s="30" t="n"/>
      <c r="T1328" s="30" t="n"/>
      <c r="U1328" s="30" t="n"/>
      <c r="V1328" s="30" t="n"/>
      <c r="W1328" s="29">
        <f>IF(H1328="","",IF(H1328="Kenya","Yes","No"))</f>
        <v/>
      </c>
      <c r="X1328" s="29">
        <f>IF(B1328="","",IF(COUNTIF($B$5:$B$3004,B1328)&gt;1,"DUPLICATE","OK"))</f>
        <v/>
      </c>
      <c r="Y1328" s="29">
        <f>IF(OR(U1328="",V1328="",V1328="Excluded"),"",IF(COUNTIFS($U$5:$U$3004,U1328,$V$5:$V$3004,"&lt;&gt;"&amp;V1328,$V$5:$V$3004,"&lt;&gt;",$V$5:$V$3004,"&lt;&gt;Excluded")&gt;0,"LEAK RISK","OK"))</f>
        <v/>
      </c>
      <c r="Z1328" s="30" t="n"/>
    </row>
    <row r="1329">
      <c r="A1329" s="30" t="n"/>
      <c r="B1329" s="30" t="n"/>
      <c r="C1329" s="30" t="n"/>
      <c r="D1329" s="30" t="n"/>
      <c r="E1329" s="30" t="n"/>
      <c r="F1329" s="30" t="n"/>
      <c r="G1329" s="30" t="n"/>
      <c r="H1329" s="30" t="n"/>
      <c r="I1329" s="31" t="n"/>
      <c r="J1329" s="30" t="n"/>
      <c r="K1329" s="30" t="n"/>
      <c r="L1329" s="30" t="n"/>
      <c r="M1329" s="30" t="n"/>
      <c r="N1329" s="32" t="n"/>
      <c r="O1329" s="30" t="n"/>
      <c r="P1329" s="32" t="n"/>
      <c r="Q1329" s="30" t="n"/>
      <c r="R1329" s="32" t="n"/>
      <c r="S1329" s="30" t="n"/>
      <c r="T1329" s="30" t="n"/>
      <c r="U1329" s="30" t="n"/>
      <c r="V1329" s="30" t="n"/>
      <c r="W1329" s="29">
        <f>IF(H1329="","",IF(H1329="Kenya","Yes","No"))</f>
        <v/>
      </c>
      <c r="X1329" s="29">
        <f>IF(B1329="","",IF(COUNTIF($B$5:$B$3004,B1329)&gt;1,"DUPLICATE","OK"))</f>
        <v/>
      </c>
      <c r="Y1329" s="29">
        <f>IF(OR(U1329="",V1329="",V1329="Excluded"),"",IF(COUNTIFS($U$5:$U$3004,U1329,$V$5:$V$3004,"&lt;&gt;"&amp;V1329,$V$5:$V$3004,"&lt;&gt;",$V$5:$V$3004,"&lt;&gt;Excluded")&gt;0,"LEAK RISK","OK"))</f>
        <v/>
      </c>
      <c r="Z1329" s="30" t="n"/>
    </row>
    <row r="1330">
      <c r="A1330" s="30" t="n"/>
      <c r="B1330" s="30" t="n"/>
      <c r="C1330" s="30" t="n"/>
      <c r="D1330" s="30" t="n"/>
      <c r="E1330" s="30" t="n"/>
      <c r="F1330" s="30" t="n"/>
      <c r="G1330" s="30" t="n"/>
      <c r="H1330" s="30" t="n"/>
      <c r="I1330" s="31" t="n"/>
      <c r="J1330" s="30" t="n"/>
      <c r="K1330" s="30" t="n"/>
      <c r="L1330" s="30" t="n"/>
      <c r="M1330" s="30" t="n"/>
      <c r="N1330" s="32" t="n"/>
      <c r="O1330" s="30" t="n"/>
      <c r="P1330" s="32" t="n"/>
      <c r="Q1330" s="30" t="n"/>
      <c r="R1330" s="32" t="n"/>
      <c r="S1330" s="30" t="n"/>
      <c r="T1330" s="30" t="n"/>
      <c r="U1330" s="30" t="n"/>
      <c r="V1330" s="30" t="n"/>
      <c r="W1330" s="29">
        <f>IF(H1330="","",IF(H1330="Kenya","Yes","No"))</f>
        <v/>
      </c>
      <c r="X1330" s="29">
        <f>IF(B1330="","",IF(COUNTIF($B$5:$B$3004,B1330)&gt;1,"DUPLICATE","OK"))</f>
        <v/>
      </c>
      <c r="Y1330" s="29">
        <f>IF(OR(U1330="",V1330="",V1330="Excluded"),"",IF(COUNTIFS($U$5:$U$3004,U1330,$V$5:$V$3004,"&lt;&gt;"&amp;V1330,$V$5:$V$3004,"&lt;&gt;",$V$5:$V$3004,"&lt;&gt;Excluded")&gt;0,"LEAK RISK","OK"))</f>
        <v/>
      </c>
      <c r="Z1330" s="30" t="n"/>
    </row>
    <row r="1331">
      <c r="A1331" s="30" t="n"/>
      <c r="B1331" s="30" t="n"/>
      <c r="C1331" s="30" t="n"/>
      <c r="D1331" s="30" t="n"/>
      <c r="E1331" s="30" t="n"/>
      <c r="F1331" s="30" t="n"/>
      <c r="G1331" s="30" t="n"/>
      <c r="H1331" s="30" t="n"/>
      <c r="I1331" s="31" t="n"/>
      <c r="J1331" s="30" t="n"/>
      <c r="K1331" s="30" t="n"/>
      <c r="L1331" s="30" t="n"/>
      <c r="M1331" s="30" t="n"/>
      <c r="N1331" s="32" t="n"/>
      <c r="O1331" s="30" t="n"/>
      <c r="P1331" s="32" t="n"/>
      <c r="Q1331" s="30" t="n"/>
      <c r="R1331" s="32" t="n"/>
      <c r="S1331" s="30" t="n"/>
      <c r="T1331" s="30" t="n"/>
      <c r="U1331" s="30" t="n"/>
      <c r="V1331" s="30" t="n"/>
      <c r="W1331" s="29">
        <f>IF(H1331="","",IF(H1331="Kenya","Yes","No"))</f>
        <v/>
      </c>
      <c r="X1331" s="29">
        <f>IF(B1331="","",IF(COUNTIF($B$5:$B$3004,B1331)&gt;1,"DUPLICATE","OK"))</f>
        <v/>
      </c>
      <c r="Y1331" s="29">
        <f>IF(OR(U1331="",V1331="",V1331="Excluded"),"",IF(COUNTIFS($U$5:$U$3004,U1331,$V$5:$V$3004,"&lt;&gt;"&amp;V1331,$V$5:$V$3004,"&lt;&gt;",$V$5:$V$3004,"&lt;&gt;Excluded")&gt;0,"LEAK RISK","OK"))</f>
        <v/>
      </c>
      <c r="Z1331" s="30" t="n"/>
    </row>
    <row r="1332">
      <c r="A1332" s="30" t="n"/>
      <c r="B1332" s="30" t="n"/>
      <c r="C1332" s="30" t="n"/>
      <c r="D1332" s="30" t="n"/>
      <c r="E1332" s="30" t="n"/>
      <c r="F1332" s="30" t="n"/>
      <c r="G1332" s="30" t="n"/>
      <c r="H1332" s="30" t="n"/>
      <c r="I1332" s="31" t="n"/>
      <c r="J1332" s="30" t="n"/>
      <c r="K1332" s="30" t="n"/>
      <c r="L1332" s="30" t="n"/>
      <c r="M1332" s="30" t="n"/>
      <c r="N1332" s="32" t="n"/>
      <c r="O1332" s="30" t="n"/>
      <c r="P1332" s="32" t="n"/>
      <c r="Q1332" s="30" t="n"/>
      <c r="R1332" s="32" t="n"/>
      <c r="S1332" s="30" t="n"/>
      <c r="T1332" s="30" t="n"/>
      <c r="U1332" s="30" t="n"/>
      <c r="V1332" s="30" t="n"/>
      <c r="W1332" s="29">
        <f>IF(H1332="","",IF(H1332="Kenya","Yes","No"))</f>
        <v/>
      </c>
      <c r="X1332" s="29">
        <f>IF(B1332="","",IF(COUNTIF($B$5:$B$3004,B1332)&gt;1,"DUPLICATE","OK"))</f>
        <v/>
      </c>
      <c r="Y1332" s="29">
        <f>IF(OR(U1332="",V1332="",V1332="Excluded"),"",IF(COUNTIFS($U$5:$U$3004,U1332,$V$5:$V$3004,"&lt;&gt;"&amp;V1332,$V$5:$V$3004,"&lt;&gt;",$V$5:$V$3004,"&lt;&gt;Excluded")&gt;0,"LEAK RISK","OK"))</f>
        <v/>
      </c>
      <c r="Z1332" s="30" t="n"/>
    </row>
    <row r="1333">
      <c r="A1333" s="30" t="n"/>
      <c r="B1333" s="30" t="n"/>
      <c r="C1333" s="30" t="n"/>
      <c r="D1333" s="30" t="n"/>
      <c r="E1333" s="30" t="n"/>
      <c r="F1333" s="30" t="n"/>
      <c r="G1333" s="30" t="n"/>
      <c r="H1333" s="30" t="n"/>
      <c r="I1333" s="31" t="n"/>
      <c r="J1333" s="30" t="n"/>
      <c r="K1333" s="30" t="n"/>
      <c r="L1333" s="30" t="n"/>
      <c r="M1333" s="30" t="n"/>
      <c r="N1333" s="32" t="n"/>
      <c r="O1333" s="30" t="n"/>
      <c r="P1333" s="32" t="n"/>
      <c r="Q1333" s="30" t="n"/>
      <c r="R1333" s="32" t="n"/>
      <c r="S1333" s="30" t="n"/>
      <c r="T1333" s="30" t="n"/>
      <c r="U1333" s="30" t="n"/>
      <c r="V1333" s="30" t="n"/>
      <c r="W1333" s="29">
        <f>IF(H1333="","",IF(H1333="Kenya","Yes","No"))</f>
        <v/>
      </c>
      <c r="X1333" s="29">
        <f>IF(B1333="","",IF(COUNTIF($B$5:$B$3004,B1333)&gt;1,"DUPLICATE","OK"))</f>
        <v/>
      </c>
      <c r="Y1333" s="29">
        <f>IF(OR(U1333="",V1333="",V1333="Excluded"),"",IF(COUNTIFS($U$5:$U$3004,U1333,$V$5:$V$3004,"&lt;&gt;"&amp;V1333,$V$5:$V$3004,"&lt;&gt;",$V$5:$V$3004,"&lt;&gt;Excluded")&gt;0,"LEAK RISK","OK"))</f>
        <v/>
      </c>
      <c r="Z1333" s="30" t="n"/>
    </row>
    <row r="1334">
      <c r="A1334" s="30" t="n"/>
      <c r="B1334" s="30" t="n"/>
      <c r="C1334" s="30" t="n"/>
      <c r="D1334" s="30" t="n"/>
      <c r="E1334" s="30" t="n"/>
      <c r="F1334" s="30" t="n"/>
      <c r="G1334" s="30" t="n"/>
      <c r="H1334" s="30" t="n"/>
      <c r="I1334" s="31" t="n"/>
      <c r="J1334" s="30" t="n"/>
      <c r="K1334" s="30" t="n"/>
      <c r="L1334" s="30" t="n"/>
      <c r="M1334" s="30" t="n"/>
      <c r="N1334" s="32" t="n"/>
      <c r="O1334" s="30" t="n"/>
      <c r="P1334" s="32" t="n"/>
      <c r="Q1334" s="30" t="n"/>
      <c r="R1334" s="32" t="n"/>
      <c r="S1334" s="30" t="n"/>
      <c r="T1334" s="30" t="n"/>
      <c r="U1334" s="30" t="n"/>
      <c r="V1334" s="30" t="n"/>
      <c r="W1334" s="29">
        <f>IF(H1334="","",IF(H1334="Kenya","Yes","No"))</f>
        <v/>
      </c>
      <c r="X1334" s="29">
        <f>IF(B1334="","",IF(COUNTIF($B$5:$B$3004,B1334)&gt;1,"DUPLICATE","OK"))</f>
        <v/>
      </c>
      <c r="Y1334" s="29">
        <f>IF(OR(U1334="",V1334="",V1334="Excluded"),"",IF(COUNTIFS($U$5:$U$3004,U1334,$V$5:$V$3004,"&lt;&gt;"&amp;V1334,$V$5:$V$3004,"&lt;&gt;",$V$5:$V$3004,"&lt;&gt;Excluded")&gt;0,"LEAK RISK","OK"))</f>
        <v/>
      </c>
      <c r="Z1334" s="30" t="n"/>
    </row>
    <row r="1335">
      <c r="A1335" s="30" t="n"/>
      <c r="B1335" s="30" t="n"/>
      <c r="C1335" s="30" t="n"/>
      <c r="D1335" s="30" t="n"/>
      <c r="E1335" s="30" t="n"/>
      <c r="F1335" s="30" t="n"/>
      <c r="G1335" s="30" t="n"/>
      <c r="H1335" s="30" t="n"/>
      <c r="I1335" s="31" t="n"/>
      <c r="J1335" s="30" t="n"/>
      <c r="K1335" s="30" t="n"/>
      <c r="L1335" s="30" t="n"/>
      <c r="M1335" s="30" t="n"/>
      <c r="N1335" s="32" t="n"/>
      <c r="O1335" s="30" t="n"/>
      <c r="P1335" s="32" t="n"/>
      <c r="Q1335" s="30" t="n"/>
      <c r="R1335" s="32" t="n"/>
      <c r="S1335" s="30" t="n"/>
      <c r="T1335" s="30" t="n"/>
      <c r="U1335" s="30" t="n"/>
      <c r="V1335" s="30" t="n"/>
      <c r="W1335" s="29">
        <f>IF(H1335="","",IF(H1335="Kenya","Yes","No"))</f>
        <v/>
      </c>
      <c r="X1335" s="29">
        <f>IF(B1335="","",IF(COUNTIF($B$5:$B$3004,B1335)&gt;1,"DUPLICATE","OK"))</f>
        <v/>
      </c>
      <c r="Y1335" s="29">
        <f>IF(OR(U1335="",V1335="",V1335="Excluded"),"",IF(COUNTIFS($U$5:$U$3004,U1335,$V$5:$V$3004,"&lt;&gt;"&amp;V1335,$V$5:$V$3004,"&lt;&gt;",$V$5:$V$3004,"&lt;&gt;Excluded")&gt;0,"LEAK RISK","OK"))</f>
        <v/>
      </c>
      <c r="Z1335" s="30" t="n"/>
    </row>
    <row r="1336">
      <c r="A1336" s="30" t="n"/>
      <c r="B1336" s="30" t="n"/>
      <c r="C1336" s="30" t="n"/>
      <c r="D1336" s="30" t="n"/>
      <c r="E1336" s="30" t="n"/>
      <c r="F1336" s="30" t="n"/>
      <c r="G1336" s="30" t="n"/>
      <c r="H1336" s="30" t="n"/>
      <c r="I1336" s="31" t="n"/>
      <c r="J1336" s="30" t="n"/>
      <c r="K1336" s="30" t="n"/>
      <c r="L1336" s="30" t="n"/>
      <c r="M1336" s="30" t="n"/>
      <c r="N1336" s="32" t="n"/>
      <c r="O1336" s="30" t="n"/>
      <c r="P1336" s="32" t="n"/>
      <c r="Q1336" s="30" t="n"/>
      <c r="R1336" s="32" t="n"/>
      <c r="S1336" s="30" t="n"/>
      <c r="T1336" s="30" t="n"/>
      <c r="U1336" s="30" t="n"/>
      <c r="V1336" s="30" t="n"/>
      <c r="W1336" s="29">
        <f>IF(H1336="","",IF(H1336="Kenya","Yes","No"))</f>
        <v/>
      </c>
      <c r="X1336" s="29">
        <f>IF(B1336="","",IF(COUNTIF($B$5:$B$3004,B1336)&gt;1,"DUPLICATE","OK"))</f>
        <v/>
      </c>
      <c r="Y1336" s="29">
        <f>IF(OR(U1336="",V1336="",V1336="Excluded"),"",IF(COUNTIFS($U$5:$U$3004,U1336,$V$5:$V$3004,"&lt;&gt;"&amp;V1336,$V$5:$V$3004,"&lt;&gt;",$V$5:$V$3004,"&lt;&gt;Excluded")&gt;0,"LEAK RISK","OK"))</f>
        <v/>
      </c>
      <c r="Z1336" s="30" t="n"/>
    </row>
    <row r="1337">
      <c r="A1337" s="30" t="n"/>
      <c r="B1337" s="30" t="n"/>
      <c r="C1337" s="30" t="n"/>
      <c r="D1337" s="30" t="n"/>
      <c r="E1337" s="30" t="n"/>
      <c r="F1337" s="30" t="n"/>
      <c r="G1337" s="30" t="n"/>
      <c r="H1337" s="30" t="n"/>
      <c r="I1337" s="31" t="n"/>
      <c r="J1337" s="30" t="n"/>
      <c r="K1337" s="30" t="n"/>
      <c r="L1337" s="30" t="n"/>
      <c r="M1337" s="30" t="n"/>
      <c r="N1337" s="32" t="n"/>
      <c r="O1337" s="30" t="n"/>
      <c r="P1337" s="32" t="n"/>
      <c r="Q1337" s="30" t="n"/>
      <c r="R1337" s="32" t="n"/>
      <c r="S1337" s="30" t="n"/>
      <c r="T1337" s="30" t="n"/>
      <c r="U1337" s="30" t="n"/>
      <c r="V1337" s="30" t="n"/>
      <c r="W1337" s="29">
        <f>IF(H1337="","",IF(H1337="Kenya","Yes","No"))</f>
        <v/>
      </c>
      <c r="X1337" s="29">
        <f>IF(B1337="","",IF(COUNTIF($B$5:$B$3004,B1337)&gt;1,"DUPLICATE","OK"))</f>
        <v/>
      </c>
      <c r="Y1337" s="29">
        <f>IF(OR(U1337="",V1337="",V1337="Excluded"),"",IF(COUNTIFS($U$5:$U$3004,U1337,$V$5:$V$3004,"&lt;&gt;"&amp;V1337,$V$5:$V$3004,"&lt;&gt;",$V$5:$V$3004,"&lt;&gt;Excluded")&gt;0,"LEAK RISK","OK"))</f>
        <v/>
      </c>
      <c r="Z1337" s="30" t="n"/>
    </row>
    <row r="1338">
      <c r="A1338" s="30" t="n"/>
      <c r="B1338" s="30" t="n"/>
      <c r="C1338" s="30" t="n"/>
      <c r="D1338" s="30" t="n"/>
      <c r="E1338" s="30" t="n"/>
      <c r="F1338" s="30" t="n"/>
      <c r="G1338" s="30" t="n"/>
      <c r="H1338" s="30" t="n"/>
      <c r="I1338" s="31" t="n"/>
      <c r="J1338" s="30" t="n"/>
      <c r="K1338" s="30" t="n"/>
      <c r="L1338" s="30" t="n"/>
      <c r="M1338" s="30" t="n"/>
      <c r="N1338" s="32" t="n"/>
      <c r="O1338" s="30" t="n"/>
      <c r="P1338" s="32" t="n"/>
      <c r="Q1338" s="30" t="n"/>
      <c r="R1338" s="32" t="n"/>
      <c r="S1338" s="30" t="n"/>
      <c r="T1338" s="30" t="n"/>
      <c r="U1338" s="30" t="n"/>
      <c r="V1338" s="30" t="n"/>
      <c r="W1338" s="29">
        <f>IF(H1338="","",IF(H1338="Kenya","Yes","No"))</f>
        <v/>
      </c>
      <c r="X1338" s="29">
        <f>IF(B1338="","",IF(COUNTIF($B$5:$B$3004,B1338)&gt;1,"DUPLICATE","OK"))</f>
        <v/>
      </c>
      <c r="Y1338" s="29">
        <f>IF(OR(U1338="",V1338="",V1338="Excluded"),"",IF(COUNTIFS($U$5:$U$3004,U1338,$V$5:$V$3004,"&lt;&gt;"&amp;V1338,$V$5:$V$3004,"&lt;&gt;",$V$5:$V$3004,"&lt;&gt;Excluded")&gt;0,"LEAK RISK","OK"))</f>
        <v/>
      </c>
      <c r="Z1338" s="30" t="n"/>
    </row>
    <row r="1339">
      <c r="A1339" s="30" t="n"/>
      <c r="B1339" s="30" t="n"/>
      <c r="C1339" s="30" t="n"/>
      <c r="D1339" s="30" t="n"/>
      <c r="E1339" s="30" t="n"/>
      <c r="F1339" s="30" t="n"/>
      <c r="G1339" s="30" t="n"/>
      <c r="H1339" s="30" t="n"/>
      <c r="I1339" s="31" t="n"/>
      <c r="J1339" s="30" t="n"/>
      <c r="K1339" s="30" t="n"/>
      <c r="L1339" s="30" t="n"/>
      <c r="M1339" s="30" t="n"/>
      <c r="N1339" s="32" t="n"/>
      <c r="O1339" s="30" t="n"/>
      <c r="P1339" s="32" t="n"/>
      <c r="Q1339" s="30" t="n"/>
      <c r="R1339" s="32" t="n"/>
      <c r="S1339" s="30" t="n"/>
      <c r="T1339" s="30" t="n"/>
      <c r="U1339" s="30" t="n"/>
      <c r="V1339" s="30" t="n"/>
      <c r="W1339" s="29">
        <f>IF(H1339="","",IF(H1339="Kenya","Yes","No"))</f>
        <v/>
      </c>
      <c r="X1339" s="29">
        <f>IF(B1339="","",IF(COUNTIF($B$5:$B$3004,B1339)&gt;1,"DUPLICATE","OK"))</f>
        <v/>
      </c>
      <c r="Y1339" s="29">
        <f>IF(OR(U1339="",V1339="",V1339="Excluded"),"",IF(COUNTIFS($U$5:$U$3004,U1339,$V$5:$V$3004,"&lt;&gt;"&amp;V1339,$V$5:$V$3004,"&lt;&gt;",$V$5:$V$3004,"&lt;&gt;Excluded")&gt;0,"LEAK RISK","OK"))</f>
        <v/>
      </c>
      <c r="Z1339" s="30" t="n"/>
    </row>
    <row r="1340">
      <c r="A1340" s="30" t="n"/>
      <c r="B1340" s="30" t="n"/>
      <c r="C1340" s="30" t="n"/>
      <c r="D1340" s="30" t="n"/>
      <c r="E1340" s="30" t="n"/>
      <c r="F1340" s="30" t="n"/>
      <c r="G1340" s="30" t="n"/>
      <c r="H1340" s="30" t="n"/>
      <c r="I1340" s="31" t="n"/>
      <c r="J1340" s="30" t="n"/>
      <c r="K1340" s="30" t="n"/>
      <c r="L1340" s="30" t="n"/>
      <c r="M1340" s="30" t="n"/>
      <c r="N1340" s="32" t="n"/>
      <c r="O1340" s="30" t="n"/>
      <c r="P1340" s="32" t="n"/>
      <c r="Q1340" s="30" t="n"/>
      <c r="R1340" s="32" t="n"/>
      <c r="S1340" s="30" t="n"/>
      <c r="T1340" s="30" t="n"/>
      <c r="U1340" s="30" t="n"/>
      <c r="V1340" s="30" t="n"/>
      <c r="W1340" s="29">
        <f>IF(H1340="","",IF(H1340="Kenya","Yes","No"))</f>
        <v/>
      </c>
      <c r="X1340" s="29">
        <f>IF(B1340="","",IF(COUNTIF($B$5:$B$3004,B1340)&gt;1,"DUPLICATE","OK"))</f>
        <v/>
      </c>
      <c r="Y1340" s="29">
        <f>IF(OR(U1340="",V1340="",V1340="Excluded"),"",IF(COUNTIFS($U$5:$U$3004,U1340,$V$5:$V$3004,"&lt;&gt;"&amp;V1340,$V$5:$V$3004,"&lt;&gt;",$V$5:$V$3004,"&lt;&gt;Excluded")&gt;0,"LEAK RISK","OK"))</f>
        <v/>
      </c>
      <c r="Z1340" s="30" t="n"/>
    </row>
    <row r="1341">
      <c r="A1341" s="30" t="n"/>
      <c r="B1341" s="30" t="n"/>
      <c r="C1341" s="30" t="n"/>
      <c r="D1341" s="30" t="n"/>
      <c r="E1341" s="30" t="n"/>
      <c r="F1341" s="30" t="n"/>
      <c r="G1341" s="30" t="n"/>
      <c r="H1341" s="30" t="n"/>
      <c r="I1341" s="31" t="n"/>
      <c r="J1341" s="30" t="n"/>
      <c r="K1341" s="30" t="n"/>
      <c r="L1341" s="30" t="n"/>
      <c r="M1341" s="30" t="n"/>
      <c r="N1341" s="32" t="n"/>
      <c r="O1341" s="30" t="n"/>
      <c r="P1341" s="32" t="n"/>
      <c r="Q1341" s="30" t="n"/>
      <c r="R1341" s="32" t="n"/>
      <c r="S1341" s="30" t="n"/>
      <c r="T1341" s="30" t="n"/>
      <c r="U1341" s="30" t="n"/>
      <c r="V1341" s="30" t="n"/>
      <c r="W1341" s="29">
        <f>IF(H1341="","",IF(H1341="Kenya","Yes","No"))</f>
        <v/>
      </c>
      <c r="X1341" s="29">
        <f>IF(B1341="","",IF(COUNTIF($B$5:$B$3004,B1341)&gt;1,"DUPLICATE","OK"))</f>
        <v/>
      </c>
      <c r="Y1341" s="29">
        <f>IF(OR(U1341="",V1341="",V1341="Excluded"),"",IF(COUNTIFS($U$5:$U$3004,U1341,$V$5:$V$3004,"&lt;&gt;"&amp;V1341,$V$5:$V$3004,"&lt;&gt;",$V$5:$V$3004,"&lt;&gt;Excluded")&gt;0,"LEAK RISK","OK"))</f>
        <v/>
      </c>
      <c r="Z1341" s="30" t="n"/>
    </row>
    <row r="1342">
      <c r="A1342" s="30" t="n"/>
      <c r="B1342" s="30" t="n"/>
      <c r="C1342" s="30" t="n"/>
      <c r="D1342" s="30" t="n"/>
      <c r="E1342" s="30" t="n"/>
      <c r="F1342" s="30" t="n"/>
      <c r="G1342" s="30" t="n"/>
      <c r="H1342" s="30" t="n"/>
      <c r="I1342" s="31" t="n"/>
      <c r="J1342" s="30" t="n"/>
      <c r="K1342" s="30" t="n"/>
      <c r="L1342" s="30" t="n"/>
      <c r="M1342" s="30" t="n"/>
      <c r="N1342" s="32" t="n"/>
      <c r="O1342" s="30" t="n"/>
      <c r="P1342" s="32" t="n"/>
      <c r="Q1342" s="30" t="n"/>
      <c r="R1342" s="32" t="n"/>
      <c r="S1342" s="30" t="n"/>
      <c r="T1342" s="30" t="n"/>
      <c r="U1342" s="30" t="n"/>
      <c r="V1342" s="30" t="n"/>
      <c r="W1342" s="29">
        <f>IF(H1342="","",IF(H1342="Kenya","Yes","No"))</f>
        <v/>
      </c>
      <c r="X1342" s="29">
        <f>IF(B1342="","",IF(COUNTIF($B$5:$B$3004,B1342)&gt;1,"DUPLICATE","OK"))</f>
        <v/>
      </c>
      <c r="Y1342" s="29">
        <f>IF(OR(U1342="",V1342="",V1342="Excluded"),"",IF(COUNTIFS($U$5:$U$3004,U1342,$V$5:$V$3004,"&lt;&gt;"&amp;V1342,$V$5:$V$3004,"&lt;&gt;",$V$5:$V$3004,"&lt;&gt;Excluded")&gt;0,"LEAK RISK","OK"))</f>
        <v/>
      </c>
      <c r="Z1342" s="30" t="n"/>
    </row>
    <row r="1343">
      <c r="A1343" s="30" t="n"/>
      <c r="B1343" s="30" t="n"/>
      <c r="C1343" s="30" t="n"/>
      <c r="D1343" s="30" t="n"/>
      <c r="E1343" s="30" t="n"/>
      <c r="F1343" s="30" t="n"/>
      <c r="G1343" s="30" t="n"/>
      <c r="H1343" s="30" t="n"/>
      <c r="I1343" s="31" t="n"/>
      <c r="J1343" s="30" t="n"/>
      <c r="K1343" s="30" t="n"/>
      <c r="L1343" s="30" t="n"/>
      <c r="M1343" s="30" t="n"/>
      <c r="N1343" s="32" t="n"/>
      <c r="O1343" s="30" t="n"/>
      <c r="P1343" s="32" t="n"/>
      <c r="Q1343" s="30" t="n"/>
      <c r="R1343" s="32" t="n"/>
      <c r="S1343" s="30" t="n"/>
      <c r="T1343" s="30" t="n"/>
      <c r="U1343" s="30" t="n"/>
      <c r="V1343" s="30" t="n"/>
      <c r="W1343" s="29">
        <f>IF(H1343="","",IF(H1343="Kenya","Yes","No"))</f>
        <v/>
      </c>
      <c r="X1343" s="29">
        <f>IF(B1343="","",IF(COUNTIF($B$5:$B$3004,B1343)&gt;1,"DUPLICATE","OK"))</f>
        <v/>
      </c>
      <c r="Y1343" s="29">
        <f>IF(OR(U1343="",V1343="",V1343="Excluded"),"",IF(COUNTIFS($U$5:$U$3004,U1343,$V$5:$V$3004,"&lt;&gt;"&amp;V1343,$V$5:$V$3004,"&lt;&gt;",$V$5:$V$3004,"&lt;&gt;Excluded")&gt;0,"LEAK RISK","OK"))</f>
        <v/>
      </c>
      <c r="Z1343" s="30" t="n"/>
    </row>
    <row r="1344">
      <c r="A1344" s="30" t="n"/>
      <c r="B1344" s="30" t="n"/>
      <c r="C1344" s="30" t="n"/>
      <c r="D1344" s="30" t="n"/>
      <c r="E1344" s="30" t="n"/>
      <c r="F1344" s="30" t="n"/>
      <c r="G1344" s="30" t="n"/>
      <c r="H1344" s="30" t="n"/>
      <c r="I1344" s="31" t="n"/>
      <c r="J1344" s="30" t="n"/>
      <c r="K1344" s="30" t="n"/>
      <c r="L1344" s="30" t="n"/>
      <c r="M1344" s="30" t="n"/>
      <c r="N1344" s="32" t="n"/>
      <c r="O1344" s="30" t="n"/>
      <c r="P1344" s="32" t="n"/>
      <c r="Q1344" s="30" t="n"/>
      <c r="R1344" s="32" t="n"/>
      <c r="S1344" s="30" t="n"/>
      <c r="T1344" s="30" t="n"/>
      <c r="U1344" s="30" t="n"/>
      <c r="V1344" s="30" t="n"/>
      <c r="W1344" s="29">
        <f>IF(H1344="","",IF(H1344="Kenya","Yes","No"))</f>
        <v/>
      </c>
      <c r="X1344" s="29">
        <f>IF(B1344="","",IF(COUNTIF($B$5:$B$3004,B1344)&gt;1,"DUPLICATE","OK"))</f>
        <v/>
      </c>
      <c r="Y1344" s="29">
        <f>IF(OR(U1344="",V1344="",V1344="Excluded"),"",IF(COUNTIFS($U$5:$U$3004,U1344,$V$5:$V$3004,"&lt;&gt;"&amp;V1344,$V$5:$V$3004,"&lt;&gt;",$V$5:$V$3004,"&lt;&gt;Excluded")&gt;0,"LEAK RISK","OK"))</f>
        <v/>
      </c>
      <c r="Z1344" s="30" t="n"/>
    </row>
    <row r="1345">
      <c r="A1345" s="30" t="n"/>
      <c r="B1345" s="30" t="n"/>
      <c r="C1345" s="30" t="n"/>
      <c r="D1345" s="30" t="n"/>
      <c r="E1345" s="30" t="n"/>
      <c r="F1345" s="30" t="n"/>
      <c r="G1345" s="30" t="n"/>
      <c r="H1345" s="30" t="n"/>
      <c r="I1345" s="31" t="n"/>
      <c r="J1345" s="30" t="n"/>
      <c r="K1345" s="30" t="n"/>
      <c r="L1345" s="30" t="n"/>
      <c r="M1345" s="30" t="n"/>
      <c r="N1345" s="32" t="n"/>
      <c r="O1345" s="30" t="n"/>
      <c r="P1345" s="32" t="n"/>
      <c r="Q1345" s="30" t="n"/>
      <c r="R1345" s="32" t="n"/>
      <c r="S1345" s="30" t="n"/>
      <c r="T1345" s="30" t="n"/>
      <c r="U1345" s="30" t="n"/>
      <c r="V1345" s="30" t="n"/>
      <c r="W1345" s="29">
        <f>IF(H1345="","",IF(H1345="Kenya","Yes","No"))</f>
        <v/>
      </c>
      <c r="X1345" s="29">
        <f>IF(B1345="","",IF(COUNTIF($B$5:$B$3004,B1345)&gt;1,"DUPLICATE","OK"))</f>
        <v/>
      </c>
      <c r="Y1345" s="29">
        <f>IF(OR(U1345="",V1345="",V1345="Excluded"),"",IF(COUNTIFS($U$5:$U$3004,U1345,$V$5:$V$3004,"&lt;&gt;"&amp;V1345,$V$5:$V$3004,"&lt;&gt;",$V$5:$V$3004,"&lt;&gt;Excluded")&gt;0,"LEAK RISK","OK"))</f>
        <v/>
      </c>
      <c r="Z1345" s="30" t="n"/>
    </row>
    <row r="1346">
      <c r="A1346" s="30" t="n"/>
      <c r="B1346" s="30" t="n"/>
      <c r="C1346" s="30" t="n"/>
      <c r="D1346" s="30" t="n"/>
      <c r="E1346" s="30" t="n"/>
      <c r="F1346" s="30" t="n"/>
      <c r="G1346" s="30" t="n"/>
      <c r="H1346" s="30" t="n"/>
      <c r="I1346" s="31" t="n"/>
      <c r="J1346" s="30" t="n"/>
      <c r="K1346" s="30" t="n"/>
      <c r="L1346" s="30" t="n"/>
      <c r="M1346" s="30" t="n"/>
      <c r="N1346" s="32" t="n"/>
      <c r="O1346" s="30" t="n"/>
      <c r="P1346" s="32" t="n"/>
      <c r="Q1346" s="30" t="n"/>
      <c r="R1346" s="32" t="n"/>
      <c r="S1346" s="30" t="n"/>
      <c r="T1346" s="30" t="n"/>
      <c r="U1346" s="30" t="n"/>
      <c r="V1346" s="30" t="n"/>
      <c r="W1346" s="29">
        <f>IF(H1346="","",IF(H1346="Kenya","Yes","No"))</f>
        <v/>
      </c>
      <c r="X1346" s="29">
        <f>IF(B1346="","",IF(COUNTIF($B$5:$B$3004,B1346)&gt;1,"DUPLICATE","OK"))</f>
        <v/>
      </c>
      <c r="Y1346" s="29">
        <f>IF(OR(U1346="",V1346="",V1346="Excluded"),"",IF(COUNTIFS($U$5:$U$3004,U1346,$V$5:$V$3004,"&lt;&gt;"&amp;V1346,$V$5:$V$3004,"&lt;&gt;",$V$5:$V$3004,"&lt;&gt;Excluded")&gt;0,"LEAK RISK","OK"))</f>
        <v/>
      </c>
      <c r="Z1346" s="30" t="n"/>
    </row>
    <row r="1347">
      <c r="A1347" s="30" t="n"/>
      <c r="B1347" s="30" t="n"/>
      <c r="C1347" s="30" t="n"/>
      <c r="D1347" s="30" t="n"/>
      <c r="E1347" s="30" t="n"/>
      <c r="F1347" s="30" t="n"/>
      <c r="G1347" s="30" t="n"/>
      <c r="H1347" s="30" t="n"/>
      <c r="I1347" s="31" t="n"/>
      <c r="J1347" s="30" t="n"/>
      <c r="K1347" s="30" t="n"/>
      <c r="L1347" s="30" t="n"/>
      <c r="M1347" s="30" t="n"/>
      <c r="N1347" s="32" t="n"/>
      <c r="O1347" s="30" t="n"/>
      <c r="P1347" s="32" t="n"/>
      <c r="Q1347" s="30" t="n"/>
      <c r="R1347" s="32" t="n"/>
      <c r="S1347" s="30" t="n"/>
      <c r="T1347" s="30" t="n"/>
      <c r="U1347" s="30" t="n"/>
      <c r="V1347" s="30" t="n"/>
      <c r="W1347" s="29">
        <f>IF(H1347="","",IF(H1347="Kenya","Yes","No"))</f>
        <v/>
      </c>
      <c r="X1347" s="29">
        <f>IF(B1347="","",IF(COUNTIF($B$5:$B$3004,B1347)&gt;1,"DUPLICATE","OK"))</f>
        <v/>
      </c>
      <c r="Y1347" s="29">
        <f>IF(OR(U1347="",V1347="",V1347="Excluded"),"",IF(COUNTIFS($U$5:$U$3004,U1347,$V$5:$V$3004,"&lt;&gt;"&amp;V1347,$V$5:$V$3004,"&lt;&gt;",$V$5:$V$3004,"&lt;&gt;Excluded")&gt;0,"LEAK RISK","OK"))</f>
        <v/>
      </c>
      <c r="Z1347" s="30" t="n"/>
    </row>
    <row r="1348">
      <c r="A1348" s="30" t="n"/>
      <c r="B1348" s="30" t="n"/>
      <c r="C1348" s="30" t="n"/>
      <c r="D1348" s="30" t="n"/>
      <c r="E1348" s="30" t="n"/>
      <c r="F1348" s="30" t="n"/>
      <c r="G1348" s="30" t="n"/>
      <c r="H1348" s="30" t="n"/>
      <c r="I1348" s="31" t="n"/>
      <c r="J1348" s="30" t="n"/>
      <c r="K1348" s="30" t="n"/>
      <c r="L1348" s="30" t="n"/>
      <c r="M1348" s="30" t="n"/>
      <c r="N1348" s="32" t="n"/>
      <c r="O1348" s="30" t="n"/>
      <c r="P1348" s="32" t="n"/>
      <c r="Q1348" s="30" t="n"/>
      <c r="R1348" s="32" t="n"/>
      <c r="S1348" s="30" t="n"/>
      <c r="T1348" s="30" t="n"/>
      <c r="U1348" s="30" t="n"/>
      <c r="V1348" s="30" t="n"/>
      <c r="W1348" s="29">
        <f>IF(H1348="","",IF(H1348="Kenya","Yes","No"))</f>
        <v/>
      </c>
      <c r="X1348" s="29">
        <f>IF(B1348="","",IF(COUNTIF($B$5:$B$3004,B1348)&gt;1,"DUPLICATE","OK"))</f>
        <v/>
      </c>
      <c r="Y1348" s="29">
        <f>IF(OR(U1348="",V1348="",V1348="Excluded"),"",IF(COUNTIFS($U$5:$U$3004,U1348,$V$5:$V$3004,"&lt;&gt;"&amp;V1348,$V$5:$V$3004,"&lt;&gt;",$V$5:$V$3004,"&lt;&gt;Excluded")&gt;0,"LEAK RISK","OK"))</f>
        <v/>
      </c>
      <c r="Z1348" s="30" t="n"/>
    </row>
    <row r="1349">
      <c r="A1349" s="30" t="n"/>
      <c r="B1349" s="30" t="n"/>
      <c r="C1349" s="30" t="n"/>
      <c r="D1349" s="30" t="n"/>
      <c r="E1349" s="30" t="n"/>
      <c r="F1349" s="30" t="n"/>
      <c r="G1349" s="30" t="n"/>
      <c r="H1349" s="30" t="n"/>
      <c r="I1349" s="31" t="n"/>
      <c r="J1349" s="30" t="n"/>
      <c r="K1349" s="30" t="n"/>
      <c r="L1349" s="30" t="n"/>
      <c r="M1349" s="30" t="n"/>
      <c r="N1349" s="32" t="n"/>
      <c r="O1349" s="30" t="n"/>
      <c r="P1349" s="32" t="n"/>
      <c r="Q1349" s="30" t="n"/>
      <c r="R1349" s="32" t="n"/>
      <c r="S1349" s="30" t="n"/>
      <c r="T1349" s="30" t="n"/>
      <c r="U1349" s="30" t="n"/>
      <c r="V1349" s="30" t="n"/>
      <c r="W1349" s="29">
        <f>IF(H1349="","",IF(H1349="Kenya","Yes","No"))</f>
        <v/>
      </c>
      <c r="X1349" s="29">
        <f>IF(B1349="","",IF(COUNTIF($B$5:$B$3004,B1349)&gt;1,"DUPLICATE","OK"))</f>
        <v/>
      </c>
      <c r="Y1349" s="29">
        <f>IF(OR(U1349="",V1349="",V1349="Excluded"),"",IF(COUNTIFS($U$5:$U$3004,U1349,$V$5:$V$3004,"&lt;&gt;"&amp;V1349,$V$5:$V$3004,"&lt;&gt;",$V$5:$V$3004,"&lt;&gt;Excluded")&gt;0,"LEAK RISK","OK"))</f>
        <v/>
      </c>
      <c r="Z1349" s="30" t="n"/>
    </row>
    <row r="1350">
      <c r="A1350" s="30" t="n"/>
      <c r="B1350" s="30" t="n"/>
      <c r="C1350" s="30" t="n"/>
      <c r="D1350" s="30" t="n"/>
      <c r="E1350" s="30" t="n"/>
      <c r="F1350" s="30" t="n"/>
      <c r="G1350" s="30" t="n"/>
      <c r="H1350" s="30" t="n"/>
      <c r="I1350" s="31" t="n"/>
      <c r="J1350" s="30" t="n"/>
      <c r="K1350" s="30" t="n"/>
      <c r="L1350" s="30" t="n"/>
      <c r="M1350" s="30" t="n"/>
      <c r="N1350" s="32" t="n"/>
      <c r="O1350" s="30" t="n"/>
      <c r="P1350" s="32" t="n"/>
      <c r="Q1350" s="30" t="n"/>
      <c r="R1350" s="32" t="n"/>
      <c r="S1350" s="30" t="n"/>
      <c r="T1350" s="30" t="n"/>
      <c r="U1350" s="30" t="n"/>
      <c r="V1350" s="30" t="n"/>
      <c r="W1350" s="29">
        <f>IF(H1350="","",IF(H1350="Kenya","Yes","No"))</f>
        <v/>
      </c>
      <c r="X1350" s="29">
        <f>IF(B1350="","",IF(COUNTIF($B$5:$B$3004,B1350)&gt;1,"DUPLICATE","OK"))</f>
        <v/>
      </c>
      <c r="Y1350" s="29">
        <f>IF(OR(U1350="",V1350="",V1350="Excluded"),"",IF(COUNTIFS($U$5:$U$3004,U1350,$V$5:$V$3004,"&lt;&gt;"&amp;V1350,$V$5:$V$3004,"&lt;&gt;",$V$5:$V$3004,"&lt;&gt;Excluded")&gt;0,"LEAK RISK","OK"))</f>
        <v/>
      </c>
      <c r="Z1350" s="30" t="n"/>
    </row>
    <row r="1351">
      <c r="A1351" s="30" t="n"/>
      <c r="B1351" s="30" t="n"/>
      <c r="C1351" s="30" t="n"/>
      <c r="D1351" s="30" t="n"/>
      <c r="E1351" s="30" t="n"/>
      <c r="F1351" s="30" t="n"/>
      <c r="G1351" s="30" t="n"/>
      <c r="H1351" s="30" t="n"/>
      <c r="I1351" s="31" t="n"/>
      <c r="J1351" s="30" t="n"/>
      <c r="K1351" s="30" t="n"/>
      <c r="L1351" s="30" t="n"/>
      <c r="M1351" s="30" t="n"/>
      <c r="N1351" s="32" t="n"/>
      <c r="O1351" s="30" t="n"/>
      <c r="P1351" s="32" t="n"/>
      <c r="Q1351" s="30" t="n"/>
      <c r="R1351" s="32" t="n"/>
      <c r="S1351" s="30" t="n"/>
      <c r="T1351" s="30" t="n"/>
      <c r="U1351" s="30" t="n"/>
      <c r="V1351" s="30" t="n"/>
      <c r="W1351" s="29">
        <f>IF(H1351="","",IF(H1351="Kenya","Yes","No"))</f>
        <v/>
      </c>
      <c r="X1351" s="29">
        <f>IF(B1351="","",IF(COUNTIF($B$5:$B$3004,B1351)&gt;1,"DUPLICATE","OK"))</f>
        <v/>
      </c>
      <c r="Y1351" s="29">
        <f>IF(OR(U1351="",V1351="",V1351="Excluded"),"",IF(COUNTIFS($U$5:$U$3004,U1351,$V$5:$V$3004,"&lt;&gt;"&amp;V1351,$V$5:$V$3004,"&lt;&gt;",$V$5:$V$3004,"&lt;&gt;Excluded")&gt;0,"LEAK RISK","OK"))</f>
        <v/>
      </c>
      <c r="Z1351" s="30" t="n"/>
    </row>
    <row r="1352">
      <c r="A1352" s="30" t="n"/>
      <c r="B1352" s="30" t="n"/>
      <c r="C1352" s="30" t="n"/>
      <c r="D1352" s="30" t="n"/>
      <c r="E1352" s="30" t="n"/>
      <c r="F1352" s="30" t="n"/>
      <c r="G1352" s="30" t="n"/>
      <c r="H1352" s="30" t="n"/>
      <c r="I1352" s="31" t="n"/>
      <c r="J1352" s="30" t="n"/>
      <c r="K1352" s="30" t="n"/>
      <c r="L1352" s="30" t="n"/>
      <c r="M1352" s="30" t="n"/>
      <c r="N1352" s="32" t="n"/>
      <c r="O1352" s="30" t="n"/>
      <c r="P1352" s="32" t="n"/>
      <c r="Q1352" s="30" t="n"/>
      <c r="R1352" s="32" t="n"/>
      <c r="S1352" s="30" t="n"/>
      <c r="T1352" s="30" t="n"/>
      <c r="U1352" s="30" t="n"/>
      <c r="V1352" s="30" t="n"/>
      <c r="W1352" s="29">
        <f>IF(H1352="","",IF(H1352="Kenya","Yes","No"))</f>
        <v/>
      </c>
      <c r="X1352" s="29">
        <f>IF(B1352="","",IF(COUNTIF($B$5:$B$3004,B1352)&gt;1,"DUPLICATE","OK"))</f>
        <v/>
      </c>
      <c r="Y1352" s="29">
        <f>IF(OR(U1352="",V1352="",V1352="Excluded"),"",IF(COUNTIFS($U$5:$U$3004,U1352,$V$5:$V$3004,"&lt;&gt;"&amp;V1352,$V$5:$V$3004,"&lt;&gt;",$V$5:$V$3004,"&lt;&gt;Excluded")&gt;0,"LEAK RISK","OK"))</f>
        <v/>
      </c>
      <c r="Z1352" s="30" t="n"/>
    </row>
    <row r="1353">
      <c r="A1353" s="30" t="n"/>
      <c r="B1353" s="30" t="n"/>
      <c r="C1353" s="30" t="n"/>
      <c r="D1353" s="30" t="n"/>
      <c r="E1353" s="30" t="n"/>
      <c r="F1353" s="30" t="n"/>
      <c r="G1353" s="30" t="n"/>
      <c r="H1353" s="30" t="n"/>
      <c r="I1353" s="31" t="n"/>
      <c r="J1353" s="30" t="n"/>
      <c r="K1353" s="30" t="n"/>
      <c r="L1353" s="30" t="n"/>
      <c r="M1353" s="30" t="n"/>
      <c r="N1353" s="32" t="n"/>
      <c r="O1353" s="30" t="n"/>
      <c r="P1353" s="32" t="n"/>
      <c r="Q1353" s="30" t="n"/>
      <c r="R1353" s="32" t="n"/>
      <c r="S1353" s="30" t="n"/>
      <c r="T1353" s="30" t="n"/>
      <c r="U1353" s="30" t="n"/>
      <c r="V1353" s="30" t="n"/>
      <c r="W1353" s="29">
        <f>IF(H1353="","",IF(H1353="Kenya","Yes","No"))</f>
        <v/>
      </c>
      <c r="X1353" s="29">
        <f>IF(B1353="","",IF(COUNTIF($B$5:$B$3004,B1353)&gt;1,"DUPLICATE","OK"))</f>
        <v/>
      </c>
      <c r="Y1353" s="29">
        <f>IF(OR(U1353="",V1353="",V1353="Excluded"),"",IF(COUNTIFS($U$5:$U$3004,U1353,$V$5:$V$3004,"&lt;&gt;"&amp;V1353,$V$5:$V$3004,"&lt;&gt;",$V$5:$V$3004,"&lt;&gt;Excluded")&gt;0,"LEAK RISK","OK"))</f>
        <v/>
      </c>
      <c r="Z1353" s="30" t="n"/>
    </row>
    <row r="1354">
      <c r="A1354" s="30" t="n"/>
      <c r="B1354" s="30" t="n"/>
      <c r="C1354" s="30" t="n"/>
      <c r="D1354" s="30" t="n"/>
      <c r="E1354" s="30" t="n"/>
      <c r="F1354" s="30" t="n"/>
      <c r="G1354" s="30" t="n"/>
      <c r="H1354" s="30" t="n"/>
      <c r="I1354" s="31" t="n"/>
      <c r="J1354" s="30" t="n"/>
      <c r="K1354" s="30" t="n"/>
      <c r="L1354" s="30" t="n"/>
      <c r="M1354" s="30" t="n"/>
      <c r="N1354" s="32" t="n"/>
      <c r="O1354" s="30" t="n"/>
      <c r="P1354" s="32" t="n"/>
      <c r="Q1354" s="30" t="n"/>
      <c r="R1354" s="32" t="n"/>
      <c r="S1354" s="30" t="n"/>
      <c r="T1354" s="30" t="n"/>
      <c r="U1354" s="30" t="n"/>
      <c r="V1354" s="30" t="n"/>
      <c r="W1354" s="29">
        <f>IF(H1354="","",IF(H1354="Kenya","Yes","No"))</f>
        <v/>
      </c>
      <c r="X1354" s="29">
        <f>IF(B1354="","",IF(COUNTIF($B$5:$B$3004,B1354)&gt;1,"DUPLICATE","OK"))</f>
        <v/>
      </c>
      <c r="Y1354" s="29">
        <f>IF(OR(U1354="",V1354="",V1354="Excluded"),"",IF(COUNTIFS($U$5:$U$3004,U1354,$V$5:$V$3004,"&lt;&gt;"&amp;V1354,$V$5:$V$3004,"&lt;&gt;",$V$5:$V$3004,"&lt;&gt;Excluded")&gt;0,"LEAK RISK","OK"))</f>
        <v/>
      </c>
      <c r="Z1354" s="30" t="n"/>
    </row>
    <row r="1355">
      <c r="A1355" s="30" t="n"/>
      <c r="B1355" s="30" t="n"/>
      <c r="C1355" s="30" t="n"/>
      <c r="D1355" s="30" t="n"/>
      <c r="E1355" s="30" t="n"/>
      <c r="F1355" s="30" t="n"/>
      <c r="G1355" s="30" t="n"/>
      <c r="H1355" s="30" t="n"/>
      <c r="I1355" s="31" t="n"/>
      <c r="J1355" s="30" t="n"/>
      <c r="K1355" s="30" t="n"/>
      <c r="L1355" s="30" t="n"/>
      <c r="M1355" s="30" t="n"/>
      <c r="N1355" s="32" t="n"/>
      <c r="O1355" s="30" t="n"/>
      <c r="P1355" s="32" t="n"/>
      <c r="Q1355" s="30" t="n"/>
      <c r="R1355" s="32" t="n"/>
      <c r="S1355" s="30" t="n"/>
      <c r="T1355" s="30" t="n"/>
      <c r="U1355" s="30" t="n"/>
      <c r="V1355" s="30" t="n"/>
      <c r="W1355" s="29">
        <f>IF(H1355="","",IF(H1355="Kenya","Yes","No"))</f>
        <v/>
      </c>
      <c r="X1355" s="29">
        <f>IF(B1355="","",IF(COUNTIF($B$5:$B$3004,B1355)&gt;1,"DUPLICATE","OK"))</f>
        <v/>
      </c>
      <c r="Y1355" s="29">
        <f>IF(OR(U1355="",V1355="",V1355="Excluded"),"",IF(COUNTIFS($U$5:$U$3004,U1355,$V$5:$V$3004,"&lt;&gt;"&amp;V1355,$V$5:$V$3004,"&lt;&gt;",$V$5:$V$3004,"&lt;&gt;Excluded")&gt;0,"LEAK RISK","OK"))</f>
        <v/>
      </c>
      <c r="Z1355" s="30" t="n"/>
    </row>
    <row r="1356">
      <c r="A1356" s="30" t="n"/>
      <c r="B1356" s="30" t="n"/>
      <c r="C1356" s="30" t="n"/>
      <c r="D1356" s="30" t="n"/>
      <c r="E1356" s="30" t="n"/>
      <c r="F1356" s="30" t="n"/>
      <c r="G1356" s="30" t="n"/>
      <c r="H1356" s="30" t="n"/>
      <c r="I1356" s="31" t="n"/>
      <c r="J1356" s="30" t="n"/>
      <c r="K1356" s="30" t="n"/>
      <c r="L1356" s="30" t="n"/>
      <c r="M1356" s="30" t="n"/>
      <c r="N1356" s="32" t="n"/>
      <c r="O1356" s="30" t="n"/>
      <c r="P1356" s="32" t="n"/>
      <c r="Q1356" s="30" t="n"/>
      <c r="R1356" s="32" t="n"/>
      <c r="S1356" s="30" t="n"/>
      <c r="T1356" s="30" t="n"/>
      <c r="U1356" s="30" t="n"/>
      <c r="V1356" s="30" t="n"/>
      <c r="W1356" s="29">
        <f>IF(H1356="","",IF(H1356="Kenya","Yes","No"))</f>
        <v/>
      </c>
      <c r="X1356" s="29">
        <f>IF(B1356="","",IF(COUNTIF($B$5:$B$3004,B1356)&gt;1,"DUPLICATE","OK"))</f>
        <v/>
      </c>
      <c r="Y1356" s="29">
        <f>IF(OR(U1356="",V1356="",V1356="Excluded"),"",IF(COUNTIFS($U$5:$U$3004,U1356,$V$5:$V$3004,"&lt;&gt;"&amp;V1356,$V$5:$V$3004,"&lt;&gt;",$V$5:$V$3004,"&lt;&gt;Excluded")&gt;0,"LEAK RISK","OK"))</f>
        <v/>
      </c>
      <c r="Z1356" s="30" t="n"/>
    </row>
    <row r="1357">
      <c r="A1357" s="30" t="n"/>
      <c r="B1357" s="30" t="n"/>
      <c r="C1357" s="30" t="n"/>
      <c r="D1357" s="30" t="n"/>
      <c r="E1357" s="30" t="n"/>
      <c r="F1357" s="30" t="n"/>
      <c r="G1357" s="30" t="n"/>
      <c r="H1357" s="30" t="n"/>
      <c r="I1357" s="31" t="n"/>
      <c r="J1357" s="30" t="n"/>
      <c r="K1357" s="30" t="n"/>
      <c r="L1357" s="30" t="n"/>
      <c r="M1357" s="30" t="n"/>
      <c r="N1357" s="32" t="n"/>
      <c r="O1357" s="30" t="n"/>
      <c r="P1357" s="32" t="n"/>
      <c r="Q1357" s="30" t="n"/>
      <c r="R1357" s="32" t="n"/>
      <c r="S1357" s="30" t="n"/>
      <c r="T1357" s="30" t="n"/>
      <c r="U1357" s="30" t="n"/>
      <c r="V1357" s="30" t="n"/>
      <c r="W1357" s="29">
        <f>IF(H1357="","",IF(H1357="Kenya","Yes","No"))</f>
        <v/>
      </c>
      <c r="X1357" s="29">
        <f>IF(B1357="","",IF(COUNTIF($B$5:$B$3004,B1357)&gt;1,"DUPLICATE","OK"))</f>
        <v/>
      </c>
      <c r="Y1357" s="29">
        <f>IF(OR(U1357="",V1357="",V1357="Excluded"),"",IF(COUNTIFS($U$5:$U$3004,U1357,$V$5:$V$3004,"&lt;&gt;"&amp;V1357,$V$5:$V$3004,"&lt;&gt;",$V$5:$V$3004,"&lt;&gt;Excluded")&gt;0,"LEAK RISK","OK"))</f>
        <v/>
      </c>
      <c r="Z1357" s="30" t="n"/>
    </row>
    <row r="1358">
      <c r="A1358" s="30" t="n"/>
      <c r="B1358" s="30" t="n"/>
      <c r="C1358" s="30" t="n"/>
      <c r="D1358" s="30" t="n"/>
      <c r="E1358" s="30" t="n"/>
      <c r="F1358" s="30" t="n"/>
      <c r="G1358" s="30" t="n"/>
      <c r="H1358" s="30" t="n"/>
      <c r="I1358" s="31" t="n"/>
      <c r="J1358" s="30" t="n"/>
      <c r="K1358" s="30" t="n"/>
      <c r="L1358" s="30" t="n"/>
      <c r="M1358" s="30" t="n"/>
      <c r="N1358" s="32" t="n"/>
      <c r="O1358" s="30" t="n"/>
      <c r="P1358" s="32" t="n"/>
      <c r="Q1358" s="30" t="n"/>
      <c r="R1358" s="32" t="n"/>
      <c r="S1358" s="30" t="n"/>
      <c r="T1358" s="30" t="n"/>
      <c r="U1358" s="30" t="n"/>
      <c r="V1358" s="30" t="n"/>
      <c r="W1358" s="29">
        <f>IF(H1358="","",IF(H1358="Kenya","Yes","No"))</f>
        <v/>
      </c>
      <c r="X1358" s="29">
        <f>IF(B1358="","",IF(COUNTIF($B$5:$B$3004,B1358)&gt;1,"DUPLICATE","OK"))</f>
        <v/>
      </c>
      <c r="Y1358" s="29">
        <f>IF(OR(U1358="",V1358="",V1358="Excluded"),"",IF(COUNTIFS($U$5:$U$3004,U1358,$V$5:$V$3004,"&lt;&gt;"&amp;V1358,$V$5:$V$3004,"&lt;&gt;",$V$5:$V$3004,"&lt;&gt;Excluded")&gt;0,"LEAK RISK","OK"))</f>
        <v/>
      </c>
      <c r="Z1358" s="30" t="n"/>
    </row>
    <row r="1359">
      <c r="A1359" s="30" t="n"/>
      <c r="B1359" s="30" t="n"/>
      <c r="C1359" s="30" t="n"/>
      <c r="D1359" s="30" t="n"/>
      <c r="E1359" s="30" t="n"/>
      <c r="F1359" s="30" t="n"/>
      <c r="G1359" s="30" t="n"/>
      <c r="H1359" s="30" t="n"/>
      <c r="I1359" s="31" t="n"/>
      <c r="J1359" s="30" t="n"/>
      <c r="K1359" s="30" t="n"/>
      <c r="L1359" s="30" t="n"/>
      <c r="M1359" s="30" t="n"/>
      <c r="N1359" s="32" t="n"/>
      <c r="O1359" s="30" t="n"/>
      <c r="P1359" s="32" t="n"/>
      <c r="Q1359" s="30" t="n"/>
      <c r="R1359" s="32" t="n"/>
      <c r="S1359" s="30" t="n"/>
      <c r="T1359" s="30" t="n"/>
      <c r="U1359" s="30" t="n"/>
      <c r="V1359" s="30" t="n"/>
      <c r="W1359" s="29">
        <f>IF(H1359="","",IF(H1359="Kenya","Yes","No"))</f>
        <v/>
      </c>
      <c r="X1359" s="29">
        <f>IF(B1359="","",IF(COUNTIF($B$5:$B$3004,B1359)&gt;1,"DUPLICATE","OK"))</f>
        <v/>
      </c>
      <c r="Y1359" s="29">
        <f>IF(OR(U1359="",V1359="",V1359="Excluded"),"",IF(COUNTIFS($U$5:$U$3004,U1359,$V$5:$V$3004,"&lt;&gt;"&amp;V1359,$V$5:$V$3004,"&lt;&gt;",$V$5:$V$3004,"&lt;&gt;Excluded")&gt;0,"LEAK RISK","OK"))</f>
        <v/>
      </c>
      <c r="Z1359" s="30" t="n"/>
    </row>
    <row r="1360">
      <c r="A1360" s="30" t="n"/>
      <c r="B1360" s="30" t="n"/>
      <c r="C1360" s="30" t="n"/>
      <c r="D1360" s="30" t="n"/>
      <c r="E1360" s="30" t="n"/>
      <c r="F1360" s="30" t="n"/>
      <c r="G1360" s="30" t="n"/>
      <c r="H1360" s="30" t="n"/>
      <c r="I1360" s="31" t="n"/>
      <c r="J1360" s="30" t="n"/>
      <c r="K1360" s="30" t="n"/>
      <c r="L1360" s="30" t="n"/>
      <c r="M1360" s="30" t="n"/>
      <c r="N1360" s="32" t="n"/>
      <c r="O1360" s="30" t="n"/>
      <c r="P1360" s="32" t="n"/>
      <c r="Q1360" s="30" t="n"/>
      <c r="R1360" s="32" t="n"/>
      <c r="S1360" s="30" t="n"/>
      <c r="T1360" s="30" t="n"/>
      <c r="U1360" s="30" t="n"/>
      <c r="V1360" s="30" t="n"/>
      <c r="W1360" s="29">
        <f>IF(H1360="","",IF(H1360="Kenya","Yes","No"))</f>
        <v/>
      </c>
      <c r="X1360" s="29">
        <f>IF(B1360="","",IF(COUNTIF($B$5:$B$3004,B1360)&gt;1,"DUPLICATE","OK"))</f>
        <v/>
      </c>
      <c r="Y1360" s="29">
        <f>IF(OR(U1360="",V1360="",V1360="Excluded"),"",IF(COUNTIFS($U$5:$U$3004,U1360,$V$5:$V$3004,"&lt;&gt;"&amp;V1360,$V$5:$V$3004,"&lt;&gt;",$V$5:$V$3004,"&lt;&gt;Excluded")&gt;0,"LEAK RISK","OK"))</f>
        <v/>
      </c>
      <c r="Z1360" s="30" t="n"/>
    </row>
    <row r="1361">
      <c r="A1361" s="30" t="n"/>
      <c r="B1361" s="30" t="n"/>
      <c r="C1361" s="30" t="n"/>
      <c r="D1361" s="30" t="n"/>
      <c r="E1361" s="30" t="n"/>
      <c r="F1361" s="30" t="n"/>
      <c r="G1361" s="30" t="n"/>
      <c r="H1361" s="30" t="n"/>
      <c r="I1361" s="31" t="n"/>
      <c r="J1361" s="30" t="n"/>
      <c r="K1361" s="30" t="n"/>
      <c r="L1361" s="30" t="n"/>
      <c r="M1361" s="30" t="n"/>
      <c r="N1361" s="32" t="n"/>
      <c r="O1361" s="30" t="n"/>
      <c r="P1361" s="32" t="n"/>
      <c r="Q1361" s="30" t="n"/>
      <c r="R1361" s="32" t="n"/>
      <c r="S1361" s="30" t="n"/>
      <c r="T1361" s="30" t="n"/>
      <c r="U1361" s="30" t="n"/>
      <c r="V1361" s="30" t="n"/>
      <c r="W1361" s="29">
        <f>IF(H1361="","",IF(H1361="Kenya","Yes","No"))</f>
        <v/>
      </c>
      <c r="X1361" s="29">
        <f>IF(B1361="","",IF(COUNTIF($B$5:$B$3004,B1361)&gt;1,"DUPLICATE","OK"))</f>
        <v/>
      </c>
      <c r="Y1361" s="29">
        <f>IF(OR(U1361="",V1361="",V1361="Excluded"),"",IF(COUNTIFS($U$5:$U$3004,U1361,$V$5:$V$3004,"&lt;&gt;"&amp;V1361,$V$5:$V$3004,"&lt;&gt;",$V$5:$V$3004,"&lt;&gt;Excluded")&gt;0,"LEAK RISK","OK"))</f>
        <v/>
      </c>
      <c r="Z1361" s="30" t="n"/>
    </row>
    <row r="1362">
      <c r="A1362" s="30" t="n"/>
      <c r="B1362" s="30" t="n"/>
      <c r="C1362" s="30" t="n"/>
      <c r="D1362" s="30" t="n"/>
      <c r="E1362" s="30" t="n"/>
      <c r="F1362" s="30" t="n"/>
      <c r="G1362" s="30" t="n"/>
      <c r="H1362" s="30" t="n"/>
      <c r="I1362" s="31" t="n"/>
      <c r="J1362" s="30" t="n"/>
      <c r="K1362" s="30" t="n"/>
      <c r="L1362" s="30" t="n"/>
      <c r="M1362" s="30" t="n"/>
      <c r="N1362" s="32" t="n"/>
      <c r="O1362" s="30" t="n"/>
      <c r="P1362" s="32" t="n"/>
      <c r="Q1362" s="30" t="n"/>
      <c r="R1362" s="32" t="n"/>
      <c r="S1362" s="30" t="n"/>
      <c r="T1362" s="30" t="n"/>
      <c r="U1362" s="30" t="n"/>
      <c r="V1362" s="30" t="n"/>
      <c r="W1362" s="29">
        <f>IF(H1362="","",IF(H1362="Kenya","Yes","No"))</f>
        <v/>
      </c>
      <c r="X1362" s="29">
        <f>IF(B1362="","",IF(COUNTIF($B$5:$B$3004,B1362)&gt;1,"DUPLICATE","OK"))</f>
        <v/>
      </c>
      <c r="Y1362" s="29">
        <f>IF(OR(U1362="",V1362="",V1362="Excluded"),"",IF(COUNTIFS($U$5:$U$3004,U1362,$V$5:$V$3004,"&lt;&gt;"&amp;V1362,$V$5:$V$3004,"&lt;&gt;",$V$5:$V$3004,"&lt;&gt;Excluded")&gt;0,"LEAK RISK","OK"))</f>
        <v/>
      </c>
      <c r="Z1362" s="30" t="n"/>
    </row>
    <row r="1363">
      <c r="A1363" s="30" t="n"/>
      <c r="B1363" s="30" t="n"/>
      <c r="C1363" s="30" t="n"/>
      <c r="D1363" s="30" t="n"/>
      <c r="E1363" s="30" t="n"/>
      <c r="F1363" s="30" t="n"/>
      <c r="G1363" s="30" t="n"/>
      <c r="H1363" s="30" t="n"/>
      <c r="I1363" s="31" t="n"/>
      <c r="J1363" s="30" t="n"/>
      <c r="K1363" s="30" t="n"/>
      <c r="L1363" s="30" t="n"/>
      <c r="M1363" s="30" t="n"/>
      <c r="N1363" s="32" t="n"/>
      <c r="O1363" s="30" t="n"/>
      <c r="P1363" s="32" t="n"/>
      <c r="Q1363" s="30" t="n"/>
      <c r="R1363" s="32" t="n"/>
      <c r="S1363" s="30" t="n"/>
      <c r="T1363" s="30" t="n"/>
      <c r="U1363" s="30" t="n"/>
      <c r="V1363" s="30" t="n"/>
      <c r="W1363" s="29">
        <f>IF(H1363="","",IF(H1363="Kenya","Yes","No"))</f>
        <v/>
      </c>
      <c r="X1363" s="29">
        <f>IF(B1363="","",IF(COUNTIF($B$5:$B$3004,B1363)&gt;1,"DUPLICATE","OK"))</f>
        <v/>
      </c>
      <c r="Y1363" s="29">
        <f>IF(OR(U1363="",V1363="",V1363="Excluded"),"",IF(COUNTIFS($U$5:$U$3004,U1363,$V$5:$V$3004,"&lt;&gt;"&amp;V1363,$V$5:$V$3004,"&lt;&gt;",$V$5:$V$3004,"&lt;&gt;Excluded")&gt;0,"LEAK RISK","OK"))</f>
        <v/>
      </c>
      <c r="Z1363" s="30" t="n"/>
    </row>
    <row r="1364">
      <c r="A1364" s="30" t="n"/>
      <c r="B1364" s="30" t="n"/>
      <c r="C1364" s="30" t="n"/>
      <c r="D1364" s="30" t="n"/>
      <c r="E1364" s="30" t="n"/>
      <c r="F1364" s="30" t="n"/>
      <c r="G1364" s="30" t="n"/>
      <c r="H1364" s="30" t="n"/>
      <c r="I1364" s="31" t="n"/>
      <c r="J1364" s="30" t="n"/>
      <c r="K1364" s="30" t="n"/>
      <c r="L1364" s="30" t="n"/>
      <c r="M1364" s="30" t="n"/>
      <c r="N1364" s="32" t="n"/>
      <c r="O1364" s="30" t="n"/>
      <c r="P1364" s="32" t="n"/>
      <c r="Q1364" s="30" t="n"/>
      <c r="R1364" s="32" t="n"/>
      <c r="S1364" s="30" t="n"/>
      <c r="T1364" s="30" t="n"/>
      <c r="U1364" s="30" t="n"/>
      <c r="V1364" s="30" t="n"/>
      <c r="W1364" s="29">
        <f>IF(H1364="","",IF(H1364="Kenya","Yes","No"))</f>
        <v/>
      </c>
      <c r="X1364" s="29">
        <f>IF(B1364="","",IF(COUNTIF($B$5:$B$3004,B1364)&gt;1,"DUPLICATE","OK"))</f>
        <v/>
      </c>
      <c r="Y1364" s="29">
        <f>IF(OR(U1364="",V1364="",V1364="Excluded"),"",IF(COUNTIFS($U$5:$U$3004,U1364,$V$5:$V$3004,"&lt;&gt;"&amp;V1364,$V$5:$V$3004,"&lt;&gt;",$V$5:$V$3004,"&lt;&gt;Excluded")&gt;0,"LEAK RISK","OK"))</f>
        <v/>
      </c>
      <c r="Z1364" s="30" t="n"/>
    </row>
    <row r="1365">
      <c r="A1365" s="30" t="n"/>
      <c r="B1365" s="30" t="n"/>
      <c r="C1365" s="30" t="n"/>
      <c r="D1365" s="30" t="n"/>
      <c r="E1365" s="30" t="n"/>
      <c r="F1365" s="30" t="n"/>
      <c r="G1365" s="30" t="n"/>
      <c r="H1365" s="30" t="n"/>
      <c r="I1365" s="31" t="n"/>
      <c r="J1365" s="30" t="n"/>
      <c r="K1365" s="30" t="n"/>
      <c r="L1365" s="30" t="n"/>
      <c r="M1365" s="30" t="n"/>
      <c r="N1365" s="32" t="n"/>
      <c r="O1365" s="30" t="n"/>
      <c r="P1365" s="32" t="n"/>
      <c r="Q1365" s="30" t="n"/>
      <c r="R1365" s="32" t="n"/>
      <c r="S1365" s="30" t="n"/>
      <c r="T1365" s="30" t="n"/>
      <c r="U1365" s="30" t="n"/>
      <c r="V1365" s="30" t="n"/>
      <c r="W1365" s="29">
        <f>IF(H1365="","",IF(H1365="Kenya","Yes","No"))</f>
        <v/>
      </c>
      <c r="X1365" s="29">
        <f>IF(B1365="","",IF(COUNTIF($B$5:$B$3004,B1365)&gt;1,"DUPLICATE","OK"))</f>
        <v/>
      </c>
      <c r="Y1365" s="29">
        <f>IF(OR(U1365="",V1365="",V1365="Excluded"),"",IF(COUNTIFS($U$5:$U$3004,U1365,$V$5:$V$3004,"&lt;&gt;"&amp;V1365,$V$5:$V$3004,"&lt;&gt;",$V$5:$V$3004,"&lt;&gt;Excluded")&gt;0,"LEAK RISK","OK"))</f>
        <v/>
      </c>
      <c r="Z1365" s="30" t="n"/>
    </row>
    <row r="1366">
      <c r="A1366" s="30" t="n"/>
      <c r="B1366" s="30" t="n"/>
      <c r="C1366" s="30" t="n"/>
      <c r="D1366" s="30" t="n"/>
      <c r="E1366" s="30" t="n"/>
      <c r="F1366" s="30" t="n"/>
      <c r="G1366" s="30" t="n"/>
      <c r="H1366" s="30" t="n"/>
      <c r="I1366" s="31" t="n"/>
      <c r="J1366" s="30" t="n"/>
      <c r="K1366" s="30" t="n"/>
      <c r="L1366" s="30" t="n"/>
      <c r="M1366" s="30" t="n"/>
      <c r="N1366" s="32" t="n"/>
      <c r="O1366" s="30" t="n"/>
      <c r="P1366" s="32" t="n"/>
      <c r="Q1366" s="30" t="n"/>
      <c r="R1366" s="32" t="n"/>
      <c r="S1366" s="30" t="n"/>
      <c r="T1366" s="30" t="n"/>
      <c r="U1366" s="30" t="n"/>
      <c r="V1366" s="30" t="n"/>
      <c r="W1366" s="29">
        <f>IF(H1366="","",IF(H1366="Kenya","Yes","No"))</f>
        <v/>
      </c>
      <c r="X1366" s="29">
        <f>IF(B1366="","",IF(COUNTIF($B$5:$B$3004,B1366)&gt;1,"DUPLICATE","OK"))</f>
        <v/>
      </c>
      <c r="Y1366" s="29">
        <f>IF(OR(U1366="",V1366="",V1366="Excluded"),"",IF(COUNTIFS($U$5:$U$3004,U1366,$V$5:$V$3004,"&lt;&gt;"&amp;V1366,$V$5:$V$3004,"&lt;&gt;",$V$5:$V$3004,"&lt;&gt;Excluded")&gt;0,"LEAK RISK","OK"))</f>
        <v/>
      </c>
      <c r="Z1366" s="30" t="n"/>
    </row>
    <row r="1367">
      <c r="A1367" s="30" t="n"/>
      <c r="B1367" s="30" t="n"/>
      <c r="C1367" s="30" t="n"/>
      <c r="D1367" s="30" t="n"/>
      <c r="E1367" s="30" t="n"/>
      <c r="F1367" s="30" t="n"/>
      <c r="G1367" s="30" t="n"/>
      <c r="H1367" s="30" t="n"/>
      <c r="I1367" s="31" t="n"/>
      <c r="J1367" s="30" t="n"/>
      <c r="K1367" s="30" t="n"/>
      <c r="L1367" s="30" t="n"/>
      <c r="M1367" s="30" t="n"/>
      <c r="N1367" s="32" t="n"/>
      <c r="O1367" s="30" t="n"/>
      <c r="P1367" s="32" t="n"/>
      <c r="Q1367" s="30" t="n"/>
      <c r="R1367" s="32" t="n"/>
      <c r="S1367" s="30" t="n"/>
      <c r="T1367" s="30" t="n"/>
      <c r="U1367" s="30" t="n"/>
      <c r="V1367" s="30" t="n"/>
      <c r="W1367" s="29">
        <f>IF(H1367="","",IF(H1367="Kenya","Yes","No"))</f>
        <v/>
      </c>
      <c r="X1367" s="29">
        <f>IF(B1367="","",IF(COUNTIF($B$5:$B$3004,B1367)&gt;1,"DUPLICATE","OK"))</f>
        <v/>
      </c>
      <c r="Y1367" s="29">
        <f>IF(OR(U1367="",V1367="",V1367="Excluded"),"",IF(COUNTIFS($U$5:$U$3004,U1367,$V$5:$V$3004,"&lt;&gt;"&amp;V1367,$V$5:$V$3004,"&lt;&gt;",$V$5:$V$3004,"&lt;&gt;Excluded")&gt;0,"LEAK RISK","OK"))</f>
        <v/>
      </c>
      <c r="Z1367" s="30" t="n"/>
    </row>
    <row r="1368">
      <c r="A1368" s="30" t="n"/>
      <c r="B1368" s="30" t="n"/>
      <c r="C1368" s="30" t="n"/>
      <c r="D1368" s="30" t="n"/>
      <c r="E1368" s="30" t="n"/>
      <c r="F1368" s="30" t="n"/>
      <c r="G1368" s="30" t="n"/>
      <c r="H1368" s="30" t="n"/>
      <c r="I1368" s="31" t="n"/>
      <c r="J1368" s="30" t="n"/>
      <c r="K1368" s="30" t="n"/>
      <c r="L1368" s="30" t="n"/>
      <c r="M1368" s="30" t="n"/>
      <c r="N1368" s="32" t="n"/>
      <c r="O1368" s="30" t="n"/>
      <c r="P1368" s="32" t="n"/>
      <c r="Q1368" s="30" t="n"/>
      <c r="R1368" s="32" t="n"/>
      <c r="S1368" s="30" t="n"/>
      <c r="T1368" s="30" t="n"/>
      <c r="U1368" s="30" t="n"/>
      <c r="V1368" s="30" t="n"/>
      <c r="W1368" s="29">
        <f>IF(H1368="","",IF(H1368="Kenya","Yes","No"))</f>
        <v/>
      </c>
      <c r="X1368" s="29">
        <f>IF(B1368="","",IF(COUNTIF($B$5:$B$3004,B1368)&gt;1,"DUPLICATE","OK"))</f>
        <v/>
      </c>
      <c r="Y1368" s="29">
        <f>IF(OR(U1368="",V1368="",V1368="Excluded"),"",IF(COUNTIFS($U$5:$U$3004,U1368,$V$5:$V$3004,"&lt;&gt;"&amp;V1368,$V$5:$V$3004,"&lt;&gt;",$V$5:$V$3004,"&lt;&gt;Excluded")&gt;0,"LEAK RISK","OK"))</f>
        <v/>
      </c>
      <c r="Z1368" s="30" t="n"/>
    </row>
    <row r="1369">
      <c r="A1369" s="30" t="n"/>
      <c r="B1369" s="30" t="n"/>
      <c r="C1369" s="30" t="n"/>
      <c r="D1369" s="30" t="n"/>
      <c r="E1369" s="30" t="n"/>
      <c r="F1369" s="30" t="n"/>
      <c r="G1369" s="30" t="n"/>
      <c r="H1369" s="30" t="n"/>
      <c r="I1369" s="31" t="n"/>
      <c r="J1369" s="30" t="n"/>
      <c r="K1369" s="30" t="n"/>
      <c r="L1369" s="30" t="n"/>
      <c r="M1369" s="30" t="n"/>
      <c r="N1369" s="32" t="n"/>
      <c r="O1369" s="30" t="n"/>
      <c r="P1369" s="32" t="n"/>
      <c r="Q1369" s="30" t="n"/>
      <c r="R1369" s="32" t="n"/>
      <c r="S1369" s="30" t="n"/>
      <c r="T1369" s="30" t="n"/>
      <c r="U1369" s="30" t="n"/>
      <c r="V1369" s="30" t="n"/>
      <c r="W1369" s="29">
        <f>IF(H1369="","",IF(H1369="Kenya","Yes","No"))</f>
        <v/>
      </c>
      <c r="X1369" s="29">
        <f>IF(B1369="","",IF(COUNTIF($B$5:$B$3004,B1369)&gt;1,"DUPLICATE","OK"))</f>
        <v/>
      </c>
      <c r="Y1369" s="29">
        <f>IF(OR(U1369="",V1369="",V1369="Excluded"),"",IF(COUNTIFS($U$5:$U$3004,U1369,$V$5:$V$3004,"&lt;&gt;"&amp;V1369,$V$5:$V$3004,"&lt;&gt;",$V$5:$V$3004,"&lt;&gt;Excluded")&gt;0,"LEAK RISK","OK"))</f>
        <v/>
      </c>
      <c r="Z1369" s="30" t="n"/>
    </row>
    <row r="1370">
      <c r="A1370" s="30" t="n"/>
      <c r="B1370" s="30" t="n"/>
      <c r="C1370" s="30" t="n"/>
      <c r="D1370" s="30" t="n"/>
      <c r="E1370" s="30" t="n"/>
      <c r="F1370" s="30" t="n"/>
      <c r="G1370" s="30" t="n"/>
      <c r="H1370" s="30" t="n"/>
      <c r="I1370" s="31" t="n"/>
      <c r="J1370" s="30" t="n"/>
      <c r="K1370" s="30" t="n"/>
      <c r="L1370" s="30" t="n"/>
      <c r="M1370" s="30" t="n"/>
      <c r="N1370" s="32" t="n"/>
      <c r="O1370" s="30" t="n"/>
      <c r="P1370" s="32" t="n"/>
      <c r="Q1370" s="30" t="n"/>
      <c r="R1370" s="32" t="n"/>
      <c r="S1370" s="30" t="n"/>
      <c r="T1370" s="30" t="n"/>
      <c r="U1370" s="30" t="n"/>
      <c r="V1370" s="30" t="n"/>
      <c r="W1370" s="29">
        <f>IF(H1370="","",IF(H1370="Kenya","Yes","No"))</f>
        <v/>
      </c>
      <c r="X1370" s="29">
        <f>IF(B1370="","",IF(COUNTIF($B$5:$B$3004,B1370)&gt;1,"DUPLICATE","OK"))</f>
        <v/>
      </c>
      <c r="Y1370" s="29">
        <f>IF(OR(U1370="",V1370="",V1370="Excluded"),"",IF(COUNTIFS($U$5:$U$3004,U1370,$V$5:$V$3004,"&lt;&gt;"&amp;V1370,$V$5:$V$3004,"&lt;&gt;",$V$5:$V$3004,"&lt;&gt;Excluded")&gt;0,"LEAK RISK","OK"))</f>
        <v/>
      </c>
      <c r="Z1370" s="30" t="n"/>
    </row>
    <row r="1371">
      <c r="A1371" s="30" t="n"/>
      <c r="B1371" s="30" t="n"/>
      <c r="C1371" s="30" t="n"/>
      <c r="D1371" s="30" t="n"/>
      <c r="E1371" s="30" t="n"/>
      <c r="F1371" s="30" t="n"/>
      <c r="G1371" s="30" t="n"/>
      <c r="H1371" s="30" t="n"/>
      <c r="I1371" s="31" t="n"/>
      <c r="J1371" s="30" t="n"/>
      <c r="K1371" s="30" t="n"/>
      <c r="L1371" s="30" t="n"/>
      <c r="M1371" s="30" t="n"/>
      <c r="N1371" s="32" t="n"/>
      <c r="O1371" s="30" t="n"/>
      <c r="P1371" s="32" t="n"/>
      <c r="Q1371" s="30" t="n"/>
      <c r="R1371" s="32" t="n"/>
      <c r="S1371" s="30" t="n"/>
      <c r="T1371" s="30" t="n"/>
      <c r="U1371" s="30" t="n"/>
      <c r="V1371" s="30" t="n"/>
      <c r="W1371" s="29">
        <f>IF(H1371="","",IF(H1371="Kenya","Yes","No"))</f>
        <v/>
      </c>
      <c r="X1371" s="29">
        <f>IF(B1371="","",IF(COUNTIF($B$5:$B$3004,B1371)&gt;1,"DUPLICATE","OK"))</f>
        <v/>
      </c>
      <c r="Y1371" s="29">
        <f>IF(OR(U1371="",V1371="",V1371="Excluded"),"",IF(COUNTIFS($U$5:$U$3004,U1371,$V$5:$V$3004,"&lt;&gt;"&amp;V1371,$V$5:$V$3004,"&lt;&gt;",$V$5:$V$3004,"&lt;&gt;Excluded")&gt;0,"LEAK RISK","OK"))</f>
        <v/>
      </c>
      <c r="Z1371" s="30" t="n"/>
    </row>
    <row r="1372">
      <c r="A1372" s="30" t="n"/>
      <c r="B1372" s="30" t="n"/>
      <c r="C1372" s="30" t="n"/>
      <c r="D1372" s="30" t="n"/>
      <c r="E1372" s="30" t="n"/>
      <c r="F1372" s="30" t="n"/>
      <c r="G1372" s="30" t="n"/>
      <c r="H1372" s="30" t="n"/>
      <c r="I1372" s="31" t="n"/>
      <c r="J1372" s="30" t="n"/>
      <c r="K1372" s="30" t="n"/>
      <c r="L1372" s="30" t="n"/>
      <c r="M1372" s="30" t="n"/>
      <c r="N1372" s="32" t="n"/>
      <c r="O1372" s="30" t="n"/>
      <c r="P1372" s="32" t="n"/>
      <c r="Q1372" s="30" t="n"/>
      <c r="R1372" s="32" t="n"/>
      <c r="S1372" s="30" t="n"/>
      <c r="T1372" s="30" t="n"/>
      <c r="U1372" s="30" t="n"/>
      <c r="V1372" s="30" t="n"/>
      <c r="W1372" s="29">
        <f>IF(H1372="","",IF(H1372="Kenya","Yes","No"))</f>
        <v/>
      </c>
      <c r="X1372" s="29">
        <f>IF(B1372="","",IF(COUNTIF($B$5:$B$3004,B1372)&gt;1,"DUPLICATE","OK"))</f>
        <v/>
      </c>
      <c r="Y1372" s="29">
        <f>IF(OR(U1372="",V1372="",V1372="Excluded"),"",IF(COUNTIFS($U$5:$U$3004,U1372,$V$5:$V$3004,"&lt;&gt;"&amp;V1372,$V$5:$V$3004,"&lt;&gt;",$V$5:$V$3004,"&lt;&gt;Excluded")&gt;0,"LEAK RISK","OK"))</f>
        <v/>
      </c>
      <c r="Z1372" s="30" t="n"/>
    </row>
    <row r="1373">
      <c r="A1373" s="30" t="n"/>
      <c r="B1373" s="30" t="n"/>
      <c r="C1373" s="30" t="n"/>
      <c r="D1373" s="30" t="n"/>
      <c r="E1373" s="30" t="n"/>
      <c r="F1373" s="30" t="n"/>
      <c r="G1373" s="30" t="n"/>
      <c r="H1373" s="30" t="n"/>
      <c r="I1373" s="31" t="n"/>
      <c r="J1373" s="30" t="n"/>
      <c r="K1373" s="30" t="n"/>
      <c r="L1373" s="30" t="n"/>
      <c r="M1373" s="30" t="n"/>
      <c r="N1373" s="32" t="n"/>
      <c r="O1373" s="30" t="n"/>
      <c r="P1373" s="32" t="n"/>
      <c r="Q1373" s="30" t="n"/>
      <c r="R1373" s="32" t="n"/>
      <c r="S1373" s="30" t="n"/>
      <c r="T1373" s="30" t="n"/>
      <c r="U1373" s="30" t="n"/>
      <c r="V1373" s="30" t="n"/>
      <c r="W1373" s="29">
        <f>IF(H1373="","",IF(H1373="Kenya","Yes","No"))</f>
        <v/>
      </c>
      <c r="X1373" s="29">
        <f>IF(B1373="","",IF(COUNTIF($B$5:$B$3004,B1373)&gt;1,"DUPLICATE","OK"))</f>
        <v/>
      </c>
      <c r="Y1373" s="29">
        <f>IF(OR(U1373="",V1373="",V1373="Excluded"),"",IF(COUNTIFS($U$5:$U$3004,U1373,$V$5:$V$3004,"&lt;&gt;"&amp;V1373,$V$5:$V$3004,"&lt;&gt;",$V$5:$V$3004,"&lt;&gt;Excluded")&gt;0,"LEAK RISK","OK"))</f>
        <v/>
      </c>
      <c r="Z1373" s="30" t="n"/>
    </row>
    <row r="1374">
      <c r="A1374" s="30" t="n"/>
      <c r="B1374" s="30" t="n"/>
      <c r="C1374" s="30" t="n"/>
      <c r="D1374" s="30" t="n"/>
      <c r="E1374" s="30" t="n"/>
      <c r="F1374" s="30" t="n"/>
      <c r="G1374" s="30" t="n"/>
      <c r="H1374" s="30" t="n"/>
      <c r="I1374" s="31" t="n"/>
      <c r="J1374" s="30" t="n"/>
      <c r="K1374" s="30" t="n"/>
      <c r="L1374" s="30" t="n"/>
      <c r="M1374" s="30" t="n"/>
      <c r="N1374" s="32" t="n"/>
      <c r="O1374" s="30" t="n"/>
      <c r="P1374" s="32" t="n"/>
      <c r="Q1374" s="30" t="n"/>
      <c r="R1374" s="32" t="n"/>
      <c r="S1374" s="30" t="n"/>
      <c r="T1374" s="30" t="n"/>
      <c r="U1374" s="30" t="n"/>
      <c r="V1374" s="30" t="n"/>
      <c r="W1374" s="29">
        <f>IF(H1374="","",IF(H1374="Kenya","Yes","No"))</f>
        <v/>
      </c>
      <c r="X1374" s="29">
        <f>IF(B1374="","",IF(COUNTIF($B$5:$B$3004,B1374)&gt;1,"DUPLICATE","OK"))</f>
        <v/>
      </c>
      <c r="Y1374" s="29">
        <f>IF(OR(U1374="",V1374="",V1374="Excluded"),"",IF(COUNTIFS($U$5:$U$3004,U1374,$V$5:$V$3004,"&lt;&gt;"&amp;V1374,$V$5:$V$3004,"&lt;&gt;",$V$5:$V$3004,"&lt;&gt;Excluded")&gt;0,"LEAK RISK","OK"))</f>
        <v/>
      </c>
      <c r="Z1374" s="30" t="n"/>
    </row>
    <row r="1375">
      <c r="A1375" s="30" t="n"/>
      <c r="B1375" s="30" t="n"/>
      <c r="C1375" s="30" t="n"/>
      <c r="D1375" s="30" t="n"/>
      <c r="E1375" s="30" t="n"/>
      <c r="F1375" s="30" t="n"/>
      <c r="G1375" s="30" t="n"/>
      <c r="H1375" s="30" t="n"/>
      <c r="I1375" s="31" t="n"/>
      <c r="J1375" s="30" t="n"/>
      <c r="K1375" s="30" t="n"/>
      <c r="L1375" s="30" t="n"/>
      <c r="M1375" s="30" t="n"/>
      <c r="N1375" s="32" t="n"/>
      <c r="O1375" s="30" t="n"/>
      <c r="P1375" s="32" t="n"/>
      <c r="Q1375" s="30" t="n"/>
      <c r="R1375" s="32" t="n"/>
      <c r="S1375" s="30" t="n"/>
      <c r="T1375" s="30" t="n"/>
      <c r="U1375" s="30" t="n"/>
      <c r="V1375" s="30" t="n"/>
      <c r="W1375" s="29">
        <f>IF(H1375="","",IF(H1375="Kenya","Yes","No"))</f>
        <v/>
      </c>
      <c r="X1375" s="29">
        <f>IF(B1375="","",IF(COUNTIF($B$5:$B$3004,B1375)&gt;1,"DUPLICATE","OK"))</f>
        <v/>
      </c>
      <c r="Y1375" s="29">
        <f>IF(OR(U1375="",V1375="",V1375="Excluded"),"",IF(COUNTIFS($U$5:$U$3004,U1375,$V$5:$V$3004,"&lt;&gt;"&amp;V1375,$V$5:$V$3004,"&lt;&gt;",$V$5:$V$3004,"&lt;&gt;Excluded")&gt;0,"LEAK RISK","OK"))</f>
        <v/>
      </c>
      <c r="Z1375" s="30" t="n"/>
    </row>
    <row r="1376">
      <c r="A1376" s="30" t="n"/>
      <c r="B1376" s="30" t="n"/>
      <c r="C1376" s="30" t="n"/>
      <c r="D1376" s="30" t="n"/>
      <c r="E1376" s="30" t="n"/>
      <c r="F1376" s="30" t="n"/>
      <c r="G1376" s="30" t="n"/>
      <c r="H1376" s="30" t="n"/>
      <c r="I1376" s="31" t="n"/>
      <c r="J1376" s="30" t="n"/>
      <c r="K1376" s="30" t="n"/>
      <c r="L1376" s="30" t="n"/>
      <c r="M1376" s="30" t="n"/>
      <c r="N1376" s="32" t="n"/>
      <c r="O1376" s="30" t="n"/>
      <c r="P1376" s="32" t="n"/>
      <c r="Q1376" s="30" t="n"/>
      <c r="R1376" s="32" t="n"/>
      <c r="S1376" s="30" t="n"/>
      <c r="T1376" s="30" t="n"/>
      <c r="U1376" s="30" t="n"/>
      <c r="V1376" s="30" t="n"/>
      <c r="W1376" s="29">
        <f>IF(H1376="","",IF(H1376="Kenya","Yes","No"))</f>
        <v/>
      </c>
      <c r="X1376" s="29">
        <f>IF(B1376="","",IF(COUNTIF($B$5:$B$3004,B1376)&gt;1,"DUPLICATE","OK"))</f>
        <v/>
      </c>
      <c r="Y1376" s="29">
        <f>IF(OR(U1376="",V1376="",V1376="Excluded"),"",IF(COUNTIFS($U$5:$U$3004,U1376,$V$5:$V$3004,"&lt;&gt;"&amp;V1376,$V$5:$V$3004,"&lt;&gt;",$V$5:$V$3004,"&lt;&gt;Excluded")&gt;0,"LEAK RISK","OK"))</f>
        <v/>
      </c>
      <c r="Z1376" s="30" t="n"/>
    </row>
    <row r="1377">
      <c r="A1377" s="30" t="n"/>
      <c r="B1377" s="30" t="n"/>
      <c r="C1377" s="30" t="n"/>
      <c r="D1377" s="30" t="n"/>
      <c r="E1377" s="30" t="n"/>
      <c r="F1377" s="30" t="n"/>
      <c r="G1377" s="30" t="n"/>
      <c r="H1377" s="30" t="n"/>
      <c r="I1377" s="31" t="n"/>
      <c r="J1377" s="30" t="n"/>
      <c r="K1377" s="30" t="n"/>
      <c r="L1377" s="30" t="n"/>
      <c r="M1377" s="30" t="n"/>
      <c r="N1377" s="32" t="n"/>
      <c r="O1377" s="30" t="n"/>
      <c r="P1377" s="32" t="n"/>
      <c r="Q1377" s="30" t="n"/>
      <c r="R1377" s="32" t="n"/>
      <c r="S1377" s="30" t="n"/>
      <c r="T1377" s="30" t="n"/>
      <c r="U1377" s="30" t="n"/>
      <c r="V1377" s="30" t="n"/>
      <c r="W1377" s="29">
        <f>IF(H1377="","",IF(H1377="Kenya","Yes","No"))</f>
        <v/>
      </c>
      <c r="X1377" s="29">
        <f>IF(B1377="","",IF(COUNTIF($B$5:$B$3004,B1377)&gt;1,"DUPLICATE","OK"))</f>
        <v/>
      </c>
      <c r="Y1377" s="29">
        <f>IF(OR(U1377="",V1377="",V1377="Excluded"),"",IF(COUNTIFS($U$5:$U$3004,U1377,$V$5:$V$3004,"&lt;&gt;"&amp;V1377,$V$5:$V$3004,"&lt;&gt;",$V$5:$V$3004,"&lt;&gt;Excluded")&gt;0,"LEAK RISK","OK"))</f>
        <v/>
      </c>
      <c r="Z1377" s="30" t="n"/>
    </row>
    <row r="1378">
      <c r="A1378" s="30" t="n"/>
      <c r="B1378" s="30" t="n"/>
      <c r="C1378" s="30" t="n"/>
      <c r="D1378" s="30" t="n"/>
      <c r="E1378" s="30" t="n"/>
      <c r="F1378" s="30" t="n"/>
      <c r="G1378" s="30" t="n"/>
      <c r="H1378" s="30" t="n"/>
      <c r="I1378" s="31" t="n"/>
      <c r="J1378" s="30" t="n"/>
      <c r="K1378" s="30" t="n"/>
      <c r="L1378" s="30" t="n"/>
      <c r="M1378" s="30" t="n"/>
      <c r="N1378" s="32" t="n"/>
      <c r="O1378" s="30" t="n"/>
      <c r="P1378" s="32" t="n"/>
      <c r="Q1378" s="30" t="n"/>
      <c r="R1378" s="32" t="n"/>
      <c r="S1378" s="30" t="n"/>
      <c r="T1378" s="30" t="n"/>
      <c r="U1378" s="30" t="n"/>
      <c r="V1378" s="30" t="n"/>
      <c r="W1378" s="29">
        <f>IF(H1378="","",IF(H1378="Kenya","Yes","No"))</f>
        <v/>
      </c>
      <c r="X1378" s="29">
        <f>IF(B1378="","",IF(COUNTIF($B$5:$B$3004,B1378)&gt;1,"DUPLICATE","OK"))</f>
        <v/>
      </c>
      <c r="Y1378" s="29">
        <f>IF(OR(U1378="",V1378="",V1378="Excluded"),"",IF(COUNTIFS($U$5:$U$3004,U1378,$V$5:$V$3004,"&lt;&gt;"&amp;V1378,$V$5:$V$3004,"&lt;&gt;",$V$5:$V$3004,"&lt;&gt;Excluded")&gt;0,"LEAK RISK","OK"))</f>
        <v/>
      </c>
      <c r="Z1378" s="30" t="n"/>
    </row>
    <row r="1379">
      <c r="A1379" s="30" t="n"/>
      <c r="B1379" s="30" t="n"/>
      <c r="C1379" s="30" t="n"/>
      <c r="D1379" s="30" t="n"/>
      <c r="E1379" s="30" t="n"/>
      <c r="F1379" s="30" t="n"/>
      <c r="G1379" s="30" t="n"/>
      <c r="H1379" s="30" t="n"/>
      <c r="I1379" s="31" t="n"/>
      <c r="J1379" s="30" t="n"/>
      <c r="K1379" s="30" t="n"/>
      <c r="L1379" s="30" t="n"/>
      <c r="M1379" s="30" t="n"/>
      <c r="N1379" s="32" t="n"/>
      <c r="O1379" s="30" t="n"/>
      <c r="P1379" s="32" t="n"/>
      <c r="Q1379" s="30" t="n"/>
      <c r="R1379" s="32" t="n"/>
      <c r="S1379" s="30" t="n"/>
      <c r="T1379" s="30" t="n"/>
      <c r="U1379" s="30" t="n"/>
      <c r="V1379" s="30" t="n"/>
      <c r="W1379" s="29">
        <f>IF(H1379="","",IF(H1379="Kenya","Yes","No"))</f>
        <v/>
      </c>
      <c r="X1379" s="29">
        <f>IF(B1379="","",IF(COUNTIF($B$5:$B$3004,B1379)&gt;1,"DUPLICATE","OK"))</f>
        <v/>
      </c>
      <c r="Y1379" s="29">
        <f>IF(OR(U1379="",V1379="",V1379="Excluded"),"",IF(COUNTIFS($U$5:$U$3004,U1379,$V$5:$V$3004,"&lt;&gt;"&amp;V1379,$V$5:$V$3004,"&lt;&gt;",$V$5:$V$3004,"&lt;&gt;Excluded")&gt;0,"LEAK RISK","OK"))</f>
        <v/>
      </c>
      <c r="Z1379" s="30" t="n"/>
    </row>
    <row r="1380">
      <c r="A1380" s="30" t="n"/>
      <c r="B1380" s="30" t="n"/>
      <c r="C1380" s="30" t="n"/>
      <c r="D1380" s="30" t="n"/>
      <c r="E1380" s="30" t="n"/>
      <c r="F1380" s="30" t="n"/>
      <c r="G1380" s="30" t="n"/>
      <c r="H1380" s="30" t="n"/>
      <c r="I1380" s="31" t="n"/>
      <c r="J1380" s="30" t="n"/>
      <c r="K1380" s="30" t="n"/>
      <c r="L1380" s="30" t="n"/>
      <c r="M1380" s="30" t="n"/>
      <c r="N1380" s="32" t="n"/>
      <c r="O1380" s="30" t="n"/>
      <c r="P1380" s="32" t="n"/>
      <c r="Q1380" s="30" t="n"/>
      <c r="R1380" s="32" t="n"/>
      <c r="S1380" s="30" t="n"/>
      <c r="T1380" s="30" t="n"/>
      <c r="U1380" s="30" t="n"/>
      <c r="V1380" s="30" t="n"/>
      <c r="W1380" s="29">
        <f>IF(H1380="","",IF(H1380="Kenya","Yes","No"))</f>
        <v/>
      </c>
      <c r="X1380" s="29">
        <f>IF(B1380="","",IF(COUNTIF($B$5:$B$3004,B1380)&gt;1,"DUPLICATE","OK"))</f>
        <v/>
      </c>
      <c r="Y1380" s="29">
        <f>IF(OR(U1380="",V1380="",V1380="Excluded"),"",IF(COUNTIFS($U$5:$U$3004,U1380,$V$5:$V$3004,"&lt;&gt;"&amp;V1380,$V$5:$V$3004,"&lt;&gt;",$V$5:$V$3004,"&lt;&gt;Excluded")&gt;0,"LEAK RISK","OK"))</f>
        <v/>
      </c>
      <c r="Z1380" s="30" t="n"/>
    </row>
    <row r="1381">
      <c r="A1381" s="30" t="n"/>
      <c r="B1381" s="30" t="n"/>
      <c r="C1381" s="30" t="n"/>
      <c r="D1381" s="30" t="n"/>
      <c r="E1381" s="30" t="n"/>
      <c r="F1381" s="30" t="n"/>
      <c r="G1381" s="30" t="n"/>
      <c r="H1381" s="30" t="n"/>
      <c r="I1381" s="31" t="n"/>
      <c r="J1381" s="30" t="n"/>
      <c r="K1381" s="30" t="n"/>
      <c r="L1381" s="30" t="n"/>
      <c r="M1381" s="30" t="n"/>
      <c r="N1381" s="32" t="n"/>
      <c r="O1381" s="30" t="n"/>
      <c r="P1381" s="32" t="n"/>
      <c r="Q1381" s="30" t="n"/>
      <c r="R1381" s="32" t="n"/>
      <c r="S1381" s="30" t="n"/>
      <c r="T1381" s="30" t="n"/>
      <c r="U1381" s="30" t="n"/>
      <c r="V1381" s="30" t="n"/>
      <c r="W1381" s="29">
        <f>IF(H1381="","",IF(H1381="Kenya","Yes","No"))</f>
        <v/>
      </c>
      <c r="X1381" s="29">
        <f>IF(B1381="","",IF(COUNTIF($B$5:$B$3004,B1381)&gt;1,"DUPLICATE","OK"))</f>
        <v/>
      </c>
      <c r="Y1381" s="29">
        <f>IF(OR(U1381="",V1381="",V1381="Excluded"),"",IF(COUNTIFS($U$5:$U$3004,U1381,$V$5:$V$3004,"&lt;&gt;"&amp;V1381,$V$5:$V$3004,"&lt;&gt;",$V$5:$V$3004,"&lt;&gt;Excluded")&gt;0,"LEAK RISK","OK"))</f>
        <v/>
      </c>
      <c r="Z1381" s="30" t="n"/>
    </row>
    <row r="1382">
      <c r="A1382" s="30" t="n"/>
      <c r="B1382" s="30" t="n"/>
      <c r="C1382" s="30" t="n"/>
      <c r="D1382" s="30" t="n"/>
      <c r="E1382" s="30" t="n"/>
      <c r="F1382" s="30" t="n"/>
      <c r="G1382" s="30" t="n"/>
      <c r="H1382" s="30" t="n"/>
      <c r="I1382" s="31" t="n"/>
      <c r="J1382" s="30" t="n"/>
      <c r="K1382" s="30" t="n"/>
      <c r="L1382" s="30" t="n"/>
      <c r="M1382" s="30" t="n"/>
      <c r="N1382" s="32" t="n"/>
      <c r="O1382" s="30" t="n"/>
      <c r="P1382" s="32" t="n"/>
      <c r="Q1382" s="30" t="n"/>
      <c r="R1382" s="32" t="n"/>
      <c r="S1382" s="30" t="n"/>
      <c r="T1382" s="30" t="n"/>
      <c r="U1382" s="30" t="n"/>
      <c r="V1382" s="30" t="n"/>
      <c r="W1382" s="29">
        <f>IF(H1382="","",IF(H1382="Kenya","Yes","No"))</f>
        <v/>
      </c>
      <c r="X1382" s="29">
        <f>IF(B1382="","",IF(COUNTIF($B$5:$B$3004,B1382)&gt;1,"DUPLICATE","OK"))</f>
        <v/>
      </c>
      <c r="Y1382" s="29">
        <f>IF(OR(U1382="",V1382="",V1382="Excluded"),"",IF(COUNTIFS($U$5:$U$3004,U1382,$V$5:$V$3004,"&lt;&gt;"&amp;V1382,$V$5:$V$3004,"&lt;&gt;",$V$5:$V$3004,"&lt;&gt;Excluded")&gt;0,"LEAK RISK","OK"))</f>
        <v/>
      </c>
      <c r="Z1382" s="30" t="n"/>
    </row>
    <row r="1383">
      <c r="A1383" s="30" t="n"/>
      <c r="B1383" s="30" t="n"/>
      <c r="C1383" s="30" t="n"/>
      <c r="D1383" s="30" t="n"/>
      <c r="E1383" s="30" t="n"/>
      <c r="F1383" s="30" t="n"/>
      <c r="G1383" s="30" t="n"/>
      <c r="H1383" s="30" t="n"/>
      <c r="I1383" s="31" t="n"/>
      <c r="J1383" s="30" t="n"/>
      <c r="K1383" s="30" t="n"/>
      <c r="L1383" s="30" t="n"/>
      <c r="M1383" s="30" t="n"/>
      <c r="N1383" s="32" t="n"/>
      <c r="O1383" s="30" t="n"/>
      <c r="P1383" s="32" t="n"/>
      <c r="Q1383" s="30" t="n"/>
      <c r="R1383" s="32" t="n"/>
      <c r="S1383" s="30" t="n"/>
      <c r="T1383" s="30" t="n"/>
      <c r="U1383" s="30" t="n"/>
      <c r="V1383" s="30" t="n"/>
      <c r="W1383" s="29">
        <f>IF(H1383="","",IF(H1383="Kenya","Yes","No"))</f>
        <v/>
      </c>
      <c r="X1383" s="29">
        <f>IF(B1383="","",IF(COUNTIF($B$5:$B$3004,B1383)&gt;1,"DUPLICATE","OK"))</f>
        <v/>
      </c>
      <c r="Y1383" s="29">
        <f>IF(OR(U1383="",V1383="",V1383="Excluded"),"",IF(COUNTIFS($U$5:$U$3004,U1383,$V$5:$V$3004,"&lt;&gt;"&amp;V1383,$V$5:$V$3004,"&lt;&gt;",$V$5:$V$3004,"&lt;&gt;Excluded")&gt;0,"LEAK RISK","OK"))</f>
        <v/>
      </c>
      <c r="Z1383" s="30" t="n"/>
    </row>
    <row r="1384">
      <c r="A1384" s="30" t="n"/>
      <c r="B1384" s="30" t="n"/>
      <c r="C1384" s="30" t="n"/>
      <c r="D1384" s="30" t="n"/>
      <c r="E1384" s="30" t="n"/>
      <c r="F1384" s="30" t="n"/>
      <c r="G1384" s="30" t="n"/>
      <c r="H1384" s="30" t="n"/>
      <c r="I1384" s="31" t="n"/>
      <c r="J1384" s="30" t="n"/>
      <c r="K1384" s="30" t="n"/>
      <c r="L1384" s="30" t="n"/>
      <c r="M1384" s="30" t="n"/>
      <c r="N1384" s="32" t="n"/>
      <c r="O1384" s="30" t="n"/>
      <c r="P1384" s="32" t="n"/>
      <c r="Q1384" s="30" t="n"/>
      <c r="R1384" s="32" t="n"/>
      <c r="S1384" s="30" t="n"/>
      <c r="T1384" s="30" t="n"/>
      <c r="U1384" s="30" t="n"/>
      <c r="V1384" s="30" t="n"/>
      <c r="W1384" s="29">
        <f>IF(H1384="","",IF(H1384="Kenya","Yes","No"))</f>
        <v/>
      </c>
      <c r="X1384" s="29">
        <f>IF(B1384="","",IF(COUNTIF($B$5:$B$3004,B1384)&gt;1,"DUPLICATE","OK"))</f>
        <v/>
      </c>
      <c r="Y1384" s="29">
        <f>IF(OR(U1384="",V1384="",V1384="Excluded"),"",IF(COUNTIFS($U$5:$U$3004,U1384,$V$5:$V$3004,"&lt;&gt;"&amp;V1384,$V$5:$V$3004,"&lt;&gt;",$V$5:$V$3004,"&lt;&gt;Excluded")&gt;0,"LEAK RISK","OK"))</f>
        <v/>
      </c>
      <c r="Z1384" s="30" t="n"/>
    </row>
    <row r="1385">
      <c r="A1385" s="30" t="n"/>
      <c r="B1385" s="30" t="n"/>
      <c r="C1385" s="30" t="n"/>
      <c r="D1385" s="30" t="n"/>
      <c r="E1385" s="30" t="n"/>
      <c r="F1385" s="30" t="n"/>
      <c r="G1385" s="30" t="n"/>
      <c r="H1385" s="30" t="n"/>
      <c r="I1385" s="31" t="n"/>
      <c r="J1385" s="30" t="n"/>
      <c r="K1385" s="30" t="n"/>
      <c r="L1385" s="30" t="n"/>
      <c r="M1385" s="30" t="n"/>
      <c r="N1385" s="32" t="n"/>
      <c r="O1385" s="30" t="n"/>
      <c r="P1385" s="32" t="n"/>
      <c r="Q1385" s="30" t="n"/>
      <c r="R1385" s="32" t="n"/>
      <c r="S1385" s="30" t="n"/>
      <c r="T1385" s="30" t="n"/>
      <c r="U1385" s="30" t="n"/>
      <c r="V1385" s="30" t="n"/>
      <c r="W1385" s="29">
        <f>IF(H1385="","",IF(H1385="Kenya","Yes","No"))</f>
        <v/>
      </c>
      <c r="X1385" s="29">
        <f>IF(B1385="","",IF(COUNTIF($B$5:$B$3004,B1385)&gt;1,"DUPLICATE","OK"))</f>
        <v/>
      </c>
      <c r="Y1385" s="29">
        <f>IF(OR(U1385="",V1385="",V1385="Excluded"),"",IF(COUNTIFS($U$5:$U$3004,U1385,$V$5:$V$3004,"&lt;&gt;"&amp;V1385,$V$5:$V$3004,"&lt;&gt;",$V$5:$V$3004,"&lt;&gt;Excluded")&gt;0,"LEAK RISK","OK"))</f>
        <v/>
      </c>
      <c r="Z1385" s="30" t="n"/>
    </row>
    <row r="1386">
      <c r="A1386" s="30" t="n"/>
      <c r="B1386" s="30" t="n"/>
      <c r="C1386" s="30" t="n"/>
      <c r="D1386" s="30" t="n"/>
      <c r="E1386" s="30" t="n"/>
      <c r="F1386" s="30" t="n"/>
      <c r="G1386" s="30" t="n"/>
      <c r="H1386" s="30" t="n"/>
      <c r="I1386" s="31" t="n"/>
      <c r="J1386" s="30" t="n"/>
      <c r="K1386" s="30" t="n"/>
      <c r="L1386" s="30" t="n"/>
      <c r="M1386" s="30" t="n"/>
      <c r="N1386" s="32" t="n"/>
      <c r="O1386" s="30" t="n"/>
      <c r="P1386" s="32" t="n"/>
      <c r="Q1386" s="30" t="n"/>
      <c r="R1386" s="32" t="n"/>
      <c r="S1386" s="30" t="n"/>
      <c r="T1386" s="30" t="n"/>
      <c r="U1386" s="30" t="n"/>
      <c r="V1386" s="30" t="n"/>
      <c r="W1386" s="29">
        <f>IF(H1386="","",IF(H1386="Kenya","Yes","No"))</f>
        <v/>
      </c>
      <c r="X1386" s="29">
        <f>IF(B1386="","",IF(COUNTIF($B$5:$B$3004,B1386)&gt;1,"DUPLICATE","OK"))</f>
        <v/>
      </c>
      <c r="Y1386" s="29">
        <f>IF(OR(U1386="",V1386="",V1386="Excluded"),"",IF(COUNTIFS($U$5:$U$3004,U1386,$V$5:$V$3004,"&lt;&gt;"&amp;V1386,$V$5:$V$3004,"&lt;&gt;",$V$5:$V$3004,"&lt;&gt;Excluded")&gt;0,"LEAK RISK","OK"))</f>
        <v/>
      </c>
      <c r="Z1386" s="30" t="n"/>
    </row>
    <row r="1387">
      <c r="A1387" s="30" t="n"/>
      <c r="B1387" s="30" t="n"/>
      <c r="C1387" s="30" t="n"/>
      <c r="D1387" s="30" t="n"/>
      <c r="E1387" s="30" t="n"/>
      <c r="F1387" s="30" t="n"/>
      <c r="G1387" s="30" t="n"/>
      <c r="H1387" s="30" t="n"/>
      <c r="I1387" s="31" t="n"/>
      <c r="J1387" s="30" t="n"/>
      <c r="K1387" s="30" t="n"/>
      <c r="L1387" s="30" t="n"/>
      <c r="M1387" s="30" t="n"/>
      <c r="N1387" s="32" t="n"/>
      <c r="O1387" s="30" t="n"/>
      <c r="P1387" s="32" t="n"/>
      <c r="Q1387" s="30" t="n"/>
      <c r="R1387" s="32" t="n"/>
      <c r="S1387" s="30" t="n"/>
      <c r="T1387" s="30" t="n"/>
      <c r="U1387" s="30" t="n"/>
      <c r="V1387" s="30" t="n"/>
      <c r="W1387" s="29">
        <f>IF(H1387="","",IF(H1387="Kenya","Yes","No"))</f>
        <v/>
      </c>
      <c r="X1387" s="29">
        <f>IF(B1387="","",IF(COUNTIF($B$5:$B$3004,B1387)&gt;1,"DUPLICATE","OK"))</f>
        <v/>
      </c>
      <c r="Y1387" s="29">
        <f>IF(OR(U1387="",V1387="",V1387="Excluded"),"",IF(COUNTIFS($U$5:$U$3004,U1387,$V$5:$V$3004,"&lt;&gt;"&amp;V1387,$V$5:$V$3004,"&lt;&gt;",$V$5:$V$3004,"&lt;&gt;Excluded")&gt;0,"LEAK RISK","OK"))</f>
        <v/>
      </c>
      <c r="Z1387" s="30" t="n"/>
    </row>
    <row r="1388">
      <c r="A1388" s="30" t="n"/>
      <c r="B1388" s="30" t="n"/>
      <c r="C1388" s="30" t="n"/>
      <c r="D1388" s="30" t="n"/>
      <c r="E1388" s="30" t="n"/>
      <c r="F1388" s="30" t="n"/>
      <c r="G1388" s="30" t="n"/>
      <c r="H1388" s="30" t="n"/>
      <c r="I1388" s="31" t="n"/>
      <c r="J1388" s="30" t="n"/>
      <c r="K1388" s="30" t="n"/>
      <c r="L1388" s="30" t="n"/>
      <c r="M1388" s="30" t="n"/>
      <c r="N1388" s="32" t="n"/>
      <c r="O1388" s="30" t="n"/>
      <c r="P1388" s="32" t="n"/>
      <c r="Q1388" s="30" t="n"/>
      <c r="R1388" s="32" t="n"/>
      <c r="S1388" s="30" t="n"/>
      <c r="T1388" s="30" t="n"/>
      <c r="U1388" s="30" t="n"/>
      <c r="V1388" s="30" t="n"/>
      <c r="W1388" s="29">
        <f>IF(H1388="","",IF(H1388="Kenya","Yes","No"))</f>
        <v/>
      </c>
      <c r="X1388" s="29">
        <f>IF(B1388="","",IF(COUNTIF($B$5:$B$3004,B1388)&gt;1,"DUPLICATE","OK"))</f>
        <v/>
      </c>
      <c r="Y1388" s="29">
        <f>IF(OR(U1388="",V1388="",V1388="Excluded"),"",IF(COUNTIFS($U$5:$U$3004,U1388,$V$5:$V$3004,"&lt;&gt;"&amp;V1388,$V$5:$V$3004,"&lt;&gt;",$V$5:$V$3004,"&lt;&gt;Excluded")&gt;0,"LEAK RISK","OK"))</f>
        <v/>
      </c>
      <c r="Z1388" s="30" t="n"/>
    </row>
    <row r="1389">
      <c r="A1389" s="30" t="n"/>
      <c r="B1389" s="30" t="n"/>
      <c r="C1389" s="30" t="n"/>
      <c r="D1389" s="30" t="n"/>
      <c r="E1389" s="30" t="n"/>
      <c r="F1389" s="30" t="n"/>
      <c r="G1389" s="30" t="n"/>
      <c r="H1389" s="30" t="n"/>
      <c r="I1389" s="31" t="n"/>
      <c r="J1389" s="30" t="n"/>
      <c r="K1389" s="30" t="n"/>
      <c r="L1389" s="30" t="n"/>
      <c r="M1389" s="30" t="n"/>
      <c r="N1389" s="32" t="n"/>
      <c r="O1389" s="30" t="n"/>
      <c r="P1389" s="32" t="n"/>
      <c r="Q1389" s="30" t="n"/>
      <c r="R1389" s="32" t="n"/>
      <c r="S1389" s="30" t="n"/>
      <c r="T1389" s="30" t="n"/>
      <c r="U1389" s="30" t="n"/>
      <c r="V1389" s="30" t="n"/>
      <c r="W1389" s="29">
        <f>IF(H1389="","",IF(H1389="Kenya","Yes","No"))</f>
        <v/>
      </c>
      <c r="X1389" s="29">
        <f>IF(B1389="","",IF(COUNTIF($B$5:$B$3004,B1389)&gt;1,"DUPLICATE","OK"))</f>
        <v/>
      </c>
      <c r="Y1389" s="29">
        <f>IF(OR(U1389="",V1389="",V1389="Excluded"),"",IF(COUNTIFS($U$5:$U$3004,U1389,$V$5:$V$3004,"&lt;&gt;"&amp;V1389,$V$5:$V$3004,"&lt;&gt;",$V$5:$V$3004,"&lt;&gt;Excluded")&gt;0,"LEAK RISK","OK"))</f>
        <v/>
      </c>
      <c r="Z1389" s="30" t="n"/>
    </row>
    <row r="1390">
      <c r="A1390" s="30" t="n"/>
      <c r="B1390" s="30" t="n"/>
      <c r="C1390" s="30" t="n"/>
      <c r="D1390" s="30" t="n"/>
      <c r="E1390" s="30" t="n"/>
      <c r="F1390" s="30" t="n"/>
      <c r="G1390" s="30" t="n"/>
      <c r="H1390" s="30" t="n"/>
      <c r="I1390" s="31" t="n"/>
      <c r="J1390" s="30" t="n"/>
      <c r="K1390" s="30" t="n"/>
      <c r="L1390" s="30" t="n"/>
      <c r="M1390" s="30" t="n"/>
      <c r="N1390" s="32" t="n"/>
      <c r="O1390" s="30" t="n"/>
      <c r="P1390" s="32" t="n"/>
      <c r="Q1390" s="30" t="n"/>
      <c r="R1390" s="32" t="n"/>
      <c r="S1390" s="30" t="n"/>
      <c r="T1390" s="30" t="n"/>
      <c r="U1390" s="30" t="n"/>
      <c r="V1390" s="30" t="n"/>
      <c r="W1390" s="29">
        <f>IF(H1390="","",IF(H1390="Kenya","Yes","No"))</f>
        <v/>
      </c>
      <c r="X1390" s="29">
        <f>IF(B1390="","",IF(COUNTIF($B$5:$B$3004,B1390)&gt;1,"DUPLICATE","OK"))</f>
        <v/>
      </c>
      <c r="Y1390" s="29">
        <f>IF(OR(U1390="",V1390="",V1390="Excluded"),"",IF(COUNTIFS($U$5:$U$3004,U1390,$V$5:$V$3004,"&lt;&gt;"&amp;V1390,$V$5:$V$3004,"&lt;&gt;",$V$5:$V$3004,"&lt;&gt;Excluded")&gt;0,"LEAK RISK","OK"))</f>
        <v/>
      </c>
      <c r="Z1390" s="30" t="n"/>
    </row>
    <row r="1391">
      <c r="A1391" s="30" t="n"/>
      <c r="B1391" s="30" t="n"/>
      <c r="C1391" s="30" t="n"/>
      <c r="D1391" s="30" t="n"/>
      <c r="E1391" s="30" t="n"/>
      <c r="F1391" s="30" t="n"/>
      <c r="G1391" s="30" t="n"/>
      <c r="H1391" s="30" t="n"/>
      <c r="I1391" s="31" t="n"/>
      <c r="J1391" s="30" t="n"/>
      <c r="K1391" s="30" t="n"/>
      <c r="L1391" s="30" t="n"/>
      <c r="M1391" s="30" t="n"/>
      <c r="N1391" s="32" t="n"/>
      <c r="O1391" s="30" t="n"/>
      <c r="P1391" s="32" t="n"/>
      <c r="Q1391" s="30" t="n"/>
      <c r="R1391" s="32" t="n"/>
      <c r="S1391" s="30" t="n"/>
      <c r="T1391" s="30" t="n"/>
      <c r="U1391" s="30" t="n"/>
      <c r="V1391" s="30" t="n"/>
      <c r="W1391" s="29">
        <f>IF(H1391="","",IF(H1391="Kenya","Yes","No"))</f>
        <v/>
      </c>
      <c r="X1391" s="29">
        <f>IF(B1391="","",IF(COUNTIF($B$5:$B$3004,B1391)&gt;1,"DUPLICATE","OK"))</f>
        <v/>
      </c>
      <c r="Y1391" s="29">
        <f>IF(OR(U1391="",V1391="",V1391="Excluded"),"",IF(COUNTIFS($U$5:$U$3004,U1391,$V$5:$V$3004,"&lt;&gt;"&amp;V1391,$V$5:$V$3004,"&lt;&gt;",$V$5:$V$3004,"&lt;&gt;Excluded")&gt;0,"LEAK RISK","OK"))</f>
        <v/>
      </c>
      <c r="Z1391" s="30" t="n"/>
    </row>
    <row r="1392">
      <c r="A1392" s="30" t="n"/>
      <c r="B1392" s="30" t="n"/>
      <c r="C1392" s="30" t="n"/>
      <c r="D1392" s="30" t="n"/>
      <c r="E1392" s="30" t="n"/>
      <c r="F1392" s="30" t="n"/>
      <c r="G1392" s="30" t="n"/>
      <c r="H1392" s="30" t="n"/>
      <c r="I1392" s="31" t="n"/>
      <c r="J1392" s="30" t="n"/>
      <c r="K1392" s="30" t="n"/>
      <c r="L1392" s="30" t="n"/>
      <c r="M1392" s="30" t="n"/>
      <c r="N1392" s="32" t="n"/>
      <c r="O1392" s="30" t="n"/>
      <c r="P1392" s="32" t="n"/>
      <c r="Q1392" s="30" t="n"/>
      <c r="R1392" s="32" t="n"/>
      <c r="S1392" s="30" t="n"/>
      <c r="T1392" s="30" t="n"/>
      <c r="U1392" s="30" t="n"/>
      <c r="V1392" s="30" t="n"/>
      <c r="W1392" s="29">
        <f>IF(H1392="","",IF(H1392="Kenya","Yes","No"))</f>
        <v/>
      </c>
      <c r="X1392" s="29">
        <f>IF(B1392="","",IF(COUNTIF($B$5:$B$3004,B1392)&gt;1,"DUPLICATE","OK"))</f>
        <v/>
      </c>
      <c r="Y1392" s="29">
        <f>IF(OR(U1392="",V1392="",V1392="Excluded"),"",IF(COUNTIFS($U$5:$U$3004,U1392,$V$5:$V$3004,"&lt;&gt;"&amp;V1392,$V$5:$V$3004,"&lt;&gt;",$V$5:$V$3004,"&lt;&gt;Excluded")&gt;0,"LEAK RISK","OK"))</f>
        <v/>
      </c>
      <c r="Z1392" s="30" t="n"/>
    </row>
    <row r="1393">
      <c r="A1393" s="30" t="n"/>
      <c r="B1393" s="30" t="n"/>
      <c r="C1393" s="30" t="n"/>
      <c r="D1393" s="30" t="n"/>
      <c r="E1393" s="30" t="n"/>
      <c r="F1393" s="30" t="n"/>
      <c r="G1393" s="30" t="n"/>
      <c r="H1393" s="30" t="n"/>
      <c r="I1393" s="31" t="n"/>
      <c r="J1393" s="30" t="n"/>
      <c r="K1393" s="30" t="n"/>
      <c r="L1393" s="30" t="n"/>
      <c r="M1393" s="30" t="n"/>
      <c r="N1393" s="32" t="n"/>
      <c r="O1393" s="30" t="n"/>
      <c r="P1393" s="32" t="n"/>
      <c r="Q1393" s="30" t="n"/>
      <c r="R1393" s="32" t="n"/>
      <c r="S1393" s="30" t="n"/>
      <c r="T1393" s="30" t="n"/>
      <c r="U1393" s="30" t="n"/>
      <c r="V1393" s="30" t="n"/>
      <c r="W1393" s="29">
        <f>IF(H1393="","",IF(H1393="Kenya","Yes","No"))</f>
        <v/>
      </c>
      <c r="X1393" s="29">
        <f>IF(B1393="","",IF(COUNTIF($B$5:$B$3004,B1393)&gt;1,"DUPLICATE","OK"))</f>
        <v/>
      </c>
      <c r="Y1393" s="29">
        <f>IF(OR(U1393="",V1393="",V1393="Excluded"),"",IF(COUNTIFS($U$5:$U$3004,U1393,$V$5:$V$3004,"&lt;&gt;"&amp;V1393,$V$5:$V$3004,"&lt;&gt;",$V$5:$V$3004,"&lt;&gt;Excluded")&gt;0,"LEAK RISK","OK"))</f>
        <v/>
      </c>
      <c r="Z1393" s="30" t="n"/>
    </row>
    <row r="1394">
      <c r="A1394" s="30" t="n"/>
      <c r="B1394" s="30" t="n"/>
      <c r="C1394" s="30" t="n"/>
      <c r="D1394" s="30" t="n"/>
      <c r="E1394" s="30" t="n"/>
      <c r="F1394" s="30" t="n"/>
      <c r="G1394" s="30" t="n"/>
      <c r="H1394" s="30" t="n"/>
      <c r="I1394" s="31" t="n"/>
      <c r="J1394" s="30" t="n"/>
      <c r="K1394" s="30" t="n"/>
      <c r="L1394" s="30" t="n"/>
      <c r="M1394" s="30" t="n"/>
      <c r="N1394" s="32" t="n"/>
      <c r="O1394" s="30" t="n"/>
      <c r="P1394" s="32" t="n"/>
      <c r="Q1394" s="30" t="n"/>
      <c r="R1394" s="32" t="n"/>
      <c r="S1394" s="30" t="n"/>
      <c r="T1394" s="30" t="n"/>
      <c r="U1394" s="30" t="n"/>
      <c r="V1394" s="30" t="n"/>
      <c r="W1394" s="29">
        <f>IF(H1394="","",IF(H1394="Kenya","Yes","No"))</f>
        <v/>
      </c>
      <c r="X1394" s="29">
        <f>IF(B1394="","",IF(COUNTIF($B$5:$B$3004,B1394)&gt;1,"DUPLICATE","OK"))</f>
        <v/>
      </c>
      <c r="Y1394" s="29">
        <f>IF(OR(U1394="",V1394="",V1394="Excluded"),"",IF(COUNTIFS($U$5:$U$3004,U1394,$V$5:$V$3004,"&lt;&gt;"&amp;V1394,$V$5:$V$3004,"&lt;&gt;",$V$5:$V$3004,"&lt;&gt;Excluded")&gt;0,"LEAK RISK","OK"))</f>
        <v/>
      </c>
      <c r="Z1394" s="30" t="n"/>
    </row>
    <row r="1395">
      <c r="A1395" s="30" t="n"/>
      <c r="B1395" s="30" t="n"/>
      <c r="C1395" s="30" t="n"/>
      <c r="D1395" s="30" t="n"/>
      <c r="E1395" s="30" t="n"/>
      <c r="F1395" s="30" t="n"/>
      <c r="G1395" s="30" t="n"/>
      <c r="H1395" s="30" t="n"/>
      <c r="I1395" s="31" t="n"/>
      <c r="J1395" s="30" t="n"/>
      <c r="K1395" s="30" t="n"/>
      <c r="L1395" s="30" t="n"/>
      <c r="M1395" s="30" t="n"/>
      <c r="N1395" s="32" t="n"/>
      <c r="O1395" s="30" t="n"/>
      <c r="P1395" s="32" t="n"/>
      <c r="Q1395" s="30" t="n"/>
      <c r="R1395" s="32" t="n"/>
      <c r="S1395" s="30" t="n"/>
      <c r="T1395" s="30" t="n"/>
      <c r="U1395" s="30" t="n"/>
      <c r="V1395" s="30" t="n"/>
      <c r="W1395" s="29">
        <f>IF(H1395="","",IF(H1395="Kenya","Yes","No"))</f>
        <v/>
      </c>
      <c r="X1395" s="29">
        <f>IF(B1395="","",IF(COUNTIF($B$5:$B$3004,B1395)&gt;1,"DUPLICATE","OK"))</f>
        <v/>
      </c>
      <c r="Y1395" s="29">
        <f>IF(OR(U1395="",V1395="",V1395="Excluded"),"",IF(COUNTIFS($U$5:$U$3004,U1395,$V$5:$V$3004,"&lt;&gt;"&amp;V1395,$V$5:$V$3004,"&lt;&gt;",$V$5:$V$3004,"&lt;&gt;Excluded")&gt;0,"LEAK RISK","OK"))</f>
        <v/>
      </c>
      <c r="Z1395" s="30" t="n"/>
    </row>
    <row r="1396">
      <c r="A1396" s="30" t="n"/>
      <c r="B1396" s="30" t="n"/>
      <c r="C1396" s="30" t="n"/>
      <c r="D1396" s="30" t="n"/>
      <c r="E1396" s="30" t="n"/>
      <c r="F1396" s="30" t="n"/>
      <c r="G1396" s="30" t="n"/>
      <c r="H1396" s="30" t="n"/>
      <c r="I1396" s="31" t="n"/>
      <c r="J1396" s="30" t="n"/>
      <c r="K1396" s="30" t="n"/>
      <c r="L1396" s="30" t="n"/>
      <c r="M1396" s="30" t="n"/>
      <c r="N1396" s="32" t="n"/>
      <c r="O1396" s="30" t="n"/>
      <c r="P1396" s="32" t="n"/>
      <c r="Q1396" s="30" t="n"/>
      <c r="R1396" s="32" t="n"/>
      <c r="S1396" s="30" t="n"/>
      <c r="T1396" s="30" t="n"/>
      <c r="U1396" s="30" t="n"/>
      <c r="V1396" s="30" t="n"/>
      <c r="W1396" s="29">
        <f>IF(H1396="","",IF(H1396="Kenya","Yes","No"))</f>
        <v/>
      </c>
      <c r="X1396" s="29">
        <f>IF(B1396="","",IF(COUNTIF($B$5:$B$3004,B1396)&gt;1,"DUPLICATE","OK"))</f>
        <v/>
      </c>
      <c r="Y1396" s="29">
        <f>IF(OR(U1396="",V1396="",V1396="Excluded"),"",IF(COUNTIFS($U$5:$U$3004,U1396,$V$5:$V$3004,"&lt;&gt;"&amp;V1396,$V$5:$V$3004,"&lt;&gt;",$V$5:$V$3004,"&lt;&gt;Excluded")&gt;0,"LEAK RISK","OK"))</f>
        <v/>
      </c>
      <c r="Z1396" s="30" t="n"/>
    </row>
    <row r="1397">
      <c r="A1397" s="30" t="n"/>
      <c r="B1397" s="30" t="n"/>
      <c r="C1397" s="30" t="n"/>
      <c r="D1397" s="30" t="n"/>
      <c r="E1397" s="30" t="n"/>
      <c r="F1397" s="30" t="n"/>
      <c r="G1397" s="30" t="n"/>
      <c r="H1397" s="30" t="n"/>
      <c r="I1397" s="31" t="n"/>
      <c r="J1397" s="30" t="n"/>
      <c r="K1397" s="30" t="n"/>
      <c r="L1397" s="30" t="n"/>
      <c r="M1397" s="30" t="n"/>
      <c r="N1397" s="32" t="n"/>
      <c r="O1397" s="30" t="n"/>
      <c r="P1397" s="32" t="n"/>
      <c r="Q1397" s="30" t="n"/>
      <c r="R1397" s="32" t="n"/>
      <c r="S1397" s="30" t="n"/>
      <c r="T1397" s="30" t="n"/>
      <c r="U1397" s="30" t="n"/>
      <c r="V1397" s="30" t="n"/>
      <c r="W1397" s="29">
        <f>IF(H1397="","",IF(H1397="Kenya","Yes","No"))</f>
        <v/>
      </c>
      <c r="X1397" s="29">
        <f>IF(B1397="","",IF(COUNTIF($B$5:$B$3004,B1397)&gt;1,"DUPLICATE","OK"))</f>
        <v/>
      </c>
      <c r="Y1397" s="29">
        <f>IF(OR(U1397="",V1397="",V1397="Excluded"),"",IF(COUNTIFS($U$5:$U$3004,U1397,$V$5:$V$3004,"&lt;&gt;"&amp;V1397,$V$5:$V$3004,"&lt;&gt;",$V$5:$V$3004,"&lt;&gt;Excluded")&gt;0,"LEAK RISK","OK"))</f>
        <v/>
      </c>
      <c r="Z1397" s="30" t="n"/>
    </row>
    <row r="1398">
      <c r="A1398" s="30" t="n"/>
      <c r="B1398" s="30" t="n"/>
      <c r="C1398" s="30" t="n"/>
      <c r="D1398" s="30" t="n"/>
      <c r="E1398" s="30" t="n"/>
      <c r="F1398" s="30" t="n"/>
      <c r="G1398" s="30" t="n"/>
      <c r="H1398" s="30" t="n"/>
      <c r="I1398" s="31" t="n"/>
      <c r="J1398" s="30" t="n"/>
      <c r="K1398" s="30" t="n"/>
      <c r="L1398" s="30" t="n"/>
      <c r="M1398" s="30" t="n"/>
      <c r="N1398" s="32" t="n"/>
      <c r="O1398" s="30" t="n"/>
      <c r="P1398" s="32" t="n"/>
      <c r="Q1398" s="30" t="n"/>
      <c r="R1398" s="32" t="n"/>
      <c r="S1398" s="30" t="n"/>
      <c r="T1398" s="30" t="n"/>
      <c r="U1398" s="30" t="n"/>
      <c r="V1398" s="30" t="n"/>
      <c r="W1398" s="29">
        <f>IF(H1398="","",IF(H1398="Kenya","Yes","No"))</f>
        <v/>
      </c>
      <c r="X1398" s="29">
        <f>IF(B1398="","",IF(COUNTIF($B$5:$B$3004,B1398)&gt;1,"DUPLICATE","OK"))</f>
        <v/>
      </c>
      <c r="Y1398" s="29">
        <f>IF(OR(U1398="",V1398="",V1398="Excluded"),"",IF(COUNTIFS($U$5:$U$3004,U1398,$V$5:$V$3004,"&lt;&gt;"&amp;V1398,$V$5:$V$3004,"&lt;&gt;",$V$5:$V$3004,"&lt;&gt;Excluded")&gt;0,"LEAK RISK","OK"))</f>
        <v/>
      </c>
      <c r="Z1398" s="30" t="n"/>
    </row>
    <row r="1399">
      <c r="A1399" s="30" t="n"/>
      <c r="B1399" s="30" t="n"/>
      <c r="C1399" s="30" t="n"/>
      <c r="D1399" s="30" t="n"/>
      <c r="E1399" s="30" t="n"/>
      <c r="F1399" s="30" t="n"/>
      <c r="G1399" s="30" t="n"/>
      <c r="H1399" s="30" t="n"/>
      <c r="I1399" s="31" t="n"/>
      <c r="J1399" s="30" t="n"/>
      <c r="K1399" s="30" t="n"/>
      <c r="L1399" s="30" t="n"/>
      <c r="M1399" s="30" t="n"/>
      <c r="N1399" s="32" t="n"/>
      <c r="O1399" s="30" t="n"/>
      <c r="P1399" s="32" t="n"/>
      <c r="Q1399" s="30" t="n"/>
      <c r="R1399" s="32" t="n"/>
      <c r="S1399" s="30" t="n"/>
      <c r="T1399" s="30" t="n"/>
      <c r="U1399" s="30" t="n"/>
      <c r="V1399" s="30" t="n"/>
      <c r="W1399" s="29">
        <f>IF(H1399="","",IF(H1399="Kenya","Yes","No"))</f>
        <v/>
      </c>
      <c r="X1399" s="29">
        <f>IF(B1399="","",IF(COUNTIF($B$5:$B$3004,B1399)&gt;1,"DUPLICATE","OK"))</f>
        <v/>
      </c>
      <c r="Y1399" s="29">
        <f>IF(OR(U1399="",V1399="",V1399="Excluded"),"",IF(COUNTIFS($U$5:$U$3004,U1399,$V$5:$V$3004,"&lt;&gt;"&amp;V1399,$V$5:$V$3004,"&lt;&gt;",$V$5:$V$3004,"&lt;&gt;Excluded")&gt;0,"LEAK RISK","OK"))</f>
        <v/>
      </c>
      <c r="Z1399" s="30" t="n"/>
    </row>
    <row r="1400">
      <c r="A1400" s="30" t="n"/>
      <c r="B1400" s="30" t="n"/>
      <c r="C1400" s="30" t="n"/>
      <c r="D1400" s="30" t="n"/>
      <c r="E1400" s="30" t="n"/>
      <c r="F1400" s="30" t="n"/>
      <c r="G1400" s="30" t="n"/>
      <c r="H1400" s="30" t="n"/>
      <c r="I1400" s="31" t="n"/>
      <c r="J1400" s="30" t="n"/>
      <c r="K1400" s="30" t="n"/>
      <c r="L1400" s="30" t="n"/>
      <c r="M1400" s="30" t="n"/>
      <c r="N1400" s="32" t="n"/>
      <c r="O1400" s="30" t="n"/>
      <c r="P1400" s="32" t="n"/>
      <c r="Q1400" s="30" t="n"/>
      <c r="R1400" s="32" t="n"/>
      <c r="S1400" s="30" t="n"/>
      <c r="T1400" s="30" t="n"/>
      <c r="U1400" s="30" t="n"/>
      <c r="V1400" s="30" t="n"/>
      <c r="W1400" s="29">
        <f>IF(H1400="","",IF(H1400="Kenya","Yes","No"))</f>
        <v/>
      </c>
      <c r="X1400" s="29">
        <f>IF(B1400="","",IF(COUNTIF($B$5:$B$3004,B1400)&gt;1,"DUPLICATE","OK"))</f>
        <v/>
      </c>
      <c r="Y1400" s="29">
        <f>IF(OR(U1400="",V1400="",V1400="Excluded"),"",IF(COUNTIFS($U$5:$U$3004,U1400,$V$5:$V$3004,"&lt;&gt;"&amp;V1400,$V$5:$V$3004,"&lt;&gt;",$V$5:$V$3004,"&lt;&gt;Excluded")&gt;0,"LEAK RISK","OK"))</f>
        <v/>
      </c>
      <c r="Z1400" s="30" t="n"/>
    </row>
    <row r="1401">
      <c r="A1401" s="30" t="n"/>
      <c r="B1401" s="30" t="n"/>
      <c r="C1401" s="30" t="n"/>
      <c r="D1401" s="30" t="n"/>
      <c r="E1401" s="30" t="n"/>
      <c r="F1401" s="30" t="n"/>
      <c r="G1401" s="30" t="n"/>
      <c r="H1401" s="30" t="n"/>
      <c r="I1401" s="31" t="n"/>
      <c r="J1401" s="30" t="n"/>
      <c r="K1401" s="30" t="n"/>
      <c r="L1401" s="30" t="n"/>
      <c r="M1401" s="30" t="n"/>
      <c r="N1401" s="32" t="n"/>
      <c r="O1401" s="30" t="n"/>
      <c r="P1401" s="32" t="n"/>
      <c r="Q1401" s="30" t="n"/>
      <c r="R1401" s="32" t="n"/>
      <c r="S1401" s="30" t="n"/>
      <c r="T1401" s="30" t="n"/>
      <c r="U1401" s="30" t="n"/>
      <c r="V1401" s="30" t="n"/>
      <c r="W1401" s="29">
        <f>IF(H1401="","",IF(H1401="Kenya","Yes","No"))</f>
        <v/>
      </c>
      <c r="X1401" s="29">
        <f>IF(B1401="","",IF(COUNTIF($B$5:$B$3004,B1401)&gt;1,"DUPLICATE","OK"))</f>
        <v/>
      </c>
      <c r="Y1401" s="29">
        <f>IF(OR(U1401="",V1401="",V1401="Excluded"),"",IF(COUNTIFS($U$5:$U$3004,U1401,$V$5:$V$3004,"&lt;&gt;"&amp;V1401,$V$5:$V$3004,"&lt;&gt;",$V$5:$V$3004,"&lt;&gt;Excluded")&gt;0,"LEAK RISK","OK"))</f>
        <v/>
      </c>
      <c r="Z1401" s="30" t="n"/>
    </row>
    <row r="1402">
      <c r="A1402" s="30" t="n"/>
      <c r="B1402" s="30" t="n"/>
      <c r="C1402" s="30" t="n"/>
      <c r="D1402" s="30" t="n"/>
      <c r="E1402" s="30" t="n"/>
      <c r="F1402" s="30" t="n"/>
      <c r="G1402" s="30" t="n"/>
      <c r="H1402" s="30" t="n"/>
      <c r="I1402" s="31" t="n"/>
      <c r="J1402" s="30" t="n"/>
      <c r="K1402" s="30" t="n"/>
      <c r="L1402" s="30" t="n"/>
      <c r="M1402" s="30" t="n"/>
      <c r="N1402" s="32" t="n"/>
      <c r="O1402" s="30" t="n"/>
      <c r="P1402" s="32" t="n"/>
      <c r="Q1402" s="30" t="n"/>
      <c r="R1402" s="32" t="n"/>
      <c r="S1402" s="30" t="n"/>
      <c r="T1402" s="30" t="n"/>
      <c r="U1402" s="30" t="n"/>
      <c r="V1402" s="30" t="n"/>
      <c r="W1402" s="29">
        <f>IF(H1402="","",IF(H1402="Kenya","Yes","No"))</f>
        <v/>
      </c>
      <c r="X1402" s="29">
        <f>IF(B1402="","",IF(COUNTIF($B$5:$B$3004,B1402)&gt;1,"DUPLICATE","OK"))</f>
        <v/>
      </c>
      <c r="Y1402" s="29">
        <f>IF(OR(U1402="",V1402="",V1402="Excluded"),"",IF(COUNTIFS($U$5:$U$3004,U1402,$V$5:$V$3004,"&lt;&gt;"&amp;V1402,$V$5:$V$3004,"&lt;&gt;",$V$5:$V$3004,"&lt;&gt;Excluded")&gt;0,"LEAK RISK","OK"))</f>
        <v/>
      </c>
      <c r="Z1402" s="30" t="n"/>
    </row>
    <row r="1403">
      <c r="A1403" s="30" t="n"/>
      <c r="B1403" s="30" t="n"/>
      <c r="C1403" s="30" t="n"/>
      <c r="D1403" s="30" t="n"/>
      <c r="E1403" s="30" t="n"/>
      <c r="F1403" s="30" t="n"/>
      <c r="G1403" s="30" t="n"/>
      <c r="H1403" s="30" t="n"/>
      <c r="I1403" s="31" t="n"/>
      <c r="J1403" s="30" t="n"/>
      <c r="K1403" s="30" t="n"/>
      <c r="L1403" s="30" t="n"/>
      <c r="M1403" s="30" t="n"/>
      <c r="N1403" s="32" t="n"/>
      <c r="O1403" s="30" t="n"/>
      <c r="P1403" s="32" t="n"/>
      <c r="Q1403" s="30" t="n"/>
      <c r="R1403" s="32" t="n"/>
      <c r="S1403" s="30" t="n"/>
      <c r="T1403" s="30" t="n"/>
      <c r="U1403" s="30" t="n"/>
      <c r="V1403" s="30" t="n"/>
      <c r="W1403" s="29">
        <f>IF(H1403="","",IF(H1403="Kenya","Yes","No"))</f>
        <v/>
      </c>
      <c r="X1403" s="29">
        <f>IF(B1403="","",IF(COUNTIF($B$5:$B$3004,B1403)&gt;1,"DUPLICATE","OK"))</f>
        <v/>
      </c>
      <c r="Y1403" s="29">
        <f>IF(OR(U1403="",V1403="",V1403="Excluded"),"",IF(COUNTIFS($U$5:$U$3004,U1403,$V$5:$V$3004,"&lt;&gt;"&amp;V1403,$V$5:$V$3004,"&lt;&gt;",$V$5:$V$3004,"&lt;&gt;Excluded")&gt;0,"LEAK RISK","OK"))</f>
        <v/>
      </c>
      <c r="Z1403" s="30" t="n"/>
    </row>
    <row r="1404">
      <c r="A1404" s="30" t="n"/>
      <c r="B1404" s="30" t="n"/>
      <c r="C1404" s="30" t="n"/>
      <c r="D1404" s="30" t="n"/>
      <c r="E1404" s="30" t="n"/>
      <c r="F1404" s="30" t="n"/>
      <c r="G1404" s="30" t="n"/>
      <c r="H1404" s="30" t="n"/>
      <c r="I1404" s="31" t="n"/>
      <c r="J1404" s="30" t="n"/>
      <c r="K1404" s="30" t="n"/>
      <c r="L1404" s="30" t="n"/>
      <c r="M1404" s="30" t="n"/>
      <c r="N1404" s="32" t="n"/>
      <c r="O1404" s="30" t="n"/>
      <c r="P1404" s="32" t="n"/>
      <c r="Q1404" s="30" t="n"/>
      <c r="R1404" s="32" t="n"/>
      <c r="S1404" s="30" t="n"/>
      <c r="T1404" s="30" t="n"/>
      <c r="U1404" s="30" t="n"/>
      <c r="V1404" s="30" t="n"/>
      <c r="W1404" s="29">
        <f>IF(H1404="","",IF(H1404="Kenya","Yes","No"))</f>
        <v/>
      </c>
      <c r="X1404" s="29">
        <f>IF(B1404="","",IF(COUNTIF($B$5:$B$3004,B1404)&gt;1,"DUPLICATE","OK"))</f>
        <v/>
      </c>
      <c r="Y1404" s="29">
        <f>IF(OR(U1404="",V1404="",V1404="Excluded"),"",IF(COUNTIFS($U$5:$U$3004,U1404,$V$5:$V$3004,"&lt;&gt;"&amp;V1404,$V$5:$V$3004,"&lt;&gt;",$V$5:$V$3004,"&lt;&gt;Excluded")&gt;0,"LEAK RISK","OK"))</f>
        <v/>
      </c>
      <c r="Z1404" s="30" t="n"/>
    </row>
    <row r="1405">
      <c r="A1405" s="30" t="n"/>
      <c r="B1405" s="30" t="n"/>
      <c r="C1405" s="30" t="n"/>
      <c r="D1405" s="30" t="n"/>
      <c r="E1405" s="30" t="n"/>
      <c r="F1405" s="30" t="n"/>
      <c r="G1405" s="30" t="n"/>
      <c r="H1405" s="30" t="n"/>
      <c r="I1405" s="31" t="n"/>
      <c r="J1405" s="30" t="n"/>
      <c r="K1405" s="30" t="n"/>
      <c r="L1405" s="30" t="n"/>
      <c r="M1405" s="30" t="n"/>
      <c r="N1405" s="32" t="n"/>
      <c r="O1405" s="30" t="n"/>
      <c r="P1405" s="32" t="n"/>
      <c r="Q1405" s="30" t="n"/>
      <c r="R1405" s="32" t="n"/>
      <c r="S1405" s="30" t="n"/>
      <c r="T1405" s="30" t="n"/>
      <c r="U1405" s="30" t="n"/>
      <c r="V1405" s="30" t="n"/>
      <c r="W1405" s="29">
        <f>IF(H1405="","",IF(H1405="Kenya","Yes","No"))</f>
        <v/>
      </c>
      <c r="X1405" s="29">
        <f>IF(B1405="","",IF(COUNTIF($B$5:$B$3004,B1405)&gt;1,"DUPLICATE","OK"))</f>
        <v/>
      </c>
      <c r="Y1405" s="29">
        <f>IF(OR(U1405="",V1405="",V1405="Excluded"),"",IF(COUNTIFS($U$5:$U$3004,U1405,$V$5:$V$3004,"&lt;&gt;"&amp;V1405,$V$5:$V$3004,"&lt;&gt;",$V$5:$V$3004,"&lt;&gt;Excluded")&gt;0,"LEAK RISK","OK"))</f>
        <v/>
      </c>
      <c r="Z1405" s="30" t="n"/>
    </row>
    <row r="1406">
      <c r="A1406" s="30" t="n"/>
      <c r="B1406" s="30" t="n"/>
      <c r="C1406" s="30" t="n"/>
      <c r="D1406" s="30" t="n"/>
      <c r="E1406" s="30" t="n"/>
      <c r="F1406" s="30" t="n"/>
      <c r="G1406" s="30" t="n"/>
      <c r="H1406" s="30" t="n"/>
      <c r="I1406" s="31" t="n"/>
      <c r="J1406" s="30" t="n"/>
      <c r="K1406" s="30" t="n"/>
      <c r="L1406" s="30" t="n"/>
      <c r="M1406" s="30" t="n"/>
      <c r="N1406" s="32" t="n"/>
      <c r="O1406" s="30" t="n"/>
      <c r="P1406" s="32" t="n"/>
      <c r="Q1406" s="30" t="n"/>
      <c r="R1406" s="32" t="n"/>
      <c r="S1406" s="30" t="n"/>
      <c r="T1406" s="30" t="n"/>
      <c r="U1406" s="30" t="n"/>
      <c r="V1406" s="30" t="n"/>
      <c r="W1406" s="29">
        <f>IF(H1406="","",IF(H1406="Kenya","Yes","No"))</f>
        <v/>
      </c>
      <c r="X1406" s="29">
        <f>IF(B1406="","",IF(COUNTIF($B$5:$B$3004,B1406)&gt;1,"DUPLICATE","OK"))</f>
        <v/>
      </c>
      <c r="Y1406" s="29">
        <f>IF(OR(U1406="",V1406="",V1406="Excluded"),"",IF(COUNTIFS($U$5:$U$3004,U1406,$V$5:$V$3004,"&lt;&gt;"&amp;V1406,$V$5:$V$3004,"&lt;&gt;",$V$5:$V$3004,"&lt;&gt;Excluded")&gt;0,"LEAK RISK","OK"))</f>
        <v/>
      </c>
      <c r="Z1406" s="30" t="n"/>
    </row>
    <row r="1407">
      <c r="A1407" s="30" t="n"/>
      <c r="B1407" s="30" t="n"/>
      <c r="C1407" s="30" t="n"/>
      <c r="D1407" s="30" t="n"/>
      <c r="E1407" s="30" t="n"/>
      <c r="F1407" s="30" t="n"/>
      <c r="G1407" s="30" t="n"/>
      <c r="H1407" s="30" t="n"/>
      <c r="I1407" s="31" t="n"/>
      <c r="J1407" s="30" t="n"/>
      <c r="K1407" s="30" t="n"/>
      <c r="L1407" s="30" t="n"/>
      <c r="M1407" s="30" t="n"/>
      <c r="N1407" s="32" t="n"/>
      <c r="O1407" s="30" t="n"/>
      <c r="P1407" s="32" t="n"/>
      <c r="Q1407" s="30" t="n"/>
      <c r="R1407" s="32" t="n"/>
      <c r="S1407" s="30" t="n"/>
      <c r="T1407" s="30" t="n"/>
      <c r="U1407" s="30" t="n"/>
      <c r="V1407" s="30" t="n"/>
      <c r="W1407" s="29">
        <f>IF(H1407="","",IF(H1407="Kenya","Yes","No"))</f>
        <v/>
      </c>
      <c r="X1407" s="29">
        <f>IF(B1407="","",IF(COUNTIF($B$5:$B$3004,B1407)&gt;1,"DUPLICATE","OK"))</f>
        <v/>
      </c>
      <c r="Y1407" s="29">
        <f>IF(OR(U1407="",V1407="",V1407="Excluded"),"",IF(COUNTIFS($U$5:$U$3004,U1407,$V$5:$V$3004,"&lt;&gt;"&amp;V1407,$V$5:$V$3004,"&lt;&gt;",$V$5:$V$3004,"&lt;&gt;Excluded")&gt;0,"LEAK RISK","OK"))</f>
        <v/>
      </c>
      <c r="Z1407" s="30" t="n"/>
    </row>
    <row r="1408">
      <c r="A1408" s="30" t="n"/>
      <c r="B1408" s="30" t="n"/>
      <c r="C1408" s="30" t="n"/>
      <c r="D1408" s="30" t="n"/>
      <c r="E1408" s="30" t="n"/>
      <c r="F1408" s="30" t="n"/>
      <c r="G1408" s="30" t="n"/>
      <c r="H1408" s="30" t="n"/>
      <c r="I1408" s="31" t="n"/>
      <c r="J1408" s="30" t="n"/>
      <c r="K1408" s="30" t="n"/>
      <c r="L1408" s="30" t="n"/>
      <c r="M1408" s="30" t="n"/>
      <c r="N1408" s="32" t="n"/>
      <c r="O1408" s="30" t="n"/>
      <c r="P1408" s="32" t="n"/>
      <c r="Q1408" s="30" t="n"/>
      <c r="R1408" s="32" t="n"/>
      <c r="S1408" s="30" t="n"/>
      <c r="T1408" s="30" t="n"/>
      <c r="U1408" s="30" t="n"/>
      <c r="V1408" s="30" t="n"/>
      <c r="W1408" s="29">
        <f>IF(H1408="","",IF(H1408="Kenya","Yes","No"))</f>
        <v/>
      </c>
      <c r="X1408" s="29">
        <f>IF(B1408="","",IF(COUNTIF($B$5:$B$3004,B1408)&gt;1,"DUPLICATE","OK"))</f>
        <v/>
      </c>
      <c r="Y1408" s="29">
        <f>IF(OR(U1408="",V1408="",V1408="Excluded"),"",IF(COUNTIFS($U$5:$U$3004,U1408,$V$5:$V$3004,"&lt;&gt;"&amp;V1408,$V$5:$V$3004,"&lt;&gt;",$V$5:$V$3004,"&lt;&gt;Excluded")&gt;0,"LEAK RISK","OK"))</f>
        <v/>
      </c>
      <c r="Z1408" s="30" t="n"/>
    </row>
    <row r="1409">
      <c r="A1409" s="30" t="n"/>
      <c r="B1409" s="30" t="n"/>
      <c r="C1409" s="30" t="n"/>
      <c r="D1409" s="30" t="n"/>
      <c r="E1409" s="30" t="n"/>
      <c r="F1409" s="30" t="n"/>
      <c r="G1409" s="30" t="n"/>
      <c r="H1409" s="30" t="n"/>
      <c r="I1409" s="31" t="n"/>
      <c r="J1409" s="30" t="n"/>
      <c r="K1409" s="30" t="n"/>
      <c r="L1409" s="30" t="n"/>
      <c r="M1409" s="30" t="n"/>
      <c r="N1409" s="32" t="n"/>
      <c r="O1409" s="30" t="n"/>
      <c r="P1409" s="32" t="n"/>
      <c r="Q1409" s="30" t="n"/>
      <c r="R1409" s="32" t="n"/>
      <c r="S1409" s="30" t="n"/>
      <c r="T1409" s="30" t="n"/>
      <c r="U1409" s="30" t="n"/>
      <c r="V1409" s="30" t="n"/>
      <c r="W1409" s="29">
        <f>IF(H1409="","",IF(H1409="Kenya","Yes","No"))</f>
        <v/>
      </c>
      <c r="X1409" s="29">
        <f>IF(B1409="","",IF(COUNTIF($B$5:$B$3004,B1409)&gt;1,"DUPLICATE","OK"))</f>
        <v/>
      </c>
      <c r="Y1409" s="29">
        <f>IF(OR(U1409="",V1409="",V1409="Excluded"),"",IF(COUNTIFS($U$5:$U$3004,U1409,$V$5:$V$3004,"&lt;&gt;"&amp;V1409,$V$5:$V$3004,"&lt;&gt;",$V$5:$V$3004,"&lt;&gt;Excluded")&gt;0,"LEAK RISK","OK"))</f>
        <v/>
      </c>
      <c r="Z1409" s="30" t="n"/>
    </row>
    <row r="1410">
      <c r="A1410" s="30" t="n"/>
      <c r="B1410" s="30" t="n"/>
      <c r="C1410" s="30" t="n"/>
      <c r="D1410" s="30" t="n"/>
      <c r="E1410" s="30" t="n"/>
      <c r="F1410" s="30" t="n"/>
      <c r="G1410" s="30" t="n"/>
      <c r="H1410" s="30" t="n"/>
      <c r="I1410" s="31" t="n"/>
      <c r="J1410" s="30" t="n"/>
      <c r="K1410" s="30" t="n"/>
      <c r="L1410" s="30" t="n"/>
      <c r="M1410" s="30" t="n"/>
      <c r="N1410" s="32" t="n"/>
      <c r="O1410" s="30" t="n"/>
      <c r="P1410" s="32" t="n"/>
      <c r="Q1410" s="30" t="n"/>
      <c r="R1410" s="32" t="n"/>
      <c r="S1410" s="30" t="n"/>
      <c r="T1410" s="30" t="n"/>
      <c r="U1410" s="30" t="n"/>
      <c r="V1410" s="30" t="n"/>
      <c r="W1410" s="29">
        <f>IF(H1410="","",IF(H1410="Kenya","Yes","No"))</f>
        <v/>
      </c>
      <c r="X1410" s="29">
        <f>IF(B1410="","",IF(COUNTIF($B$5:$B$3004,B1410)&gt;1,"DUPLICATE","OK"))</f>
        <v/>
      </c>
      <c r="Y1410" s="29">
        <f>IF(OR(U1410="",V1410="",V1410="Excluded"),"",IF(COUNTIFS($U$5:$U$3004,U1410,$V$5:$V$3004,"&lt;&gt;"&amp;V1410,$V$5:$V$3004,"&lt;&gt;",$V$5:$V$3004,"&lt;&gt;Excluded")&gt;0,"LEAK RISK","OK"))</f>
        <v/>
      </c>
      <c r="Z1410" s="30" t="n"/>
    </row>
    <row r="1411">
      <c r="A1411" s="30" t="n"/>
      <c r="B1411" s="30" t="n"/>
      <c r="C1411" s="30" t="n"/>
      <c r="D1411" s="30" t="n"/>
      <c r="E1411" s="30" t="n"/>
      <c r="F1411" s="30" t="n"/>
      <c r="G1411" s="30" t="n"/>
      <c r="H1411" s="30" t="n"/>
      <c r="I1411" s="31" t="n"/>
      <c r="J1411" s="30" t="n"/>
      <c r="K1411" s="30" t="n"/>
      <c r="L1411" s="30" t="n"/>
      <c r="M1411" s="30" t="n"/>
      <c r="N1411" s="32" t="n"/>
      <c r="O1411" s="30" t="n"/>
      <c r="P1411" s="32" t="n"/>
      <c r="Q1411" s="30" t="n"/>
      <c r="R1411" s="32" t="n"/>
      <c r="S1411" s="30" t="n"/>
      <c r="T1411" s="30" t="n"/>
      <c r="U1411" s="30" t="n"/>
      <c r="V1411" s="30" t="n"/>
      <c r="W1411" s="29">
        <f>IF(H1411="","",IF(H1411="Kenya","Yes","No"))</f>
        <v/>
      </c>
      <c r="X1411" s="29">
        <f>IF(B1411="","",IF(COUNTIF($B$5:$B$3004,B1411)&gt;1,"DUPLICATE","OK"))</f>
        <v/>
      </c>
      <c r="Y1411" s="29">
        <f>IF(OR(U1411="",V1411="",V1411="Excluded"),"",IF(COUNTIFS($U$5:$U$3004,U1411,$V$5:$V$3004,"&lt;&gt;"&amp;V1411,$V$5:$V$3004,"&lt;&gt;",$V$5:$V$3004,"&lt;&gt;Excluded")&gt;0,"LEAK RISK","OK"))</f>
        <v/>
      </c>
      <c r="Z1411" s="30" t="n"/>
    </row>
    <row r="1412">
      <c r="A1412" s="30" t="n"/>
      <c r="B1412" s="30" t="n"/>
      <c r="C1412" s="30" t="n"/>
      <c r="D1412" s="30" t="n"/>
      <c r="E1412" s="30" t="n"/>
      <c r="F1412" s="30" t="n"/>
      <c r="G1412" s="30" t="n"/>
      <c r="H1412" s="30" t="n"/>
      <c r="I1412" s="31" t="n"/>
      <c r="J1412" s="30" t="n"/>
      <c r="K1412" s="30" t="n"/>
      <c r="L1412" s="30" t="n"/>
      <c r="M1412" s="30" t="n"/>
      <c r="N1412" s="32" t="n"/>
      <c r="O1412" s="30" t="n"/>
      <c r="P1412" s="32" t="n"/>
      <c r="Q1412" s="30" t="n"/>
      <c r="R1412" s="32" t="n"/>
      <c r="S1412" s="30" t="n"/>
      <c r="T1412" s="30" t="n"/>
      <c r="U1412" s="30" t="n"/>
      <c r="V1412" s="30" t="n"/>
      <c r="W1412" s="29">
        <f>IF(H1412="","",IF(H1412="Kenya","Yes","No"))</f>
        <v/>
      </c>
      <c r="X1412" s="29">
        <f>IF(B1412="","",IF(COUNTIF($B$5:$B$3004,B1412)&gt;1,"DUPLICATE","OK"))</f>
        <v/>
      </c>
      <c r="Y1412" s="29">
        <f>IF(OR(U1412="",V1412="",V1412="Excluded"),"",IF(COUNTIFS($U$5:$U$3004,U1412,$V$5:$V$3004,"&lt;&gt;"&amp;V1412,$V$5:$V$3004,"&lt;&gt;",$V$5:$V$3004,"&lt;&gt;Excluded")&gt;0,"LEAK RISK","OK"))</f>
        <v/>
      </c>
      <c r="Z1412" s="30" t="n"/>
    </row>
    <row r="1413">
      <c r="A1413" s="30" t="n"/>
      <c r="B1413" s="30" t="n"/>
      <c r="C1413" s="30" t="n"/>
      <c r="D1413" s="30" t="n"/>
      <c r="E1413" s="30" t="n"/>
      <c r="F1413" s="30" t="n"/>
      <c r="G1413" s="30" t="n"/>
      <c r="H1413" s="30" t="n"/>
      <c r="I1413" s="31" t="n"/>
      <c r="J1413" s="30" t="n"/>
      <c r="K1413" s="30" t="n"/>
      <c r="L1413" s="30" t="n"/>
      <c r="M1413" s="30" t="n"/>
      <c r="N1413" s="32" t="n"/>
      <c r="O1413" s="30" t="n"/>
      <c r="P1413" s="32" t="n"/>
      <c r="Q1413" s="30" t="n"/>
      <c r="R1413" s="32" t="n"/>
      <c r="S1413" s="30" t="n"/>
      <c r="T1413" s="30" t="n"/>
      <c r="U1413" s="30" t="n"/>
      <c r="V1413" s="30" t="n"/>
      <c r="W1413" s="29">
        <f>IF(H1413="","",IF(H1413="Kenya","Yes","No"))</f>
        <v/>
      </c>
      <c r="X1413" s="29">
        <f>IF(B1413="","",IF(COUNTIF($B$5:$B$3004,B1413)&gt;1,"DUPLICATE","OK"))</f>
        <v/>
      </c>
      <c r="Y1413" s="29">
        <f>IF(OR(U1413="",V1413="",V1413="Excluded"),"",IF(COUNTIFS($U$5:$U$3004,U1413,$V$5:$V$3004,"&lt;&gt;"&amp;V1413,$V$5:$V$3004,"&lt;&gt;",$V$5:$V$3004,"&lt;&gt;Excluded")&gt;0,"LEAK RISK","OK"))</f>
        <v/>
      </c>
      <c r="Z1413" s="30" t="n"/>
    </row>
    <row r="1414">
      <c r="A1414" s="30" t="n"/>
      <c r="B1414" s="30" t="n"/>
      <c r="C1414" s="30" t="n"/>
      <c r="D1414" s="30" t="n"/>
      <c r="E1414" s="30" t="n"/>
      <c r="F1414" s="30" t="n"/>
      <c r="G1414" s="30" t="n"/>
      <c r="H1414" s="30" t="n"/>
      <c r="I1414" s="31" t="n"/>
      <c r="J1414" s="30" t="n"/>
      <c r="K1414" s="30" t="n"/>
      <c r="L1414" s="30" t="n"/>
      <c r="M1414" s="30" t="n"/>
      <c r="N1414" s="32" t="n"/>
      <c r="O1414" s="30" t="n"/>
      <c r="P1414" s="32" t="n"/>
      <c r="Q1414" s="30" t="n"/>
      <c r="R1414" s="32" t="n"/>
      <c r="S1414" s="30" t="n"/>
      <c r="T1414" s="30" t="n"/>
      <c r="U1414" s="30" t="n"/>
      <c r="V1414" s="30" t="n"/>
      <c r="W1414" s="29">
        <f>IF(H1414="","",IF(H1414="Kenya","Yes","No"))</f>
        <v/>
      </c>
      <c r="X1414" s="29">
        <f>IF(B1414="","",IF(COUNTIF($B$5:$B$3004,B1414)&gt;1,"DUPLICATE","OK"))</f>
        <v/>
      </c>
      <c r="Y1414" s="29">
        <f>IF(OR(U1414="",V1414="",V1414="Excluded"),"",IF(COUNTIFS($U$5:$U$3004,U1414,$V$5:$V$3004,"&lt;&gt;"&amp;V1414,$V$5:$V$3004,"&lt;&gt;",$V$5:$V$3004,"&lt;&gt;Excluded")&gt;0,"LEAK RISK","OK"))</f>
        <v/>
      </c>
      <c r="Z1414" s="30" t="n"/>
    </row>
    <row r="1415">
      <c r="A1415" s="30" t="n"/>
      <c r="B1415" s="30" t="n"/>
      <c r="C1415" s="30" t="n"/>
      <c r="D1415" s="30" t="n"/>
      <c r="E1415" s="30" t="n"/>
      <c r="F1415" s="30" t="n"/>
      <c r="G1415" s="30" t="n"/>
      <c r="H1415" s="30" t="n"/>
      <c r="I1415" s="31" t="n"/>
      <c r="J1415" s="30" t="n"/>
      <c r="K1415" s="30" t="n"/>
      <c r="L1415" s="30" t="n"/>
      <c r="M1415" s="30" t="n"/>
      <c r="N1415" s="32" t="n"/>
      <c r="O1415" s="30" t="n"/>
      <c r="P1415" s="32" t="n"/>
      <c r="Q1415" s="30" t="n"/>
      <c r="R1415" s="32" t="n"/>
      <c r="S1415" s="30" t="n"/>
      <c r="T1415" s="30" t="n"/>
      <c r="U1415" s="30" t="n"/>
      <c r="V1415" s="30" t="n"/>
      <c r="W1415" s="29">
        <f>IF(H1415="","",IF(H1415="Kenya","Yes","No"))</f>
        <v/>
      </c>
      <c r="X1415" s="29">
        <f>IF(B1415="","",IF(COUNTIF($B$5:$B$3004,B1415)&gt;1,"DUPLICATE","OK"))</f>
        <v/>
      </c>
      <c r="Y1415" s="29">
        <f>IF(OR(U1415="",V1415="",V1415="Excluded"),"",IF(COUNTIFS($U$5:$U$3004,U1415,$V$5:$V$3004,"&lt;&gt;"&amp;V1415,$V$5:$V$3004,"&lt;&gt;",$V$5:$V$3004,"&lt;&gt;Excluded")&gt;0,"LEAK RISK","OK"))</f>
        <v/>
      </c>
      <c r="Z1415" s="30" t="n"/>
    </row>
    <row r="1416">
      <c r="A1416" s="30" t="n"/>
      <c r="B1416" s="30" t="n"/>
      <c r="C1416" s="30" t="n"/>
      <c r="D1416" s="30" t="n"/>
      <c r="E1416" s="30" t="n"/>
      <c r="F1416" s="30" t="n"/>
      <c r="G1416" s="30" t="n"/>
      <c r="H1416" s="30" t="n"/>
      <c r="I1416" s="31" t="n"/>
      <c r="J1416" s="30" t="n"/>
      <c r="K1416" s="30" t="n"/>
      <c r="L1416" s="30" t="n"/>
      <c r="M1416" s="30" t="n"/>
      <c r="N1416" s="32" t="n"/>
      <c r="O1416" s="30" t="n"/>
      <c r="P1416" s="32" t="n"/>
      <c r="Q1416" s="30" t="n"/>
      <c r="R1416" s="32" t="n"/>
      <c r="S1416" s="30" t="n"/>
      <c r="T1416" s="30" t="n"/>
      <c r="U1416" s="30" t="n"/>
      <c r="V1416" s="30" t="n"/>
      <c r="W1416" s="29">
        <f>IF(H1416="","",IF(H1416="Kenya","Yes","No"))</f>
        <v/>
      </c>
      <c r="X1416" s="29">
        <f>IF(B1416="","",IF(COUNTIF($B$5:$B$3004,B1416)&gt;1,"DUPLICATE","OK"))</f>
        <v/>
      </c>
      <c r="Y1416" s="29">
        <f>IF(OR(U1416="",V1416="",V1416="Excluded"),"",IF(COUNTIFS($U$5:$U$3004,U1416,$V$5:$V$3004,"&lt;&gt;"&amp;V1416,$V$5:$V$3004,"&lt;&gt;",$V$5:$V$3004,"&lt;&gt;Excluded")&gt;0,"LEAK RISK","OK"))</f>
        <v/>
      </c>
      <c r="Z1416" s="30" t="n"/>
    </row>
    <row r="1417">
      <c r="A1417" s="30" t="n"/>
      <c r="B1417" s="30" t="n"/>
      <c r="C1417" s="30" t="n"/>
      <c r="D1417" s="30" t="n"/>
      <c r="E1417" s="30" t="n"/>
      <c r="F1417" s="30" t="n"/>
      <c r="G1417" s="30" t="n"/>
      <c r="H1417" s="30" t="n"/>
      <c r="I1417" s="31" t="n"/>
      <c r="J1417" s="30" t="n"/>
      <c r="K1417" s="30" t="n"/>
      <c r="L1417" s="30" t="n"/>
      <c r="M1417" s="30" t="n"/>
      <c r="N1417" s="32" t="n"/>
      <c r="O1417" s="30" t="n"/>
      <c r="P1417" s="32" t="n"/>
      <c r="Q1417" s="30" t="n"/>
      <c r="R1417" s="32" t="n"/>
      <c r="S1417" s="30" t="n"/>
      <c r="T1417" s="30" t="n"/>
      <c r="U1417" s="30" t="n"/>
      <c r="V1417" s="30" t="n"/>
      <c r="W1417" s="29">
        <f>IF(H1417="","",IF(H1417="Kenya","Yes","No"))</f>
        <v/>
      </c>
      <c r="X1417" s="29">
        <f>IF(B1417="","",IF(COUNTIF($B$5:$B$3004,B1417)&gt;1,"DUPLICATE","OK"))</f>
        <v/>
      </c>
      <c r="Y1417" s="29">
        <f>IF(OR(U1417="",V1417="",V1417="Excluded"),"",IF(COUNTIFS($U$5:$U$3004,U1417,$V$5:$V$3004,"&lt;&gt;"&amp;V1417,$V$5:$V$3004,"&lt;&gt;",$V$5:$V$3004,"&lt;&gt;Excluded")&gt;0,"LEAK RISK","OK"))</f>
        <v/>
      </c>
      <c r="Z1417" s="30" t="n"/>
    </row>
    <row r="1418">
      <c r="A1418" s="30" t="n"/>
      <c r="B1418" s="30" t="n"/>
      <c r="C1418" s="30" t="n"/>
      <c r="D1418" s="30" t="n"/>
      <c r="E1418" s="30" t="n"/>
      <c r="F1418" s="30" t="n"/>
      <c r="G1418" s="30" t="n"/>
      <c r="H1418" s="30" t="n"/>
      <c r="I1418" s="31" t="n"/>
      <c r="J1418" s="30" t="n"/>
      <c r="K1418" s="30" t="n"/>
      <c r="L1418" s="30" t="n"/>
      <c r="M1418" s="30" t="n"/>
      <c r="N1418" s="32" t="n"/>
      <c r="O1418" s="30" t="n"/>
      <c r="P1418" s="32" t="n"/>
      <c r="Q1418" s="30" t="n"/>
      <c r="R1418" s="32" t="n"/>
      <c r="S1418" s="30" t="n"/>
      <c r="T1418" s="30" t="n"/>
      <c r="U1418" s="30" t="n"/>
      <c r="V1418" s="30" t="n"/>
      <c r="W1418" s="29">
        <f>IF(H1418="","",IF(H1418="Kenya","Yes","No"))</f>
        <v/>
      </c>
      <c r="X1418" s="29">
        <f>IF(B1418="","",IF(COUNTIF($B$5:$B$3004,B1418)&gt;1,"DUPLICATE","OK"))</f>
        <v/>
      </c>
      <c r="Y1418" s="29">
        <f>IF(OR(U1418="",V1418="",V1418="Excluded"),"",IF(COUNTIFS($U$5:$U$3004,U1418,$V$5:$V$3004,"&lt;&gt;"&amp;V1418,$V$5:$V$3004,"&lt;&gt;",$V$5:$V$3004,"&lt;&gt;Excluded")&gt;0,"LEAK RISK","OK"))</f>
        <v/>
      </c>
      <c r="Z1418" s="30" t="n"/>
    </row>
    <row r="1419">
      <c r="A1419" s="30" t="n"/>
      <c r="B1419" s="30" t="n"/>
      <c r="C1419" s="30" t="n"/>
      <c r="D1419" s="30" t="n"/>
      <c r="E1419" s="30" t="n"/>
      <c r="F1419" s="30" t="n"/>
      <c r="G1419" s="30" t="n"/>
      <c r="H1419" s="30" t="n"/>
      <c r="I1419" s="31" t="n"/>
      <c r="J1419" s="30" t="n"/>
      <c r="K1419" s="30" t="n"/>
      <c r="L1419" s="30" t="n"/>
      <c r="M1419" s="30" t="n"/>
      <c r="N1419" s="32" t="n"/>
      <c r="O1419" s="30" t="n"/>
      <c r="P1419" s="32" t="n"/>
      <c r="Q1419" s="30" t="n"/>
      <c r="R1419" s="32" t="n"/>
      <c r="S1419" s="30" t="n"/>
      <c r="T1419" s="30" t="n"/>
      <c r="U1419" s="30" t="n"/>
      <c r="V1419" s="30" t="n"/>
      <c r="W1419" s="29">
        <f>IF(H1419="","",IF(H1419="Kenya","Yes","No"))</f>
        <v/>
      </c>
      <c r="X1419" s="29">
        <f>IF(B1419="","",IF(COUNTIF($B$5:$B$3004,B1419)&gt;1,"DUPLICATE","OK"))</f>
        <v/>
      </c>
      <c r="Y1419" s="29">
        <f>IF(OR(U1419="",V1419="",V1419="Excluded"),"",IF(COUNTIFS($U$5:$U$3004,U1419,$V$5:$V$3004,"&lt;&gt;"&amp;V1419,$V$5:$V$3004,"&lt;&gt;",$V$5:$V$3004,"&lt;&gt;Excluded")&gt;0,"LEAK RISK","OK"))</f>
        <v/>
      </c>
      <c r="Z1419" s="30" t="n"/>
    </row>
    <row r="1420">
      <c r="A1420" s="30" t="n"/>
      <c r="B1420" s="30" t="n"/>
      <c r="C1420" s="30" t="n"/>
      <c r="D1420" s="30" t="n"/>
      <c r="E1420" s="30" t="n"/>
      <c r="F1420" s="30" t="n"/>
      <c r="G1420" s="30" t="n"/>
      <c r="H1420" s="30" t="n"/>
      <c r="I1420" s="31" t="n"/>
      <c r="J1420" s="30" t="n"/>
      <c r="K1420" s="30" t="n"/>
      <c r="L1420" s="30" t="n"/>
      <c r="M1420" s="30" t="n"/>
      <c r="N1420" s="32" t="n"/>
      <c r="O1420" s="30" t="n"/>
      <c r="P1420" s="32" t="n"/>
      <c r="Q1420" s="30" t="n"/>
      <c r="R1420" s="32" t="n"/>
      <c r="S1420" s="30" t="n"/>
      <c r="T1420" s="30" t="n"/>
      <c r="U1420" s="30" t="n"/>
      <c r="V1420" s="30" t="n"/>
      <c r="W1420" s="29">
        <f>IF(H1420="","",IF(H1420="Kenya","Yes","No"))</f>
        <v/>
      </c>
      <c r="X1420" s="29">
        <f>IF(B1420="","",IF(COUNTIF($B$5:$B$3004,B1420)&gt;1,"DUPLICATE","OK"))</f>
        <v/>
      </c>
      <c r="Y1420" s="29">
        <f>IF(OR(U1420="",V1420="",V1420="Excluded"),"",IF(COUNTIFS($U$5:$U$3004,U1420,$V$5:$V$3004,"&lt;&gt;"&amp;V1420,$V$5:$V$3004,"&lt;&gt;",$V$5:$V$3004,"&lt;&gt;Excluded")&gt;0,"LEAK RISK","OK"))</f>
        <v/>
      </c>
      <c r="Z1420" s="30" t="n"/>
    </row>
    <row r="1421">
      <c r="A1421" s="30" t="n"/>
      <c r="B1421" s="30" t="n"/>
      <c r="C1421" s="30" t="n"/>
      <c r="D1421" s="30" t="n"/>
      <c r="E1421" s="30" t="n"/>
      <c r="F1421" s="30" t="n"/>
      <c r="G1421" s="30" t="n"/>
      <c r="H1421" s="30" t="n"/>
      <c r="I1421" s="31" t="n"/>
      <c r="J1421" s="30" t="n"/>
      <c r="K1421" s="30" t="n"/>
      <c r="L1421" s="30" t="n"/>
      <c r="M1421" s="30" t="n"/>
      <c r="N1421" s="32" t="n"/>
      <c r="O1421" s="30" t="n"/>
      <c r="P1421" s="32" t="n"/>
      <c r="Q1421" s="30" t="n"/>
      <c r="R1421" s="32" t="n"/>
      <c r="S1421" s="30" t="n"/>
      <c r="T1421" s="30" t="n"/>
      <c r="U1421" s="30" t="n"/>
      <c r="V1421" s="30" t="n"/>
      <c r="W1421" s="29">
        <f>IF(H1421="","",IF(H1421="Kenya","Yes","No"))</f>
        <v/>
      </c>
      <c r="X1421" s="29">
        <f>IF(B1421="","",IF(COUNTIF($B$5:$B$3004,B1421)&gt;1,"DUPLICATE","OK"))</f>
        <v/>
      </c>
      <c r="Y1421" s="29">
        <f>IF(OR(U1421="",V1421="",V1421="Excluded"),"",IF(COUNTIFS($U$5:$U$3004,U1421,$V$5:$V$3004,"&lt;&gt;"&amp;V1421,$V$5:$V$3004,"&lt;&gt;",$V$5:$V$3004,"&lt;&gt;Excluded")&gt;0,"LEAK RISK","OK"))</f>
        <v/>
      </c>
      <c r="Z1421" s="30" t="n"/>
    </row>
    <row r="1422">
      <c r="A1422" s="30" t="n"/>
      <c r="B1422" s="30" t="n"/>
      <c r="C1422" s="30" t="n"/>
      <c r="D1422" s="30" t="n"/>
      <c r="E1422" s="30" t="n"/>
      <c r="F1422" s="30" t="n"/>
      <c r="G1422" s="30" t="n"/>
      <c r="H1422" s="30" t="n"/>
      <c r="I1422" s="31" t="n"/>
      <c r="J1422" s="30" t="n"/>
      <c r="K1422" s="30" t="n"/>
      <c r="L1422" s="30" t="n"/>
      <c r="M1422" s="30" t="n"/>
      <c r="N1422" s="32" t="n"/>
      <c r="O1422" s="30" t="n"/>
      <c r="P1422" s="32" t="n"/>
      <c r="Q1422" s="30" t="n"/>
      <c r="R1422" s="32" t="n"/>
      <c r="S1422" s="30" t="n"/>
      <c r="T1422" s="30" t="n"/>
      <c r="U1422" s="30" t="n"/>
      <c r="V1422" s="30" t="n"/>
      <c r="W1422" s="29">
        <f>IF(H1422="","",IF(H1422="Kenya","Yes","No"))</f>
        <v/>
      </c>
      <c r="X1422" s="29">
        <f>IF(B1422="","",IF(COUNTIF($B$5:$B$3004,B1422)&gt;1,"DUPLICATE","OK"))</f>
        <v/>
      </c>
      <c r="Y1422" s="29">
        <f>IF(OR(U1422="",V1422="",V1422="Excluded"),"",IF(COUNTIFS($U$5:$U$3004,U1422,$V$5:$V$3004,"&lt;&gt;"&amp;V1422,$V$5:$V$3004,"&lt;&gt;",$V$5:$V$3004,"&lt;&gt;Excluded")&gt;0,"LEAK RISK","OK"))</f>
        <v/>
      </c>
      <c r="Z1422" s="30" t="n"/>
    </row>
    <row r="1423">
      <c r="A1423" s="30" t="n"/>
      <c r="B1423" s="30" t="n"/>
      <c r="C1423" s="30" t="n"/>
      <c r="D1423" s="30" t="n"/>
      <c r="E1423" s="30" t="n"/>
      <c r="F1423" s="30" t="n"/>
      <c r="G1423" s="30" t="n"/>
      <c r="H1423" s="30" t="n"/>
      <c r="I1423" s="31" t="n"/>
      <c r="J1423" s="30" t="n"/>
      <c r="K1423" s="30" t="n"/>
      <c r="L1423" s="30" t="n"/>
      <c r="M1423" s="30" t="n"/>
      <c r="N1423" s="32" t="n"/>
      <c r="O1423" s="30" t="n"/>
      <c r="P1423" s="32" t="n"/>
      <c r="Q1423" s="30" t="n"/>
      <c r="R1423" s="32" t="n"/>
      <c r="S1423" s="30" t="n"/>
      <c r="T1423" s="30" t="n"/>
      <c r="U1423" s="30" t="n"/>
      <c r="V1423" s="30" t="n"/>
      <c r="W1423" s="29">
        <f>IF(H1423="","",IF(H1423="Kenya","Yes","No"))</f>
        <v/>
      </c>
      <c r="X1423" s="29">
        <f>IF(B1423="","",IF(COUNTIF($B$5:$B$3004,B1423)&gt;1,"DUPLICATE","OK"))</f>
        <v/>
      </c>
      <c r="Y1423" s="29">
        <f>IF(OR(U1423="",V1423="",V1423="Excluded"),"",IF(COUNTIFS($U$5:$U$3004,U1423,$V$5:$V$3004,"&lt;&gt;"&amp;V1423,$V$5:$V$3004,"&lt;&gt;",$V$5:$V$3004,"&lt;&gt;Excluded")&gt;0,"LEAK RISK","OK"))</f>
        <v/>
      </c>
      <c r="Z1423" s="30" t="n"/>
    </row>
    <row r="1424">
      <c r="A1424" s="30" t="n"/>
      <c r="B1424" s="30" t="n"/>
      <c r="C1424" s="30" t="n"/>
      <c r="D1424" s="30" t="n"/>
      <c r="E1424" s="30" t="n"/>
      <c r="F1424" s="30" t="n"/>
      <c r="G1424" s="30" t="n"/>
      <c r="H1424" s="30" t="n"/>
      <c r="I1424" s="31" t="n"/>
      <c r="J1424" s="30" t="n"/>
      <c r="K1424" s="30" t="n"/>
      <c r="L1424" s="30" t="n"/>
      <c r="M1424" s="30" t="n"/>
      <c r="N1424" s="32" t="n"/>
      <c r="O1424" s="30" t="n"/>
      <c r="P1424" s="32" t="n"/>
      <c r="Q1424" s="30" t="n"/>
      <c r="R1424" s="32" t="n"/>
      <c r="S1424" s="30" t="n"/>
      <c r="T1424" s="30" t="n"/>
      <c r="U1424" s="30" t="n"/>
      <c r="V1424" s="30" t="n"/>
      <c r="W1424" s="29">
        <f>IF(H1424="","",IF(H1424="Kenya","Yes","No"))</f>
        <v/>
      </c>
      <c r="X1424" s="29">
        <f>IF(B1424="","",IF(COUNTIF($B$5:$B$3004,B1424)&gt;1,"DUPLICATE","OK"))</f>
        <v/>
      </c>
      <c r="Y1424" s="29">
        <f>IF(OR(U1424="",V1424="",V1424="Excluded"),"",IF(COUNTIFS($U$5:$U$3004,U1424,$V$5:$V$3004,"&lt;&gt;"&amp;V1424,$V$5:$V$3004,"&lt;&gt;",$V$5:$V$3004,"&lt;&gt;Excluded")&gt;0,"LEAK RISK","OK"))</f>
        <v/>
      </c>
      <c r="Z1424" s="30" t="n"/>
    </row>
    <row r="1425">
      <c r="A1425" s="30" t="n"/>
      <c r="B1425" s="30" t="n"/>
      <c r="C1425" s="30" t="n"/>
      <c r="D1425" s="30" t="n"/>
      <c r="E1425" s="30" t="n"/>
      <c r="F1425" s="30" t="n"/>
      <c r="G1425" s="30" t="n"/>
      <c r="H1425" s="30" t="n"/>
      <c r="I1425" s="31" t="n"/>
      <c r="J1425" s="30" t="n"/>
      <c r="K1425" s="30" t="n"/>
      <c r="L1425" s="30" t="n"/>
      <c r="M1425" s="30" t="n"/>
      <c r="N1425" s="32" t="n"/>
      <c r="O1425" s="30" t="n"/>
      <c r="P1425" s="32" t="n"/>
      <c r="Q1425" s="30" t="n"/>
      <c r="R1425" s="32" t="n"/>
      <c r="S1425" s="30" t="n"/>
      <c r="T1425" s="30" t="n"/>
      <c r="U1425" s="30" t="n"/>
      <c r="V1425" s="30" t="n"/>
      <c r="W1425" s="29">
        <f>IF(H1425="","",IF(H1425="Kenya","Yes","No"))</f>
        <v/>
      </c>
      <c r="X1425" s="29">
        <f>IF(B1425="","",IF(COUNTIF($B$5:$B$3004,B1425)&gt;1,"DUPLICATE","OK"))</f>
        <v/>
      </c>
      <c r="Y1425" s="29">
        <f>IF(OR(U1425="",V1425="",V1425="Excluded"),"",IF(COUNTIFS($U$5:$U$3004,U1425,$V$5:$V$3004,"&lt;&gt;"&amp;V1425,$V$5:$V$3004,"&lt;&gt;",$V$5:$V$3004,"&lt;&gt;Excluded")&gt;0,"LEAK RISK","OK"))</f>
        <v/>
      </c>
      <c r="Z1425" s="30" t="n"/>
    </row>
    <row r="1426">
      <c r="A1426" s="30" t="n"/>
      <c r="B1426" s="30" t="n"/>
      <c r="C1426" s="30" t="n"/>
      <c r="D1426" s="30" t="n"/>
      <c r="E1426" s="30" t="n"/>
      <c r="F1426" s="30" t="n"/>
      <c r="G1426" s="30" t="n"/>
      <c r="H1426" s="30" t="n"/>
      <c r="I1426" s="31" t="n"/>
      <c r="J1426" s="30" t="n"/>
      <c r="K1426" s="30" t="n"/>
      <c r="L1426" s="30" t="n"/>
      <c r="M1426" s="30" t="n"/>
      <c r="N1426" s="32" t="n"/>
      <c r="O1426" s="30" t="n"/>
      <c r="P1426" s="32" t="n"/>
      <c r="Q1426" s="30" t="n"/>
      <c r="R1426" s="32" t="n"/>
      <c r="S1426" s="30" t="n"/>
      <c r="T1426" s="30" t="n"/>
      <c r="U1426" s="30" t="n"/>
      <c r="V1426" s="30" t="n"/>
      <c r="W1426" s="29">
        <f>IF(H1426="","",IF(H1426="Kenya","Yes","No"))</f>
        <v/>
      </c>
      <c r="X1426" s="29">
        <f>IF(B1426="","",IF(COUNTIF($B$5:$B$3004,B1426)&gt;1,"DUPLICATE","OK"))</f>
        <v/>
      </c>
      <c r="Y1426" s="29">
        <f>IF(OR(U1426="",V1426="",V1426="Excluded"),"",IF(COUNTIFS($U$5:$U$3004,U1426,$V$5:$V$3004,"&lt;&gt;"&amp;V1426,$V$5:$V$3004,"&lt;&gt;",$V$5:$V$3004,"&lt;&gt;Excluded")&gt;0,"LEAK RISK","OK"))</f>
        <v/>
      </c>
      <c r="Z1426" s="30" t="n"/>
    </row>
    <row r="1427">
      <c r="A1427" s="30" t="n"/>
      <c r="B1427" s="30" t="n"/>
      <c r="C1427" s="30" t="n"/>
      <c r="D1427" s="30" t="n"/>
      <c r="E1427" s="30" t="n"/>
      <c r="F1427" s="30" t="n"/>
      <c r="G1427" s="30" t="n"/>
      <c r="H1427" s="30" t="n"/>
      <c r="I1427" s="31" t="n"/>
      <c r="J1427" s="30" t="n"/>
      <c r="K1427" s="30" t="n"/>
      <c r="L1427" s="30" t="n"/>
      <c r="M1427" s="30" t="n"/>
      <c r="N1427" s="32" t="n"/>
      <c r="O1427" s="30" t="n"/>
      <c r="P1427" s="32" t="n"/>
      <c r="Q1427" s="30" t="n"/>
      <c r="R1427" s="32" t="n"/>
      <c r="S1427" s="30" t="n"/>
      <c r="T1427" s="30" t="n"/>
      <c r="U1427" s="30" t="n"/>
      <c r="V1427" s="30" t="n"/>
      <c r="W1427" s="29">
        <f>IF(H1427="","",IF(H1427="Kenya","Yes","No"))</f>
        <v/>
      </c>
      <c r="X1427" s="29">
        <f>IF(B1427="","",IF(COUNTIF($B$5:$B$3004,B1427)&gt;1,"DUPLICATE","OK"))</f>
        <v/>
      </c>
      <c r="Y1427" s="29">
        <f>IF(OR(U1427="",V1427="",V1427="Excluded"),"",IF(COUNTIFS($U$5:$U$3004,U1427,$V$5:$V$3004,"&lt;&gt;"&amp;V1427,$V$5:$V$3004,"&lt;&gt;",$V$5:$V$3004,"&lt;&gt;Excluded")&gt;0,"LEAK RISK","OK"))</f>
        <v/>
      </c>
      <c r="Z1427" s="30" t="n"/>
    </row>
    <row r="1428">
      <c r="A1428" s="30" t="n"/>
      <c r="B1428" s="30" t="n"/>
      <c r="C1428" s="30" t="n"/>
      <c r="D1428" s="30" t="n"/>
      <c r="E1428" s="30" t="n"/>
      <c r="F1428" s="30" t="n"/>
      <c r="G1428" s="30" t="n"/>
      <c r="H1428" s="30" t="n"/>
      <c r="I1428" s="31" t="n"/>
      <c r="J1428" s="30" t="n"/>
      <c r="K1428" s="30" t="n"/>
      <c r="L1428" s="30" t="n"/>
      <c r="M1428" s="30" t="n"/>
      <c r="N1428" s="32" t="n"/>
      <c r="O1428" s="30" t="n"/>
      <c r="P1428" s="32" t="n"/>
      <c r="Q1428" s="30" t="n"/>
      <c r="R1428" s="32" t="n"/>
      <c r="S1428" s="30" t="n"/>
      <c r="T1428" s="30" t="n"/>
      <c r="U1428" s="30" t="n"/>
      <c r="V1428" s="30" t="n"/>
      <c r="W1428" s="29">
        <f>IF(H1428="","",IF(H1428="Kenya","Yes","No"))</f>
        <v/>
      </c>
      <c r="X1428" s="29">
        <f>IF(B1428="","",IF(COUNTIF($B$5:$B$3004,B1428)&gt;1,"DUPLICATE","OK"))</f>
        <v/>
      </c>
      <c r="Y1428" s="29">
        <f>IF(OR(U1428="",V1428="",V1428="Excluded"),"",IF(COUNTIFS($U$5:$U$3004,U1428,$V$5:$V$3004,"&lt;&gt;"&amp;V1428,$V$5:$V$3004,"&lt;&gt;",$V$5:$V$3004,"&lt;&gt;Excluded")&gt;0,"LEAK RISK","OK"))</f>
        <v/>
      </c>
      <c r="Z1428" s="30" t="n"/>
    </row>
    <row r="1429">
      <c r="A1429" s="30" t="n"/>
      <c r="B1429" s="30" t="n"/>
      <c r="C1429" s="30" t="n"/>
      <c r="D1429" s="30" t="n"/>
      <c r="E1429" s="30" t="n"/>
      <c r="F1429" s="30" t="n"/>
      <c r="G1429" s="30" t="n"/>
      <c r="H1429" s="30" t="n"/>
      <c r="I1429" s="31" t="n"/>
      <c r="J1429" s="30" t="n"/>
      <c r="K1429" s="30" t="n"/>
      <c r="L1429" s="30" t="n"/>
      <c r="M1429" s="30" t="n"/>
      <c r="N1429" s="32" t="n"/>
      <c r="O1429" s="30" t="n"/>
      <c r="P1429" s="32" t="n"/>
      <c r="Q1429" s="30" t="n"/>
      <c r="R1429" s="32" t="n"/>
      <c r="S1429" s="30" t="n"/>
      <c r="T1429" s="30" t="n"/>
      <c r="U1429" s="30" t="n"/>
      <c r="V1429" s="30" t="n"/>
      <c r="W1429" s="29">
        <f>IF(H1429="","",IF(H1429="Kenya","Yes","No"))</f>
        <v/>
      </c>
      <c r="X1429" s="29">
        <f>IF(B1429="","",IF(COUNTIF($B$5:$B$3004,B1429)&gt;1,"DUPLICATE","OK"))</f>
        <v/>
      </c>
      <c r="Y1429" s="29">
        <f>IF(OR(U1429="",V1429="",V1429="Excluded"),"",IF(COUNTIFS($U$5:$U$3004,U1429,$V$5:$V$3004,"&lt;&gt;"&amp;V1429,$V$5:$V$3004,"&lt;&gt;",$V$5:$V$3004,"&lt;&gt;Excluded")&gt;0,"LEAK RISK","OK"))</f>
        <v/>
      </c>
      <c r="Z1429" s="30" t="n"/>
    </row>
    <row r="1430">
      <c r="A1430" s="30" t="n"/>
      <c r="B1430" s="30" t="n"/>
      <c r="C1430" s="30" t="n"/>
      <c r="D1430" s="30" t="n"/>
      <c r="E1430" s="30" t="n"/>
      <c r="F1430" s="30" t="n"/>
      <c r="G1430" s="30" t="n"/>
      <c r="H1430" s="30" t="n"/>
      <c r="I1430" s="31" t="n"/>
      <c r="J1430" s="30" t="n"/>
      <c r="K1430" s="30" t="n"/>
      <c r="L1430" s="30" t="n"/>
      <c r="M1430" s="30" t="n"/>
      <c r="N1430" s="32" t="n"/>
      <c r="O1430" s="30" t="n"/>
      <c r="P1430" s="32" t="n"/>
      <c r="Q1430" s="30" t="n"/>
      <c r="R1430" s="32" t="n"/>
      <c r="S1430" s="30" t="n"/>
      <c r="T1430" s="30" t="n"/>
      <c r="U1430" s="30" t="n"/>
      <c r="V1430" s="30" t="n"/>
      <c r="W1430" s="29">
        <f>IF(H1430="","",IF(H1430="Kenya","Yes","No"))</f>
        <v/>
      </c>
      <c r="X1430" s="29">
        <f>IF(B1430="","",IF(COUNTIF($B$5:$B$3004,B1430)&gt;1,"DUPLICATE","OK"))</f>
        <v/>
      </c>
      <c r="Y1430" s="29">
        <f>IF(OR(U1430="",V1430="",V1430="Excluded"),"",IF(COUNTIFS($U$5:$U$3004,U1430,$V$5:$V$3004,"&lt;&gt;"&amp;V1430,$V$5:$V$3004,"&lt;&gt;",$V$5:$V$3004,"&lt;&gt;Excluded")&gt;0,"LEAK RISK","OK"))</f>
        <v/>
      </c>
      <c r="Z1430" s="30" t="n"/>
    </row>
    <row r="1431">
      <c r="A1431" s="30" t="n"/>
      <c r="B1431" s="30" t="n"/>
      <c r="C1431" s="30" t="n"/>
      <c r="D1431" s="30" t="n"/>
      <c r="E1431" s="30" t="n"/>
      <c r="F1431" s="30" t="n"/>
      <c r="G1431" s="30" t="n"/>
      <c r="H1431" s="30" t="n"/>
      <c r="I1431" s="31" t="n"/>
      <c r="J1431" s="30" t="n"/>
      <c r="K1431" s="30" t="n"/>
      <c r="L1431" s="30" t="n"/>
      <c r="M1431" s="30" t="n"/>
      <c r="N1431" s="32" t="n"/>
      <c r="O1431" s="30" t="n"/>
      <c r="P1431" s="32" t="n"/>
      <c r="Q1431" s="30" t="n"/>
      <c r="R1431" s="32" t="n"/>
      <c r="S1431" s="30" t="n"/>
      <c r="T1431" s="30" t="n"/>
      <c r="U1431" s="30" t="n"/>
      <c r="V1431" s="30" t="n"/>
      <c r="W1431" s="29">
        <f>IF(H1431="","",IF(H1431="Kenya","Yes","No"))</f>
        <v/>
      </c>
      <c r="X1431" s="29">
        <f>IF(B1431="","",IF(COUNTIF($B$5:$B$3004,B1431)&gt;1,"DUPLICATE","OK"))</f>
        <v/>
      </c>
      <c r="Y1431" s="29">
        <f>IF(OR(U1431="",V1431="",V1431="Excluded"),"",IF(COUNTIFS($U$5:$U$3004,U1431,$V$5:$V$3004,"&lt;&gt;"&amp;V1431,$V$5:$V$3004,"&lt;&gt;",$V$5:$V$3004,"&lt;&gt;Excluded")&gt;0,"LEAK RISK","OK"))</f>
        <v/>
      </c>
      <c r="Z1431" s="30" t="n"/>
    </row>
    <row r="1432">
      <c r="A1432" s="30" t="n"/>
      <c r="B1432" s="30" t="n"/>
      <c r="C1432" s="30" t="n"/>
      <c r="D1432" s="30" t="n"/>
      <c r="E1432" s="30" t="n"/>
      <c r="F1432" s="30" t="n"/>
      <c r="G1432" s="30" t="n"/>
      <c r="H1432" s="30" t="n"/>
      <c r="I1432" s="31" t="n"/>
      <c r="J1432" s="30" t="n"/>
      <c r="K1432" s="30" t="n"/>
      <c r="L1432" s="30" t="n"/>
      <c r="M1432" s="30" t="n"/>
      <c r="N1432" s="32" t="n"/>
      <c r="O1432" s="30" t="n"/>
      <c r="P1432" s="32" t="n"/>
      <c r="Q1432" s="30" t="n"/>
      <c r="R1432" s="32" t="n"/>
      <c r="S1432" s="30" t="n"/>
      <c r="T1432" s="30" t="n"/>
      <c r="U1432" s="30" t="n"/>
      <c r="V1432" s="30" t="n"/>
      <c r="W1432" s="29">
        <f>IF(H1432="","",IF(H1432="Kenya","Yes","No"))</f>
        <v/>
      </c>
      <c r="X1432" s="29">
        <f>IF(B1432="","",IF(COUNTIF($B$5:$B$3004,B1432)&gt;1,"DUPLICATE","OK"))</f>
        <v/>
      </c>
      <c r="Y1432" s="29">
        <f>IF(OR(U1432="",V1432="",V1432="Excluded"),"",IF(COUNTIFS($U$5:$U$3004,U1432,$V$5:$V$3004,"&lt;&gt;"&amp;V1432,$V$5:$V$3004,"&lt;&gt;",$V$5:$V$3004,"&lt;&gt;Excluded")&gt;0,"LEAK RISK","OK"))</f>
        <v/>
      </c>
      <c r="Z1432" s="30" t="n"/>
    </row>
    <row r="1433">
      <c r="A1433" s="30" t="n"/>
      <c r="B1433" s="30" t="n"/>
      <c r="C1433" s="30" t="n"/>
      <c r="D1433" s="30" t="n"/>
      <c r="E1433" s="30" t="n"/>
      <c r="F1433" s="30" t="n"/>
      <c r="G1433" s="30" t="n"/>
      <c r="H1433" s="30" t="n"/>
      <c r="I1433" s="31" t="n"/>
      <c r="J1433" s="30" t="n"/>
      <c r="K1433" s="30" t="n"/>
      <c r="L1433" s="30" t="n"/>
      <c r="M1433" s="30" t="n"/>
      <c r="N1433" s="32" t="n"/>
      <c r="O1433" s="30" t="n"/>
      <c r="P1433" s="32" t="n"/>
      <c r="Q1433" s="30" t="n"/>
      <c r="R1433" s="32" t="n"/>
      <c r="S1433" s="30" t="n"/>
      <c r="T1433" s="30" t="n"/>
      <c r="U1433" s="30" t="n"/>
      <c r="V1433" s="30" t="n"/>
      <c r="W1433" s="29">
        <f>IF(H1433="","",IF(H1433="Kenya","Yes","No"))</f>
        <v/>
      </c>
      <c r="X1433" s="29">
        <f>IF(B1433="","",IF(COUNTIF($B$5:$B$3004,B1433)&gt;1,"DUPLICATE","OK"))</f>
        <v/>
      </c>
      <c r="Y1433" s="29">
        <f>IF(OR(U1433="",V1433="",V1433="Excluded"),"",IF(COUNTIFS($U$5:$U$3004,U1433,$V$5:$V$3004,"&lt;&gt;"&amp;V1433,$V$5:$V$3004,"&lt;&gt;",$V$5:$V$3004,"&lt;&gt;Excluded")&gt;0,"LEAK RISK","OK"))</f>
        <v/>
      </c>
      <c r="Z1433" s="30" t="n"/>
    </row>
    <row r="1434">
      <c r="A1434" s="30" t="n"/>
      <c r="B1434" s="30" t="n"/>
      <c r="C1434" s="30" t="n"/>
      <c r="D1434" s="30" t="n"/>
      <c r="E1434" s="30" t="n"/>
      <c r="F1434" s="30" t="n"/>
      <c r="G1434" s="30" t="n"/>
      <c r="H1434" s="30" t="n"/>
      <c r="I1434" s="31" t="n"/>
      <c r="J1434" s="30" t="n"/>
      <c r="K1434" s="30" t="n"/>
      <c r="L1434" s="30" t="n"/>
      <c r="M1434" s="30" t="n"/>
      <c r="N1434" s="32" t="n"/>
      <c r="O1434" s="30" t="n"/>
      <c r="P1434" s="32" t="n"/>
      <c r="Q1434" s="30" t="n"/>
      <c r="R1434" s="32" t="n"/>
      <c r="S1434" s="30" t="n"/>
      <c r="T1434" s="30" t="n"/>
      <c r="U1434" s="30" t="n"/>
      <c r="V1434" s="30" t="n"/>
      <c r="W1434" s="29">
        <f>IF(H1434="","",IF(H1434="Kenya","Yes","No"))</f>
        <v/>
      </c>
      <c r="X1434" s="29">
        <f>IF(B1434="","",IF(COUNTIF($B$5:$B$3004,B1434)&gt;1,"DUPLICATE","OK"))</f>
        <v/>
      </c>
      <c r="Y1434" s="29">
        <f>IF(OR(U1434="",V1434="",V1434="Excluded"),"",IF(COUNTIFS($U$5:$U$3004,U1434,$V$5:$V$3004,"&lt;&gt;"&amp;V1434,$V$5:$V$3004,"&lt;&gt;",$V$5:$V$3004,"&lt;&gt;Excluded")&gt;0,"LEAK RISK","OK"))</f>
        <v/>
      </c>
      <c r="Z1434" s="30" t="n"/>
    </row>
    <row r="1435">
      <c r="A1435" s="30" t="n"/>
      <c r="B1435" s="30" t="n"/>
      <c r="C1435" s="30" t="n"/>
      <c r="D1435" s="30" t="n"/>
      <c r="E1435" s="30" t="n"/>
      <c r="F1435" s="30" t="n"/>
      <c r="G1435" s="30" t="n"/>
      <c r="H1435" s="30" t="n"/>
      <c r="I1435" s="31" t="n"/>
      <c r="J1435" s="30" t="n"/>
      <c r="K1435" s="30" t="n"/>
      <c r="L1435" s="30" t="n"/>
      <c r="M1435" s="30" t="n"/>
      <c r="N1435" s="32" t="n"/>
      <c r="O1435" s="30" t="n"/>
      <c r="P1435" s="32" t="n"/>
      <c r="Q1435" s="30" t="n"/>
      <c r="R1435" s="32" t="n"/>
      <c r="S1435" s="30" t="n"/>
      <c r="T1435" s="30" t="n"/>
      <c r="U1435" s="30" t="n"/>
      <c r="V1435" s="30" t="n"/>
      <c r="W1435" s="29">
        <f>IF(H1435="","",IF(H1435="Kenya","Yes","No"))</f>
        <v/>
      </c>
      <c r="X1435" s="29">
        <f>IF(B1435="","",IF(COUNTIF($B$5:$B$3004,B1435)&gt;1,"DUPLICATE","OK"))</f>
        <v/>
      </c>
      <c r="Y1435" s="29">
        <f>IF(OR(U1435="",V1435="",V1435="Excluded"),"",IF(COUNTIFS($U$5:$U$3004,U1435,$V$5:$V$3004,"&lt;&gt;"&amp;V1435,$V$5:$V$3004,"&lt;&gt;",$V$5:$V$3004,"&lt;&gt;Excluded")&gt;0,"LEAK RISK","OK"))</f>
        <v/>
      </c>
      <c r="Z1435" s="30" t="n"/>
    </row>
    <row r="1436">
      <c r="A1436" s="30" t="n"/>
      <c r="B1436" s="30" t="n"/>
      <c r="C1436" s="30" t="n"/>
      <c r="D1436" s="30" t="n"/>
      <c r="E1436" s="30" t="n"/>
      <c r="F1436" s="30" t="n"/>
      <c r="G1436" s="30" t="n"/>
      <c r="H1436" s="30" t="n"/>
      <c r="I1436" s="31" t="n"/>
      <c r="J1436" s="30" t="n"/>
      <c r="K1436" s="30" t="n"/>
      <c r="L1436" s="30" t="n"/>
      <c r="M1436" s="30" t="n"/>
      <c r="N1436" s="32" t="n"/>
      <c r="O1436" s="30" t="n"/>
      <c r="P1436" s="32" t="n"/>
      <c r="Q1436" s="30" t="n"/>
      <c r="R1436" s="32" t="n"/>
      <c r="S1436" s="30" t="n"/>
      <c r="T1436" s="30" t="n"/>
      <c r="U1436" s="30" t="n"/>
      <c r="V1436" s="30" t="n"/>
      <c r="W1436" s="29">
        <f>IF(H1436="","",IF(H1436="Kenya","Yes","No"))</f>
        <v/>
      </c>
      <c r="X1436" s="29">
        <f>IF(B1436="","",IF(COUNTIF($B$5:$B$3004,B1436)&gt;1,"DUPLICATE","OK"))</f>
        <v/>
      </c>
      <c r="Y1436" s="29">
        <f>IF(OR(U1436="",V1436="",V1436="Excluded"),"",IF(COUNTIFS($U$5:$U$3004,U1436,$V$5:$V$3004,"&lt;&gt;"&amp;V1436,$V$5:$V$3004,"&lt;&gt;",$V$5:$V$3004,"&lt;&gt;Excluded")&gt;0,"LEAK RISK","OK"))</f>
        <v/>
      </c>
      <c r="Z1436" s="30" t="n"/>
    </row>
    <row r="1437">
      <c r="A1437" s="30" t="n"/>
      <c r="B1437" s="30" t="n"/>
      <c r="C1437" s="30" t="n"/>
      <c r="D1437" s="30" t="n"/>
      <c r="E1437" s="30" t="n"/>
      <c r="F1437" s="30" t="n"/>
      <c r="G1437" s="30" t="n"/>
      <c r="H1437" s="30" t="n"/>
      <c r="I1437" s="31" t="n"/>
      <c r="J1437" s="30" t="n"/>
      <c r="K1437" s="30" t="n"/>
      <c r="L1437" s="30" t="n"/>
      <c r="M1437" s="30" t="n"/>
      <c r="N1437" s="32" t="n"/>
      <c r="O1437" s="30" t="n"/>
      <c r="P1437" s="32" t="n"/>
      <c r="Q1437" s="30" t="n"/>
      <c r="R1437" s="32" t="n"/>
      <c r="S1437" s="30" t="n"/>
      <c r="T1437" s="30" t="n"/>
      <c r="U1437" s="30" t="n"/>
      <c r="V1437" s="30" t="n"/>
      <c r="W1437" s="29">
        <f>IF(H1437="","",IF(H1437="Kenya","Yes","No"))</f>
        <v/>
      </c>
      <c r="X1437" s="29">
        <f>IF(B1437="","",IF(COUNTIF($B$5:$B$3004,B1437)&gt;1,"DUPLICATE","OK"))</f>
        <v/>
      </c>
      <c r="Y1437" s="29">
        <f>IF(OR(U1437="",V1437="",V1437="Excluded"),"",IF(COUNTIFS($U$5:$U$3004,U1437,$V$5:$V$3004,"&lt;&gt;"&amp;V1437,$V$5:$V$3004,"&lt;&gt;",$V$5:$V$3004,"&lt;&gt;Excluded")&gt;0,"LEAK RISK","OK"))</f>
        <v/>
      </c>
      <c r="Z1437" s="30" t="n"/>
    </row>
    <row r="1438">
      <c r="A1438" s="30" t="n"/>
      <c r="B1438" s="30" t="n"/>
      <c r="C1438" s="30" t="n"/>
      <c r="D1438" s="30" t="n"/>
      <c r="E1438" s="30" t="n"/>
      <c r="F1438" s="30" t="n"/>
      <c r="G1438" s="30" t="n"/>
      <c r="H1438" s="30" t="n"/>
      <c r="I1438" s="31" t="n"/>
      <c r="J1438" s="30" t="n"/>
      <c r="K1438" s="30" t="n"/>
      <c r="L1438" s="30" t="n"/>
      <c r="M1438" s="30" t="n"/>
      <c r="N1438" s="32" t="n"/>
      <c r="O1438" s="30" t="n"/>
      <c r="P1438" s="32" t="n"/>
      <c r="Q1438" s="30" t="n"/>
      <c r="R1438" s="32" t="n"/>
      <c r="S1438" s="30" t="n"/>
      <c r="T1438" s="30" t="n"/>
      <c r="U1438" s="30" t="n"/>
      <c r="V1438" s="30" t="n"/>
      <c r="W1438" s="29">
        <f>IF(H1438="","",IF(H1438="Kenya","Yes","No"))</f>
        <v/>
      </c>
      <c r="X1438" s="29">
        <f>IF(B1438="","",IF(COUNTIF($B$5:$B$3004,B1438)&gt;1,"DUPLICATE","OK"))</f>
        <v/>
      </c>
      <c r="Y1438" s="29">
        <f>IF(OR(U1438="",V1438="",V1438="Excluded"),"",IF(COUNTIFS($U$5:$U$3004,U1438,$V$5:$V$3004,"&lt;&gt;"&amp;V1438,$V$5:$V$3004,"&lt;&gt;",$V$5:$V$3004,"&lt;&gt;Excluded")&gt;0,"LEAK RISK","OK"))</f>
        <v/>
      </c>
      <c r="Z1438" s="30" t="n"/>
    </row>
    <row r="1439">
      <c r="A1439" s="30" t="n"/>
      <c r="B1439" s="30" t="n"/>
      <c r="C1439" s="30" t="n"/>
      <c r="D1439" s="30" t="n"/>
      <c r="E1439" s="30" t="n"/>
      <c r="F1439" s="30" t="n"/>
      <c r="G1439" s="30" t="n"/>
      <c r="H1439" s="30" t="n"/>
      <c r="I1439" s="31" t="n"/>
      <c r="J1439" s="30" t="n"/>
      <c r="K1439" s="30" t="n"/>
      <c r="L1439" s="30" t="n"/>
      <c r="M1439" s="30" t="n"/>
      <c r="N1439" s="32" t="n"/>
      <c r="O1439" s="30" t="n"/>
      <c r="P1439" s="32" t="n"/>
      <c r="Q1439" s="30" t="n"/>
      <c r="R1439" s="32" t="n"/>
      <c r="S1439" s="30" t="n"/>
      <c r="T1439" s="30" t="n"/>
      <c r="U1439" s="30" t="n"/>
      <c r="V1439" s="30" t="n"/>
      <c r="W1439" s="29">
        <f>IF(H1439="","",IF(H1439="Kenya","Yes","No"))</f>
        <v/>
      </c>
      <c r="X1439" s="29">
        <f>IF(B1439="","",IF(COUNTIF($B$5:$B$3004,B1439)&gt;1,"DUPLICATE","OK"))</f>
        <v/>
      </c>
      <c r="Y1439" s="29">
        <f>IF(OR(U1439="",V1439="",V1439="Excluded"),"",IF(COUNTIFS($U$5:$U$3004,U1439,$V$5:$V$3004,"&lt;&gt;"&amp;V1439,$V$5:$V$3004,"&lt;&gt;",$V$5:$V$3004,"&lt;&gt;Excluded")&gt;0,"LEAK RISK","OK"))</f>
        <v/>
      </c>
      <c r="Z1439" s="30" t="n"/>
    </row>
    <row r="1440">
      <c r="A1440" s="30" t="n"/>
      <c r="B1440" s="30" t="n"/>
      <c r="C1440" s="30" t="n"/>
      <c r="D1440" s="30" t="n"/>
      <c r="E1440" s="30" t="n"/>
      <c r="F1440" s="30" t="n"/>
      <c r="G1440" s="30" t="n"/>
      <c r="H1440" s="30" t="n"/>
      <c r="I1440" s="31" t="n"/>
      <c r="J1440" s="30" t="n"/>
      <c r="K1440" s="30" t="n"/>
      <c r="L1440" s="30" t="n"/>
      <c r="M1440" s="30" t="n"/>
      <c r="N1440" s="32" t="n"/>
      <c r="O1440" s="30" t="n"/>
      <c r="P1440" s="32" t="n"/>
      <c r="Q1440" s="30" t="n"/>
      <c r="R1440" s="32" t="n"/>
      <c r="S1440" s="30" t="n"/>
      <c r="T1440" s="30" t="n"/>
      <c r="U1440" s="30" t="n"/>
      <c r="V1440" s="30" t="n"/>
      <c r="W1440" s="29">
        <f>IF(H1440="","",IF(H1440="Kenya","Yes","No"))</f>
        <v/>
      </c>
      <c r="X1440" s="29">
        <f>IF(B1440="","",IF(COUNTIF($B$5:$B$3004,B1440)&gt;1,"DUPLICATE","OK"))</f>
        <v/>
      </c>
      <c r="Y1440" s="29">
        <f>IF(OR(U1440="",V1440="",V1440="Excluded"),"",IF(COUNTIFS($U$5:$U$3004,U1440,$V$5:$V$3004,"&lt;&gt;"&amp;V1440,$V$5:$V$3004,"&lt;&gt;",$V$5:$V$3004,"&lt;&gt;Excluded")&gt;0,"LEAK RISK","OK"))</f>
        <v/>
      </c>
      <c r="Z1440" s="30" t="n"/>
    </row>
    <row r="1441">
      <c r="A1441" s="30" t="n"/>
      <c r="B1441" s="30" t="n"/>
      <c r="C1441" s="30" t="n"/>
      <c r="D1441" s="30" t="n"/>
      <c r="E1441" s="30" t="n"/>
      <c r="F1441" s="30" t="n"/>
      <c r="G1441" s="30" t="n"/>
      <c r="H1441" s="30" t="n"/>
      <c r="I1441" s="31" t="n"/>
      <c r="J1441" s="30" t="n"/>
      <c r="K1441" s="30" t="n"/>
      <c r="L1441" s="30" t="n"/>
      <c r="M1441" s="30" t="n"/>
      <c r="N1441" s="32" t="n"/>
      <c r="O1441" s="30" t="n"/>
      <c r="P1441" s="32" t="n"/>
      <c r="Q1441" s="30" t="n"/>
      <c r="R1441" s="32" t="n"/>
      <c r="S1441" s="30" t="n"/>
      <c r="T1441" s="30" t="n"/>
      <c r="U1441" s="30" t="n"/>
      <c r="V1441" s="30" t="n"/>
      <c r="W1441" s="29">
        <f>IF(H1441="","",IF(H1441="Kenya","Yes","No"))</f>
        <v/>
      </c>
      <c r="X1441" s="29">
        <f>IF(B1441="","",IF(COUNTIF($B$5:$B$3004,B1441)&gt;1,"DUPLICATE","OK"))</f>
        <v/>
      </c>
      <c r="Y1441" s="29">
        <f>IF(OR(U1441="",V1441="",V1441="Excluded"),"",IF(COUNTIFS($U$5:$U$3004,U1441,$V$5:$V$3004,"&lt;&gt;"&amp;V1441,$V$5:$V$3004,"&lt;&gt;",$V$5:$V$3004,"&lt;&gt;Excluded")&gt;0,"LEAK RISK","OK"))</f>
        <v/>
      </c>
      <c r="Z1441" s="30" t="n"/>
    </row>
    <row r="1442">
      <c r="A1442" s="30" t="n"/>
      <c r="B1442" s="30" t="n"/>
      <c r="C1442" s="30" t="n"/>
      <c r="D1442" s="30" t="n"/>
      <c r="E1442" s="30" t="n"/>
      <c r="F1442" s="30" t="n"/>
      <c r="G1442" s="30" t="n"/>
      <c r="H1442" s="30" t="n"/>
      <c r="I1442" s="31" t="n"/>
      <c r="J1442" s="30" t="n"/>
      <c r="K1442" s="30" t="n"/>
      <c r="L1442" s="30" t="n"/>
      <c r="M1442" s="30" t="n"/>
      <c r="N1442" s="32" t="n"/>
      <c r="O1442" s="30" t="n"/>
      <c r="P1442" s="32" t="n"/>
      <c r="Q1442" s="30" t="n"/>
      <c r="R1442" s="32" t="n"/>
      <c r="S1442" s="30" t="n"/>
      <c r="T1442" s="30" t="n"/>
      <c r="U1442" s="30" t="n"/>
      <c r="V1442" s="30" t="n"/>
      <c r="W1442" s="29">
        <f>IF(H1442="","",IF(H1442="Kenya","Yes","No"))</f>
        <v/>
      </c>
      <c r="X1442" s="29">
        <f>IF(B1442="","",IF(COUNTIF($B$5:$B$3004,B1442)&gt;1,"DUPLICATE","OK"))</f>
        <v/>
      </c>
      <c r="Y1442" s="29">
        <f>IF(OR(U1442="",V1442="",V1442="Excluded"),"",IF(COUNTIFS($U$5:$U$3004,U1442,$V$5:$V$3004,"&lt;&gt;"&amp;V1442,$V$5:$V$3004,"&lt;&gt;",$V$5:$V$3004,"&lt;&gt;Excluded")&gt;0,"LEAK RISK","OK"))</f>
        <v/>
      </c>
      <c r="Z1442" s="30" t="n"/>
    </row>
    <row r="1443">
      <c r="A1443" s="30" t="n"/>
      <c r="B1443" s="30" t="n"/>
      <c r="C1443" s="30" t="n"/>
      <c r="D1443" s="30" t="n"/>
      <c r="E1443" s="30" t="n"/>
      <c r="F1443" s="30" t="n"/>
      <c r="G1443" s="30" t="n"/>
      <c r="H1443" s="30" t="n"/>
      <c r="I1443" s="31" t="n"/>
      <c r="J1443" s="30" t="n"/>
      <c r="K1443" s="30" t="n"/>
      <c r="L1443" s="30" t="n"/>
      <c r="M1443" s="30" t="n"/>
      <c r="N1443" s="32" t="n"/>
      <c r="O1443" s="30" t="n"/>
      <c r="P1443" s="32" t="n"/>
      <c r="Q1443" s="30" t="n"/>
      <c r="R1443" s="32" t="n"/>
      <c r="S1443" s="30" t="n"/>
      <c r="T1443" s="30" t="n"/>
      <c r="U1443" s="30" t="n"/>
      <c r="V1443" s="30" t="n"/>
      <c r="W1443" s="29">
        <f>IF(H1443="","",IF(H1443="Kenya","Yes","No"))</f>
        <v/>
      </c>
      <c r="X1443" s="29">
        <f>IF(B1443="","",IF(COUNTIF($B$5:$B$3004,B1443)&gt;1,"DUPLICATE","OK"))</f>
        <v/>
      </c>
      <c r="Y1443" s="29">
        <f>IF(OR(U1443="",V1443="",V1443="Excluded"),"",IF(COUNTIFS($U$5:$U$3004,U1443,$V$5:$V$3004,"&lt;&gt;"&amp;V1443,$V$5:$V$3004,"&lt;&gt;",$V$5:$V$3004,"&lt;&gt;Excluded")&gt;0,"LEAK RISK","OK"))</f>
        <v/>
      </c>
      <c r="Z1443" s="30" t="n"/>
    </row>
    <row r="1444">
      <c r="A1444" s="30" t="n"/>
      <c r="B1444" s="30" t="n"/>
      <c r="C1444" s="30" t="n"/>
      <c r="D1444" s="30" t="n"/>
      <c r="E1444" s="30" t="n"/>
      <c r="F1444" s="30" t="n"/>
      <c r="G1444" s="30" t="n"/>
      <c r="H1444" s="30" t="n"/>
      <c r="I1444" s="31" t="n"/>
      <c r="J1444" s="30" t="n"/>
      <c r="K1444" s="30" t="n"/>
      <c r="L1444" s="30" t="n"/>
      <c r="M1444" s="30" t="n"/>
      <c r="N1444" s="32" t="n"/>
      <c r="O1444" s="30" t="n"/>
      <c r="P1444" s="32" t="n"/>
      <c r="Q1444" s="30" t="n"/>
      <c r="R1444" s="32" t="n"/>
      <c r="S1444" s="30" t="n"/>
      <c r="T1444" s="30" t="n"/>
      <c r="U1444" s="30" t="n"/>
      <c r="V1444" s="30" t="n"/>
      <c r="W1444" s="29">
        <f>IF(H1444="","",IF(H1444="Kenya","Yes","No"))</f>
        <v/>
      </c>
      <c r="X1444" s="29">
        <f>IF(B1444="","",IF(COUNTIF($B$5:$B$3004,B1444)&gt;1,"DUPLICATE","OK"))</f>
        <v/>
      </c>
      <c r="Y1444" s="29">
        <f>IF(OR(U1444="",V1444="",V1444="Excluded"),"",IF(COUNTIFS($U$5:$U$3004,U1444,$V$5:$V$3004,"&lt;&gt;"&amp;V1444,$V$5:$V$3004,"&lt;&gt;",$V$5:$V$3004,"&lt;&gt;Excluded")&gt;0,"LEAK RISK","OK"))</f>
        <v/>
      </c>
      <c r="Z1444" s="30" t="n"/>
    </row>
    <row r="1445">
      <c r="A1445" s="30" t="n"/>
      <c r="B1445" s="30" t="n"/>
      <c r="C1445" s="30" t="n"/>
      <c r="D1445" s="30" t="n"/>
      <c r="E1445" s="30" t="n"/>
      <c r="F1445" s="30" t="n"/>
      <c r="G1445" s="30" t="n"/>
      <c r="H1445" s="30" t="n"/>
      <c r="I1445" s="31" t="n"/>
      <c r="J1445" s="30" t="n"/>
      <c r="K1445" s="30" t="n"/>
      <c r="L1445" s="30" t="n"/>
      <c r="M1445" s="30" t="n"/>
      <c r="N1445" s="32" t="n"/>
      <c r="O1445" s="30" t="n"/>
      <c r="P1445" s="32" t="n"/>
      <c r="Q1445" s="30" t="n"/>
      <c r="R1445" s="32" t="n"/>
      <c r="S1445" s="30" t="n"/>
      <c r="T1445" s="30" t="n"/>
      <c r="U1445" s="30" t="n"/>
      <c r="V1445" s="30" t="n"/>
      <c r="W1445" s="29">
        <f>IF(H1445="","",IF(H1445="Kenya","Yes","No"))</f>
        <v/>
      </c>
      <c r="X1445" s="29">
        <f>IF(B1445="","",IF(COUNTIF($B$5:$B$3004,B1445)&gt;1,"DUPLICATE","OK"))</f>
        <v/>
      </c>
      <c r="Y1445" s="29">
        <f>IF(OR(U1445="",V1445="",V1445="Excluded"),"",IF(COUNTIFS($U$5:$U$3004,U1445,$V$5:$V$3004,"&lt;&gt;"&amp;V1445,$V$5:$V$3004,"&lt;&gt;",$V$5:$V$3004,"&lt;&gt;Excluded")&gt;0,"LEAK RISK","OK"))</f>
        <v/>
      </c>
      <c r="Z1445" s="30" t="n"/>
    </row>
    <row r="1446">
      <c r="A1446" s="30" t="n"/>
      <c r="B1446" s="30" t="n"/>
      <c r="C1446" s="30" t="n"/>
      <c r="D1446" s="30" t="n"/>
      <c r="E1446" s="30" t="n"/>
      <c r="F1446" s="30" t="n"/>
      <c r="G1446" s="30" t="n"/>
      <c r="H1446" s="30" t="n"/>
      <c r="I1446" s="31" t="n"/>
      <c r="J1446" s="30" t="n"/>
      <c r="K1446" s="30" t="n"/>
      <c r="L1446" s="30" t="n"/>
      <c r="M1446" s="30" t="n"/>
      <c r="N1446" s="32" t="n"/>
      <c r="O1446" s="30" t="n"/>
      <c r="P1446" s="32" t="n"/>
      <c r="Q1446" s="30" t="n"/>
      <c r="R1446" s="32" t="n"/>
      <c r="S1446" s="30" t="n"/>
      <c r="T1446" s="30" t="n"/>
      <c r="U1446" s="30" t="n"/>
      <c r="V1446" s="30" t="n"/>
      <c r="W1446" s="29">
        <f>IF(H1446="","",IF(H1446="Kenya","Yes","No"))</f>
        <v/>
      </c>
      <c r="X1446" s="29">
        <f>IF(B1446="","",IF(COUNTIF($B$5:$B$3004,B1446)&gt;1,"DUPLICATE","OK"))</f>
        <v/>
      </c>
      <c r="Y1446" s="29">
        <f>IF(OR(U1446="",V1446="",V1446="Excluded"),"",IF(COUNTIFS($U$5:$U$3004,U1446,$V$5:$V$3004,"&lt;&gt;"&amp;V1446,$V$5:$V$3004,"&lt;&gt;",$V$5:$V$3004,"&lt;&gt;Excluded")&gt;0,"LEAK RISK","OK"))</f>
        <v/>
      </c>
      <c r="Z1446" s="30" t="n"/>
    </row>
    <row r="1447">
      <c r="A1447" s="30" t="n"/>
      <c r="B1447" s="30" t="n"/>
      <c r="C1447" s="30" t="n"/>
      <c r="D1447" s="30" t="n"/>
      <c r="E1447" s="30" t="n"/>
      <c r="F1447" s="30" t="n"/>
      <c r="G1447" s="30" t="n"/>
      <c r="H1447" s="30" t="n"/>
      <c r="I1447" s="31" t="n"/>
      <c r="J1447" s="30" t="n"/>
      <c r="K1447" s="30" t="n"/>
      <c r="L1447" s="30" t="n"/>
      <c r="M1447" s="30" t="n"/>
      <c r="N1447" s="32" t="n"/>
      <c r="O1447" s="30" t="n"/>
      <c r="P1447" s="32" t="n"/>
      <c r="Q1447" s="30" t="n"/>
      <c r="R1447" s="32" t="n"/>
      <c r="S1447" s="30" t="n"/>
      <c r="T1447" s="30" t="n"/>
      <c r="U1447" s="30" t="n"/>
      <c r="V1447" s="30" t="n"/>
      <c r="W1447" s="29">
        <f>IF(H1447="","",IF(H1447="Kenya","Yes","No"))</f>
        <v/>
      </c>
      <c r="X1447" s="29">
        <f>IF(B1447="","",IF(COUNTIF($B$5:$B$3004,B1447)&gt;1,"DUPLICATE","OK"))</f>
        <v/>
      </c>
      <c r="Y1447" s="29">
        <f>IF(OR(U1447="",V1447="",V1447="Excluded"),"",IF(COUNTIFS($U$5:$U$3004,U1447,$V$5:$V$3004,"&lt;&gt;"&amp;V1447,$V$5:$V$3004,"&lt;&gt;",$V$5:$V$3004,"&lt;&gt;Excluded")&gt;0,"LEAK RISK","OK"))</f>
        <v/>
      </c>
      <c r="Z1447" s="30" t="n"/>
    </row>
    <row r="1448">
      <c r="A1448" s="30" t="n"/>
      <c r="B1448" s="30" t="n"/>
      <c r="C1448" s="30" t="n"/>
      <c r="D1448" s="30" t="n"/>
      <c r="E1448" s="30" t="n"/>
      <c r="F1448" s="30" t="n"/>
      <c r="G1448" s="30" t="n"/>
      <c r="H1448" s="30" t="n"/>
      <c r="I1448" s="31" t="n"/>
      <c r="J1448" s="30" t="n"/>
      <c r="K1448" s="30" t="n"/>
      <c r="L1448" s="30" t="n"/>
      <c r="M1448" s="30" t="n"/>
      <c r="N1448" s="32" t="n"/>
      <c r="O1448" s="30" t="n"/>
      <c r="P1448" s="32" t="n"/>
      <c r="Q1448" s="30" t="n"/>
      <c r="R1448" s="32" t="n"/>
      <c r="S1448" s="30" t="n"/>
      <c r="T1448" s="30" t="n"/>
      <c r="U1448" s="30" t="n"/>
      <c r="V1448" s="30" t="n"/>
      <c r="W1448" s="29">
        <f>IF(H1448="","",IF(H1448="Kenya","Yes","No"))</f>
        <v/>
      </c>
      <c r="X1448" s="29">
        <f>IF(B1448="","",IF(COUNTIF($B$5:$B$3004,B1448)&gt;1,"DUPLICATE","OK"))</f>
        <v/>
      </c>
      <c r="Y1448" s="29">
        <f>IF(OR(U1448="",V1448="",V1448="Excluded"),"",IF(COUNTIFS($U$5:$U$3004,U1448,$V$5:$V$3004,"&lt;&gt;"&amp;V1448,$V$5:$V$3004,"&lt;&gt;",$V$5:$V$3004,"&lt;&gt;Excluded")&gt;0,"LEAK RISK","OK"))</f>
        <v/>
      </c>
      <c r="Z1448" s="30" t="n"/>
    </row>
    <row r="1449">
      <c r="A1449" s="30" t="n"/>
      <c r="B1449" s="30" t="n"/>
      <c r="C1449" s="30" t="n"/>
      <c r="D1449" s="30" t="n"/>
      <c r="E1449" s="30" t="n"/>
      <c r="F1449" s="30" t="n"/>
      <c r="G1449" s="30" t="n"/>
      <c r="H1449" s="30" t="n"/>
      <c r="I1449" s="31" t="n"/>
      <c r="J1449" s="30" t="n"/>
      <c r="K1449" s="30" t="n"/>
      <c r="L1449" s="30" t="n"/>
      <c r="M1449" s="30" t="n"/>
      <c r="N1449" s="32" t="n"/>
      <c r="O1449" s="30" t="n"/>
      <c r="P1449" s="32" t="n"/>
      <c r="Q1449" s="30" t="n"/>
      <c r="R1449" s="32" t="n"/>
      <c r="S1449" s="30" t="n"/>
      <c r="T1449" s="30" t="n"/>
      <c r="U1449" s="30" t="n"/>
      <c r="V1449" s="30" t="n"/>
      <c r="W1449" s="29">
        <f>IF(H1449="","",IF(H1449="Kenya","Yes","No"))</f>
        <v/>
      </c>
      <c r="X1449" s="29">
        <f>IF(B1449="","",IF(COUNTIF($B$5:$B$3004,B1449)&gt;1,"DUPLICATE","OK"))</f>
        <v/>
      </c>
      <c r="Y1449" s="29">
        <f>IF(OR(U1449="",V1449="",V1449="Excluded"),"",IF(COUNTIFS($U$5:$U$3004,U1449,$V$5:$V$3004,"&lt;&gt;"&amp;V1449,$V$5:$V$3004,"&lt;&gt;",$V$5:$V$3004,"&lt;&gt;Excluded")&gt;0,"LEAK RISK","OK"))</f>
        <v/>
      </c>
      <c r="Z1449" s="30" t="n"/>
    </row>
    <row r="1450">
      <c r="A1450" s="30" t="n"/>
      <c r="B1450" s="30" t="n"/>
      <c r="C1450" s="30" t="n"/>
      <c r="D1450" s="30" t="n"/>
      <c r="E1450" s="30" t="n"/>
      <c r="F1450" s="30" t="n"/>
      <c r="G1450" s="30" t="n"/>
      <c r="H1450" s="30" t="n"/>
      <c r="I1450" s="31" t="n"/>
      <c r="J1450" s="30" t="n"/>
      <c r="K1450" s="30" t="n"/>
      <c r="L1450" s="30" t="n"/>
      <c r="M1450" s="30" t="n"/>
      <c r="N1450" s="32" t="n"/>
      <c r="O1450" s="30" t="n"/>
      <c r="P1450" s="32" t="n"/>
      <c r="Q1450" s="30" t="n"/>
      <c r="R1450" s="32" t="n"/>
      <c r="S1450" s="30" t="n"/>
      <c r="T1450" s="30" t="n"/>
      <c r="U1450" s="30" t="n"/>
      <c r="V1450" s="30" t="n"/>
      <c r="W1450" s="29">
        <f>IF(H1450="","",IF(H1450="Kenya","Yes","No"))</f>
        <v/>
      </c>
      <c r="X1450" s="29">
        <f>IF(B1450="","",IF(COUNTIF($B$5:$B$3004,B1450)&gt;1,"DUPLICATE","OK"))</f>
        <v/>
      </c>
      <c r="Y1450" s="29">
        <f>IF(OR(U1450="",V1450="",V1450="Excluded"),"",IF(COUNTIFS($U$5:$U$3004,U1450,$V$5:$V$3004,"&lt;&gt;"&amp;V1450,$V$5:$V$3004,"&lt;&gt;",$V$5:$V$3004,"&lt;&gt;Excluded")&gt;0,"LEAK RISK","OK"))</f>
        <v/>
      </c>
      <c r="Z1450" s="30" t="n"/>
    </row>
    <row r="1451">
      <c r="A1451" s="30" t="n"/>
      <c r="B1451" s="30" t="n"/>
      <c r="C1451" s="30" t="n"/>
      <c r="D1451" s="30" t="n"/>
      <c r="E1451" s="30" t="n"/>
      <c r="F1451" s="30" t="n"/>
      <c r="G1451" s="30" t="n"/>
      <c r="H1451" s="30" t="n"/>
      <c r="I1451" s="31" t="n"/>
      <c r="J1451" s="30" t="n"/>
      <c r="K1451" s="30" t="n"/>
      <c r="L1451" s="30" t="n"/>
      <c r="M1451" s="30" t="n"/>
      <c r="N1451" s="32" t="n"/>
      <c r="O1451" s="30" t="n"/>
      <c r="P1451" s="32" t="n"/>
      <c r="Q1451" s="30" t="n"/>
      <c r="R1451" s="32" t="n"/>
      <c r="S1451" s="30" t="n"/>
      <c r="T1451" s="30" t="n"/>
      <c r="U1451" s="30" t="n"/>
      <c r="V1451" s="30" t="n"/>
      <c r="W1451" s="29">
        <f>IF(H1451="","",IF(H1451="Kenya","Yes","No"))</f>
        <v/>
      </c>
      <c r="X1451" s="29">
        <f>IF(B1451="","",IF(COUNTIF($B$5:$B$3004,B1451)&gt;1,"DUPLICATE","OK"))</f>
        <v/>
      </c>
      <c r="Y1451" s="29">
        <f>IF(OR(U1451="",V1451="",V1451="Excluded"),"",IF(COUNTIFS($U$5:$U$3004,U1451,$V$5:$V$3004,"&lt;&gt;"&amp;V1451,$V$5:$V$3004,"&lt;&gt;",$V$5:$V$3004,"&lt;&gt;Excluded")&gt;0,"LEAK RISK","OK"))</f>
        <v/>
      </c>
      <c r="Z1451" s="30" t="n"/>
    </row>
    <row r="1452">
      <c r="A1452" s="30" t="n"/>
      <c r="B1452" s="30" t="n"/>
      <c r="C1452" s="30" t="n"/>
      <c r="D1452" s="30" t="n"/>
      <c r="E1452" s="30" t="n"/>
      <c r="F1452" s="30" t="n"/>
      <c r="G1452" s="30" t="n"/>
      <c r="H1452" s="30" t="n"/>
      <c r="I1452" s="31" t="n"/>
      <c r="J1452" s="30" t="n"/>
      <c r="K1452" s="30" t="n"/>
      <c r="L1452" s="30" t="n"/>
      <c r="M1452" s="30" t="n"/>
      <c r="N1452" s="32" t="n"/>
      <c r="O1452" s="30" t="n"/>
      <c r="P1452" s="32" t="n"/>
      <c r="Q1452" s="30" t="n"/>
      <c r="R1452" s="32" t="n"/>
      <c r="S1452" s="30" t="n"/>
      <c r="T1452" s="30" t="n"/>
      <c r="U1452" s="30" t="n"/>
      <c r="V1452" s="30" t="n"/>
      <c r="W1452" s="29">
        <f>IF(H1452="","",IF(H1452="Kenya","Yes","No"))</f>
        <v/>
      </c>
      <c r="X1452" s="29">
        <f>IF(B1452="","",IF(COUNTIF($B$5:$B$3004,B1452)&gt;1,"DUPLICATE","OK"))</f>
        <v/>
      </c>
      <c r="Y1452" s="29">
        <f>IF(OR(U1452="",V1452="",V1452="Excluded"),"",IF(COUNTIFS($U$5:$U$3004,U1452,$V$5:$V$3004,"&lt;&gt;"&amp;V1452,$V$5:$V$3004,"&lt;&gt;",$V$5:$V$3004,"&lt;&gt;Excluded")&gt;0,"LEAK RISK","OK"))</f>
        <v/>
      </c>
      <c r="Z1452" s="30" t="n"/>
    </row>
    <row r="1453">
      <c r="A1453" s="30" t="n"/>
      <c r="B1453" s="30" t="n"/>
      <c r="C1453" s="30" t="n"/>
      <c r="D1453" s="30" t="n"/>
      <c r="E1453" s="30" t="n"/>
      <c r="F1453" s="30" t="n"/>
      <c r="G1453" s="30" t="n"/>
      <c r="H1453" s="30" t="n"/>
      <c r="I1453" s="31" t="n"/>
      <c r="J1453" s="30" t="n"/>
      <c r="K1453" s="30" t="n"/>
      <c r="L1453" s="30" t="n"/>
      <c r="M1453" s="30" t="n"/>
      <c r="N1453" s="32" t="n"/>
      <c r="O1453" s="30" t="n"/>
      <c r="P1453" s="32" t="n"/>
      <c r="Q1453" s="30" t="n"/>
      <c r="R1453" s="32" t="n"/>
      <c r="S1453" s="30" t="n"/>
      <c r="T1453" s="30" t="n"/>
      <c r="U1453" s="30" t="n"/>
      <c r="V1453" s="30" t="n"/>
      <c r="W1453" s="29">
        <f>IF(H1453="","",IF(H1453="Kenya","Yes","No"))</f>
        <v/>
      </c>
      <c r="X1453" s="29">
        <f>IF(B1453="","",IF(COUNTIF($B$5:$B$3004,B1453)&gt;1,"DUPLICATE","OK"))</f>
        <v/>
      </c>
      <c r="Y1453" s="29">
        <f>IF(OR(U1453="",V1453="",V1453="Excluded"),"",IF(COUNTIFS($U$5:$U$3004,U1453,$V$5:$V$3004,"&lt;&gt;"&amp;V1453,$V$5:$V$3004,"&lt;&gt;",$V$5:$V$3004,"&lt;&gt;Excluded")&gt;0,"LEAK RISK","OK"))</f>
        <v/>
      </c>
      <c r="Z1453" s="30" t="n"/>
    </row>
    <row r="1454">
      <c r="A1454" s="30" t="n"/>
      <c r="B1454" s="30" t="n"/>
      <c r="C1454" s="30" t="n"/>
      <c r="D1454" s="30" t="n"/>
      <c r="E1454" s="30" t="n"/>
      <c r="F1454" s="30" t="n"/>
      <c r="G1454" s="30" t="n"/>
      <c r="H1454" s="30" t="n"/>
      <c r="I1454" s="31" t="n"/>
      <c r="J1454" s="30" t="n"/>
      <c r="K1454" s="30" t="n"/>
      <c r="L1454" s="30" t="n"/>
      <c r="M1454" s="30" t="n"/>
      <c r="N1454" s="32" t="n"/>
      <c r="O1454" s="30" t="n"/>
      <c r="P1454" s="32" t="n"/>
      <c r="Q1454" s="30" t="n"/>
      <c r="R1454" s="32" t="n"/>
      <c r="S1454" s="30" t="n"/>
      <c r="T1454" s="30" t="n"/>
      <c r="U1454" s="30" t="n"/>
      <c r="V1454" s="30" t="n"/>
      <c r="W1454" s="29">
        <f>IF(H1454="","",IF(H1454="Kenya","Yes","No"))</f>
        <v/>
      </c>
      <c r="X1454" s="29">
        <f>IF(B1454="","",IF(COUNTIF($B$5:$B$3004,B1454)&gt;1,"DUPLICATE","OK"))</f>
        <v/>
      </c>
      <c r="Y1454" s="29">
        <f>IF(OR(U1454="",V1454="",V1454="Excluded"),"",IF(COUNTIFS($U$5:$U$3004,U1454,$V$5:$V$3004,"&lt;&gt;"&amp;V1454,$V$5:$V$3004,"&lt;&gt;",$V$5:$V$3004,"&lt;&gt;Excluded")&gt;0,"LEAK RISK","OK"))</f>
        <v/>
      </c>
      <c r="Z1454" s="30" t="n"/>
    </row>
    <row r="1455">
      <c r="A1455" s="30" t="n"/>
      <c r="B1455" s="30" t="n"/>
      <c r="C1455" s="30" t="n"/>
      <c r="D1455" s="30" t="n"/>
      <c r="E1455" s="30" t="n"/>
      <c r="F1455" s="30" t="n"/>
      <c r="G1455" s="30" t="n"/>
      <c r="H1455" s="30" t="n"/>
      <c r="I1455" s="31" t="n"/>
      <c r="J1455" s="30" t="n"/>
      <c r="K1455" s="30" t="n"/>
      <c r="L1455" s="30" t="n"/>
      <c r="M1455" s="30" t="n"/>
      <c r="N1455" s="32" t="n"/>
      <c r="O1455" s="30" t="n"/>
      <c r="P1455" s="32" t="n"/>
      <c r="Q1455" s="30" t="n"/>
      <c r="R1455" s="32" t="n"/>
      <c r="S1455" s="30" t="n"/>
      <c r="T1455" s="30" t="n"/>
      <c r="U1455" s="30" t="n"/>
      <c r="V1455" s="30" t="n"/>
      <c r="W1455" s="29">
        <f>IF(H1455="","",IF(H1455="Kenya","Yes","No"))</f>
        <v/>
      </c>
      <c r="X1455" s="29">
        <f>IF(B1455="","",IF(COUNTIF($B$5:$B$3004,B1455)&gt;1,"DUPLICATE","OK"))</f>
        <v/>
      </c>
      <c r="Y1455" s="29">
        <f>IF(OR(U1455="",V1455="",V1455="Excluded"),"",IF(COUNTIFS($U$5:$U$3004,U1455,$V$5:$V$3004,"&lt;&gt;"&amp;V1455,$V$5:$V$3004,"&lt;&gt;",$V$5:$V$3004,"&lt;&gt;Excluded")&gt;0,"LEAK RISK","OK"))</f>
        <v/>
      </c>
      <c r="Z1455" s="30" t="n"/>
    </row>
    <row r="1456">
      <c r="A1456" s="30" t="n"/>
      <c r="B1456" s="30" t="n"/>
      <c r="C1456" s="30" t="n"/>
      <c r="D1456" s="30" t="n"/>
      <c r="E1456" s="30" t="n"/>
      <c r="F1456" s="30" t="n"/>
      <c r="G1456" s="30" t="n"/>
      <c r="H1456" s="30" t="n"/>
      <c r="I1456" s="31" t="n"/>
      <c r="J1456" s="30" t="n"/>
      <c r="K1456" s="30" t="n"/>
      <c r="L1456" s="30" t="n"/>
      <c r="M1456" s="30" t="n"/>
      <c r="N1456" s="32" t="n"/>
      <c r="O1456" s="30" t="n"/>
      <c r="P1456" s="32" t="n"/>
      <c r="Q1456" s="30" t="n"/>
      <c r="R1456" s="32" t="n"/>
      <c r="S1456" s="30" t="n"/>
      <c r="T1456" s="30" t="n"/>
      <c r="U1456" s="30" t="n"/>
      <c r="V1456" s="30" t="n"/>
      <c r="W1456" s="29">
        <f>IF(H1456="","",IF(H1456="Kenya","Yes","No"))</f>
        <v/>
      </c>
      <c r="X1456" s="29">
        <f>IF(B1456="","",IF(COUNTIF($B$5:$B$3004,B1456)&gt;1,"DUPLICATE","OK"))</f>
        <v/>
      </c>
      <c r="Y1456" s="29">
        <f>IF(OR(U1456="",V1456="",V1456="Excluded"),"",IF(COUNTIFS($U$5:$U$3004,U1456,$V$5:$V$3004,"&lt;&gt;"&amp;V1456,$V$5:$V$3004,"&lt;&gt;",$V$5:$V$3004,"&lt;&gt;Excluded")&gt;0,"LEAK RISK","OK"))</f>
        <v/>
      </c>
      <c r="Z1456" s="30" t="n"/>
    </row>
    <row r="1457">
      <c r="A1457" s="30" t="n"/>
      <c r="B1457" s="30" t="n"/>
      <c r="C1457" s="30" t="n"/>
      <c r="D1457" s="30" t="n"/>
      <c r="E1457" s="30" t="n"/>
      <c r="F1457" s="30" t="n"/>
      <c r="G1457" s="30" t="n"/>
      <c r="H1457" s="30" t="n"/>
      <c r="I1457" s="31" t="n"/>
      <c r="J1457" s="30" t="n"/>
      <c r="K1457" s="30" t="n"/>
      <c r="L1457" s="30" t="n"/>
      <c r="M1457" s="30" t="n"/>
      <c r="N1457" s="32" t="n"/>
      <c r="O1457" s="30" t="n"/>
      <c r="P1457" s="32" t="n"/>
      <c r="Q1457" s="30" t="n"/>
      <c r="R1457" s="32" t="n"/>
      <c r="S1457" s="30" t="n"/>
      <c r="T1457" s="30" t="n"/>
      <c r="U1457" s="30" t="n"/>
      <c r="V1457" s="30" t="n"/>
      <c r="W1457" s="29">
        <f>IF(H1457="","",IF(H1457="Kenya","Yes","No"))</f>
        <v/>
      </c>
      <c r="X1457" s="29">
        <f>IF(B1457="","",IF(COUNTIF($B$5:$B$3004,B1457)&gt;1,"DUPLICATE","OK"))</f>
        <v/>
      </c>
      <c r="Y1457" s="29">
        <f>IF(OR(U1457="",V1457="",V1457="Excluded"),"",IF(COUNTIFS($U$5:$U$3004,U1457,$V$5:$V$3004,"&lt;&gt;"&amp;V1457,$V$5:$V$3004,"&lt;&gt;",$V$5:$V$3004,"&lt;&gt;Excluded")&gt;0,"LEAK RISK","OK"))</f>
        <v/>
      </c>
      <c r="Z1457" s="30" t="n"/>
    </row>
    <row r="1458">
      <c r="A1458" s="30" t="n"/>
      <c r="B1458" s="30" t="n"/>
      <c r="C1458" s="30" t="n"/>
      <c r="D1458" s="30" t="n"/>
      <c r="E1458" s="30" t="n"/>
      <c r="F1458" s="30" t="n"/>
      <c r="G1458" s="30" t="n"/>
      <c r="H1458" s="30" t="n"/>
      <c r="I1458" s="31" t="n"/>
      <c r="J1458" s="30" t="n"/>
      <c r="K1458" s="30" t="n"/>
      <c r="L1458" s="30" t="n"/>
      <c r="M1458" s="30" t="n"/>
      <c r="N1458" s="32" t="n"/>
      <c r="O1458" s="30" t="n"/>
      <c r="P1458" s="32" t="n"/>
      <c r="Q1458" s="30" t="n"/>
      <c r="R1458" s="32" t="n"/>
      <c r="S1458" s="30" t="n"/>
      <c r="T1458" s="30" t="n"/>
      <c r="U1458" s="30" t="n"/>
      <c r="V1458" s="30" t="n"/>
      <c r="W1458" s="29">
        <f>IF(H1458="","",IF(H1458="Kenya","Yes","No"))</f>
        <v/>
      </c>
      <c r="X1458" s="29">
        <f>IF(B1458="","",IF(COUNTIF($B$5:$B$3004,B1458)&gt;1,"DUPLICATE","OK"))</f>
        <v/>
      </c>
      <c r="Y1458" s="29">
        <f>IF(OR(U1458="",V1458="",V1458="Excluded"),"",IF(COUNTIFS($U$5:$U$3004,U1458,$V$5:$V$3004,"&lt;&gt;"&amp;V1458,$V$5:$V$3004,"&lt;&gt;",$V$5:$V$3004,"&lt;&gt;Excluded")&gt;0,"LEAK RISK","OK"))</f>
        <v/>
      </c>
      <c r="Z1458" s="30" t="n"/>
    </row>
    <row r="1459">
      <c r="A1459" s="30" t="n"/>
      <c r="B1459" s="30" t="n"/>
      <c r="C1459" s="30" t="n"/>
      <c r="D1459" s="30" t="n"/>
      <c r="E1459" s="30" t="n"/>
      <c r="F1459" s="30" t="n"/>
      <c r="G1459" s="30" t="n"/>
      <c r="H1459" s="30" t="n"/>
      <c r="I1459" s="31" t="n"/>
      <c r="J1459" s="30" t="n"/>
      <c r="K1459" s="30" t="n"/>
      <c r="L1459" s="30" t="n"/>
      <c r="M1459" s="30" t="n"/>
      <c r="N1459" s="32" t="n"/>
      <c r="O1459" s="30" t="n"/>
      <c r="P1459" s="32" t="n"/>
      <c r="Q1459" s="30" t="n"/>
      <c r="R1459" s="32" t="n"/>
      <c r="S1459" s="30" t="n"/>
      <c r="T1459" s="30" t="n"/>
      <c r="U1459" s="30" t="n"/>
      <c r="V1459" s="30" t="n"/>
      <c r="W1459" s="29">
        <f>IF(H1459="","",IF(H1459="Kenya","Yes","No"))</f>
        <v/>
      </c>
      <c r="X1459" s="29">
        <f>IF(B1459="","",IF(COUNTIF($B$5:$B$3004,B1459)&gt;1,"DUPLICATE","OK"))</f>
        <v/>
      </c>
      <c r="Y1459" s="29">
        <f>IF(OR(U1459="",V1459="",V1459="Excluded"),"",IF(COUNTIFS($U$5:$U$3004,U1459,$V$5:$V$3004,"&lt;&gt;"&amp;V1459,$V$5:$V$3004,"&lt;&gt;",$V$5:$V$3004,"&lt;&gt;Excluded")&gt;0,"LEAK RISK","OK"))</f>
        <v/>
      </c>
      <c r="Z1459" s="30" t="n"/>
    </row>
    <row r="1460">
      <c r="A1460" s="30" t="n"/>
      <c r="B1460" s="30" t="n"/>
      <c r="C1460" s="30" t="n"/>
      <c r="D1460" s="30" t="n"/>
      <c r="E1460" s="30" t="n"/>
      <c r="F1460" s="30" t="n"/>
      <c r="G1460" s="30" t="n"/>
      <c r="H1460" s="30" t="n"/>
      <c r="I1460" s="31" t="n"/>
      <c r="J1460" s="30" t="n"/>
      <c r="K1460" s="30" t="n"/>
      <c r="L1460" s="30" t="n"/>
      <c r="M1460" s="30" t="n"/>
      <c r="N1460" s="32" t="n"/>
      <c r="O1460" s="30" t="n"/>
      <c r="P1460" s="32" t="n"/>
      <c r="Q1460" s="30" t="n"/>
      <c r="R1460" s="32" t="n"/>
      <c r="S1460" s="30" t="n"/>
      <c r="T1460" s="30" t="n"/>
      <c r="U1460" s="30" t="n"/>
      <c r="V1460" s="30" t="n"/>
      <c r="W1460" s="29">
        <f>IF(H1460="","",IF(H1460="Kenya","Yes","No"))</f>
        <v/>
      </c>
      <c r="X1460" s="29">
        <f>IF(B1460="","",IF(COUNTIF($B$5:$B$3004,B1460)&gt;1,"DUPLICATE","OK"))</f>
        <v/>
      </c>
      <c r="Y1460" s="29">
        <f>IF(OR(U1460="",V1460="",V1460="Excluded"),"",IF(COUNTIFS($U$5:$U$3004,U1460,$V$5:$V$3004,"&lt;&gt;"&amp;V1460,$V$5:$V$3004,"&lt;&gt;",$V$5:$V$3004,"&lt;&gt;Excluded")&gt;0,"LEAK RISK","OK"))</f>
        <v/>
      </c>
      <c r="Z1460" s="30" t="n"/>
    </row>
    <row r="1461">
      <c r="A1461" s="30" t="n"/>
      <c r="B1461" s="30" t="n"/>
      <c r="C1461" s="30" t="n"/>
      <c r="D1461" s="30" t="n"/>
      <c r="E1461" s="30" t="n"/>
      <c r="F1461" s="30" t="n"/>
      <c r="G1461" s="30" t="n"/>
      <c r="H1461" s="30" t="n"/>
      <c r="I1461" s="31" t="n"/>
      <c r="J1461" s="30" t="n"/>
      <c r="K1461" s="30" t="n"/>
      <c r="L1461" s="30" t="n"/>
      <c r="M1461" s="30" t="n"/>
      <c r="N1461" s="32" t="n"/>
      <c r="O1461" s="30" t="n"/>
      <c r="P1461" s="32" t="n"/>
      <c r="Q1461" s="30" t="n"/>
      <c r="R1461" s="32" t="n"/>
      <c r="S1461" s="30" t="n"/>
      <c r="T1461" s="30" t="n"/>
      <c r="U1461" s="30" t="n"/>
      <c r="V1461" s="30" t="n"/>
      <c r="W1461" s="29">
        <f>IF(H1461="","",IF(H1461="Kenya","Yes","No"))</f>
        <v/>
      </c>
      <c r="X1461" s="29">
        <f>IF(B1461="","",IF(COUNTIF($B$5:$B$3004,B1461)&gt;1,"DUPLICATE","OK"))</f>
        <v/>
      </c>
      <c r="Y1461" s="29">
        <f>IF(OR(U1461="",V1461="",V1461="Excluded"),"",IF(COUNTIFS($U$5:$U$3004,U1461,$V$5:$V$3004,"&lt;&gt;"&amp;V1461,$V$5:$V$3004,"&lt;&gt;",$V$5:$V$3004,"&lt;&gt;Excluded")&gt;0,"LEAK RISK","OK"))</f>
        <v/>
      </c>
      <c r="Z1461" s="30" t="n"/>
    </row>
    <row r="1462">
      <c r="A1462" s="30" t="n"/>
      <c r="B1462" s="30" t="n"/>
      <c r="C1462" s="30" t="n"/>
      <c r="D1462" s="30" t="n"/>
      <c r="E1462" s="30" t="n"/>
      <c r="F1462" s="30" t="n"/>
      <c r="G1462" s="30" t="n"/>
      <c r="H1462" s="30" t="n"/>
      <c r="I1462" s="31" t="n"/>
      <c r="J1462" s="30" t="n"/>
      <c r="K1462" s="30" t="n"/>
      <c r="L1462" s="30" t="n"/>
      <c r="M1462" s="30" t="n"/>
      <c r="N1462" s="32" t="n"/>
      <c r="O1462" s="30" t="n"/>
      <c r="P1462" s="32" t="n"/>
      <c r="Q1462" s="30" t="n"/>
      <c r="R1462" s="32" t="n"/>
      <c r="S1462" s="30" t="n"/>
      <c r="T1462" s="30" t="n"/>
      <c r="U1462" s="30" t="n"/>
      <c r="V1462" s="30" t="n"/>
      <c r="W1462" s="29">
        <f>IF(H1462="","",IF(H1462="Kenya","Yes","No"))</f>
        <v/>
      </c>
      <c r="X1462" s="29">
        <f>IF(B1462="","",IF(COUNTIF($B$5:$B$3004,B1462)&gt;1,"DUPLICATE","OK"))</f>
        <v/>
      </c>
      <c r="Y1462" s="29">
        <f>IF(OR(U1462="",V1462="",V1462="Excluded"),"",IF(COUNTIFS($U$5:$U$3004,U1462,$V$5:$V$3004,"&lt;&gt;"&amp;V1462,$V$5:$V$3004,"&lt;&gt;",$V$5:$V$3004,"&lt;&gt;Excluded")&gt;0,"LEAK RISK","OK"))</f>
        <v/>
      </c>
      <c r="Z1462" s="30" t="n"/>
    </row>
    <row r="1463">
      <c r="A1463" s="30" t="n"/>
      <c r="B1463" s="30" t="n"/>
      <c r="C1463" s="30" t="n"/>
      <c r="D1463" s="30" t="n"/>
      <c r="E1463" s="30" t="n"/>
      <c r="F1463" s="30" t="n"/>
      <c r="G1463" s="30" t="n"/>
      <c r="H1463" s="30" t="n"/>
      <c r="I1463" s="31" t="n"/>
      <c r="J1463" s="30" t="n"/>
      <c r="K1463" s="30" t="n"/>
      <c r="L1463" s="30" t="n"/>
      <c r="M1463" s="30" t="n"/>
      <c r="N1463" s="32" t="n"/>
      <c r="O1463" s="30" t="n"/>
      <c r="P1463" s="32" t="n"/>
      <c r="Q1463" s="30" t="n"/>
      <c r="R1463" s="32" t="n"/>
      <c r="S1463" s="30" t="n"/>
      <c r="T1463" s="30" t="n"/>
      <c r="U1463" s="30" t="n"/>
      <c r="V1463" s="30" t="n"/>
      <c r="W1463" s="29">
        <f>IF(H1463="","",IF(H1463="Kenya","Yes","No"))</f>
        <v/>
      </c>
      <c r="X1463" s="29">
        <f>IF(B1463="","",IF(COUNTIF($B$5:$B$3004,B1463)&gt;1,"DUPLICATE","OK"))</f>
        <v/>
      </c>
      <c r="Y1463" s="29">
        <f>IF(OR(U1463="",V1463="",V1463="Excluded"),"",IF(COUNTIFS($U$5:$U$3004,U1463,$V$5:$V$3004,"&lt;&gt;"&amp;V1463,$V$5:$V$3004,"&lt;&gt;",$V$5:$V$3004,"&lt;&gt;Excluded")&gt;0,"LEAK RISK","OK"))</f>
        <v/>
      </c>
      <c r="Z1463" s="30" t="n"/>
    </row>
    <row r="1464">
      <c r="A1464" s="30" t="n"/>
      <c r="B1464" s="30" t="n"/>
      <c r="C1464" s="30" t="n"/>
      <c r="D1464" s="30" t="n"/>
      <c r="E1464" s="30" t="n"/>
      <c r="F1464" s="30" t="n"/>
      <c r="G1464" s="30" t="n"/>
      <c r="H1464" s="30" t="n"/>
      <c r="I1464" s="31" t="n"/>
      <c r="J1464" s="30" t="n"/>
      <c r="K1464" s="30" t="n"/>
      <c r="L1464" s="30" t="n"/>
      <c r="M1464" s="30" t="n"/>
      <c r="N1464" s="32" t="n"/>
      <c r="O1464" s="30" t="n"/>
      <c r="P1464" s="32" t="n"/>
      <c r="Q1464" s="30" t="n"/>
      <c r="R1464" s="32" t="n"/>
      <c r="S1464" s="30" t="n"/>
      <c r="T1464" s="30" t="n"/>
      <c r="U1464" s="30" t="n"/>
      <c r="V1464" s="30" t="n"/>
      <c r="W1464" s="29">
        <f>IF(H1464="","",IF(H1464="Kenya","Yes","No"))</f>
        <v/>
      </c>
      <c r="X1464" s="29">
        <f>IF(B1464="","",IF(COUNTIF($B$5:$B$3004,B1464)&gt;1,"DUPLICATE","OK"))</f>
        <v/>
      </c>
      <c r="Y1464" s="29">
        <f>IF(OR(U1464="",V1464="",V1464="Excluded"),"",IF(COUNTIFS($U$5:$U$3004,U1464,$V$5:$V$3004,"&lt;&gt;"&amp;V1464,$V$5:$V$3004,"&lt;&gt;",$V$5:$V$3004,"&lt;&gt;Excluded")&gt;0,"LEAK RISK","OK"))</f>
        <v/>
      </c>
      <c r="Z1464" s="30" t="n"/>
    </row>
    <row r="1465">
      <c r="A1465" s="30" t="n"/>
      <c r="B1465" s="30" t="n"/>
      <c r="C1465" s="30" t="n"/>
      <c r="D1465" s="30" t="n"/>
      <c r="E1465" s="30" t="n"/>
      <c r="F1465" s="30" t="n"/>
      <c r="G1465" s="30" t="n"/>
      <c r="H1465" s="30" t="n"/>
      <c r="I1465" s="31" t="n"/>
      <c r="J1465" s="30" t="n"/>
      <c r="K1465" s="30" t="n"/>
      <c r="L1465" s="30" t="n"/>
      <c r="M1465" s="30" t="n"/>
      <c r="N1465" s="32" t="n"/>
      <c r="O1465" s="30" t="n"/>
      <c r="P1465" s="32" t="n"/>
      <c r="Q1465" s="30" t="n"/>
      <c r="R1465" s="32" t="n"/>
      <c r="S1465" s="30" t="n"/>
      <c r="T1465" s="30" t="n"/>
      <c r="U1465" s="30" t="n"/>
      <c r="V1465" s="30" t="n"/>
      <c r="W1465" s="29">
        <f>IF(H1465="","",IF(H1465="Kenya","Yes","No"))</f>
        <v/>
      </c>
      <c r="X1465" s="29">
        <f>IF(B1465="","",IF(COUNTIF($B$5:$B$3004,B1465)&gt;1,"DUPLICATE","OK"))</f>
        <v/>
      </c>
      <c r="Y1465" s="29">
        <f>IF(OR(U1465="",V1465="",V1465="Excluded"),"",IF(COUNTIFS($U$5:$U$3004,U1465,$V$5:$V$3004,"&lt;&gt;"&amp;V1465,$V$5:$V$3004,"&lt;&gt;",$V$5:$V$3004,"&lt;&gt;Excluded")&gt;0,"LEAK RISK","OK"))</f>
        <v/>
      </c>
      <c r="Z1465" s="30" t="n"/>
    </row>
    <row r="1466">
      <c r="A1466" s="30" t="n"/>
      <c r="B1466" s="30" t="n"/>
      <c r="C1466" s="30" t="n"/>
      <c r="D1466" s="30" t="n"/>
      <c r="E1466" s="30" t="n"/>
      <c r="F1466" s="30" t="n"/>
      <c r="G1466" s="30" t="n"/>
      <c r="H1466" s="30" t="n"/>
      <c r="I1466" s="31" t="n"/>
      <c r="J1466" s="30" t="n"/>
      <c r="K1466" s="30" t="n"/>
      <c r="L1466" s="30" t="n"/>
      <c r="M1466" s="30" t="n"/>
      <c r="N1466" s="32" t="n"/>
      <c r="O1466" s="30" t="n"/>
      <c r="P1466" s="32" t="n"/>
      <c r="Q1466" s="30" t="n"/>
      <c r="R1466" s="32" t="n"/>
      <c r="S1466" s="30" t="n"/>
      <c r="T1466" s="30" t="n"/>
      <c r="U1466" s="30" t="n"/>
      <c r="V1466" s="30" t="n"/>
      <c r="W1466" s="29">
        <f>IF(H1466="","",IF(H1466="Kenya","Yes","No"))</f>
        <v/>
      </c>
      <c r="X1466" s="29">
        <f>IF(B1466="","",IF(COUNTIF($B$5:$B$3004,B1466)&gt;1,"DUPLICATE","OK"))</f>
        <v/>
      </c>
      <c r="Y1466" s="29">
        <f>IF(OR(U1466="",V1466="",V1466="Excluded"),"",IF(COUNTIFS($U$5:$U$3004,U1466,$V$5:$V$3004,"&lt;&gt;"&amp;V1466,$V$5:$V$3004,"&lt;&gt;",$V$5:$V$3004,"&lt;&gt;Excluded")&gt;0,"LEAK RISK","OK"))</f>
        <v/>
      </c>
      <c r="Z1466" s="30" t="n"/>
    </row>
    <row r="1467">
      <c r="A1467" s="30" t="n"/>
      <c r="B1467" s="30" t="n"/>
      <c r="C1467" s="30" t="n"/>
      <c r="D1467" s="30" t="n"/>
      <c r="E1467" s="30" t="n"/>
      <c r="F1467" s="30" t="n"/>
      <c r="G1467" s="30" t="n"/>
      <c r="H1467" s="30" t="n"/>
      <c r="I1467" s="31" t="n"/>
      <c r="J1467" s="30" t="n"/>
      <c r="K1467" s="30" t="n"/>
      <c r="L1467" s="30" t="n"/>
      <c r="M1467" s="30" t="n"/>
      <c r="N1467" s="32" t="n"/>
      <c r="O1467" s="30" t="n"/>
      <c r="P1467" s="32" t="n"/>
      <c r="Q1467" s="30" t="n"/>
      <c r="R1467" s="32" t="n"/>
      <c r="S1467" s="30" t="n"/>
      <c r="T1467" s="30" t="n"/>
      <c r="U1467" s="30" t="n"/>
      <c r="V1467" s="30" t="n"/>
      <c r="W1467" s="29">
        <f>IF(H1467="","",IF(H1467="Kenya","Yes","No"))</f>
        <v/>
      </c>
      <c r="X1467" s="29">
        <f>IF(B1467="","",IF(COUNTIF($B$5:$B$3004,B1467)&gt;1,"DUPLICATE","OK"))</f>
        <v/>
      </c>
      <c r="Y1467" s="29">
        <f>IF(OR(U1467="",V1467="",V1467="Excluded"),"",IF(COUNTIFS($U$5:$U$3004,U1467,$V$5:$V$3004,"&lt;&gt;"&amp;V1467,$V$5:$V$3004,"&lt;&gt;",$V$5:$V$3004,"&lt;&gt;Excluded")&gt;0,"LEAK RISK","OK"))</f>
        <v/>
      </c>
      <c r="Z1467" s="30" t="n"/>
    </row>
    <row r="1468">
      <c r="A1468" s="30" t="n"/>
      <c r="B1468" s="30" t="n"/>
      <c r="C1468" s="30" t="n"/>
      <c r="D1468" s="30" t="n"/>
      <c r="E1468" s="30" t="n"/>
      <c r="F1468" s="30" t="n"/>
      <c r="G1468" s="30" t="n"/>
      <c r="H1468" s="30" t="n"/>
      <c r="I1468" s="31" t="n"/>
      <c r="J1468" s="30" t="n"/>
      <c r="K1468" s="30" t="n"/>
      <c r="L1468" s="30" t="n"/>
      <c r="M1468" s="30" t="n"/>
      <c r="N1468" s="32" t="n"/>
      <c r="O1468" s="30" t="n"/>
      <c r="P1468" s="32" t="n"/>
      <c r="Q1468" s="30" t="n"/>
      <c r="R1468" s="32" t="n"/>
      <c r="S1468" s="30" t="n"/>
      <c r="T1468" s="30" t="n"/>
      <c r="U1468" s="30" t="n"/>
      <c r="V1468" s="30" t="n"/>
      <c r="W1468" s="29">
        <f>IF(H1468="","",IF(H1468="Kenya","Yes","No"))</f>
        <v/>
      </c>
      <c r="X1468" s="29">
        <f>IF(B1468="","",IF(COUNTIF($B$5:$B$3004,B1468)&gt;1,"DUPLICATE","OK"))</f>
        <v/>
      </c>
      <c r="Y1468" s="29">
        <f>IF(OR(U1468="",V1468="",V1468="Excluded"),"",IF(COUNTIFS($U$5:$U$3004,U1468,$V$5:$V$3004,"&lt;&gt;"&amp;V1468,$V$5:$V$3004,"&lt;&gt;",$V$5:$V$3004,"&lt;&gt;Excluded")&gt;0,"LEAK RISK","OK"))</f>
        <v/>
      </c>
      <c r="Z1468" s="30" t="n"/>
    </row>
    <row r="1469">
      <c r="A1469" s="30" t="n"/>
      <c r="B1469" s="30" t="n"/>
      <c r="C1469" s="30" t="n"/>
      <c r="D1469" s="30" t="n"/>
      <c r="E1469" s="30" t="n"/>
      <c r="F1469" s="30" t="n"/>
      <c r="G1469" s="30" t="n"/>
      <c r="H1469" s="30" t="n"/>
      <c r="I1469" s="31" t="n"/>
      <c r="J1469" s="30" t="n"/>
      <c r="K1469" s="30" t="n"/>
      <c r="L1469" s="30" t="n"/>
      <c r="M1469" s="30" t="n"/>
      <c r="N1469" s="32" t="n"/>
      <c r="O1469" s="30" t="n"/>
      <c r="P1469" s="32" t="n"/>
      <c r="Q1469" s="30" t="n"/>
      <c r="R1469" s="32" t="n"/>
      <c r="S1469" s="30" t="n"/>
      <c r="T1469" s="30" t="n"/>
      <c r="U1469" s="30" t="n"/>
      <c r="V1469" s="30" t="n"/>
      <c r="W1469" s="29">
        <f>IF(H1469="","",IF(H1469="Kenya","Yes","No"))</f>
        <v/>
      </c>
      <c r="X1469" s="29">
        <f>IF(B1469="","",IF(COUNTIF($B$5:$B$3004,B1469)&gt;1,"DUPLICATE","OK"))</f>
        <v/>
      </c>
      <c r="Y1469" s="29">
        <f>IF(OR(U1469="",V1469="",V1469="Excluded"),"",IF(COUNTIFS($U$5:$U$3004,U1469,$V$5:$V$3004,"&lt;&gt;"&amp;V1469,$V$5:$V$3004,"&lt;&gt;",$V$5:$V$3004,"&lt;&gt;Excluded")&gt;0,"LEAK RISK","OK"))</f>
        <v/>
      </c>
      <c r="Z1469" s="30" t="n"/>
    </row>
    <row r="1470">
      <c r="A1470" s="30" t="n"/>
      <c r="B1470" s="30" t="n"/>
      <c r="C1470" s="30" t="n"/>
      <c r="D1470" s="30" t="n"/>
      <c r="E1470" s="30" t="n"/>
      <c r="F1470" s="30" t="n"/>
      <c r="G1470" s="30" t="n"/>
      <c r="H1470" s="30" t="n"/>
      <c r="I1470" s="31" t="n"/>
      <c r="J1470" s="30" t="n"/>
      <c r="K1470" s="30" t="n"/>
      <c r="L1470" s="30" t="n"/>
      <c r="M1470" s="30" t="n"/>
      <c r="N1470" s="32" t="n"/>
      <c r="O1470" s="30" t="n"/>
      <c r="P1470" s="32" t="n"/>
      <c r="Q1470" s="30" t="n"/>
      <c r="R1470" s="32" t="n"/>
      <c r="S1470" s="30" t="n"/>
      <c r="T1470" s="30" t="n"/>
      <c r="U1470" s="30" t="n"/>
      <c r="V1470" s="30" t="n"/>
      <c r="W1470" s="29">
        <f>IF(H1470="","",IF(H1470="Kenya","Yes","No"))</f>
        <v/>
      </c>
      <c r="X1470" s="29">
        <f>IF(B1470="","",IF(COUNTIF($B$5:$B$3004,B1470)&gt;1,"DUPLICATE","OK"))</f>
        <v/>
      </c>
      <c r="Y1470" s="29">
        <f>IF(OR(U1470="",V1470="",V1470="Excluded"),"",IF(COUNTIFS($U$5:$U$3004,U1470,$V$5:$V$3004,"&lt;&gt;"&amp;V1470,$V$5:$V$3004,"&lt;&gt;",$V$5:$V$3004,"&lt;&gt;Excluded")&gt;0,"LEAK RISK","OK"))</f>
        <v/>
      </c>
      <c r="Z1470" s="30" t="n"/>
    </row>
    <row r="1471">
      <c r="A1471" s="30" t="n"/>
      <c r="B1471" s="30" t="n"/>
      <c r="C1471" s="30" t="n"/>
      <c r="D1471" s="30" t="n"/>
      <c r="E1471" s="30" t="n"/>
      <c r="F1471" s="30" t="n"/>
      <c r="G1471" s="30" t="n"/>
      <c r="H1471" s="30" t="n"/>
      <c r="I1471" s="31" t="n"/>
      <c r="J1471" s="30" t="n"/>
      <c r="K1471" s="30" t="n"/>
      <c r="L1471" s="30" t="n"/>
      <c r="M1471" s="30" t="n"/>
      <c r="N1471" s="32" t="n"/>
      <c r="O1471" s="30" t="n"/>
      <c r="P1471" s="32" t="n"/>
      <c r="Q1471" s="30" t="n"/>
      <c r="R1471" s="32" t="n"/>
      <c r="S1471" s="30" t="n"/>
      <c r="T1471" s="30" t="n"/>
      <c r="U1471" s="30" t="n"/>
      <c r="V1471" s="30" t="n"/>
      <c r="W1471" s="29">
        <f>IF(H1471="","",IF(H1471="Kenya","Yes","No"))</f>
        <v/>
      </c>
      <c r="X1471" s="29">
        <f>IF(B1471="","",IF(COUNTIF($B$5:$B$3004,B1471)&gt;1,"DUPLICATE","OK"))</f>
        <v/>
      </c>
      <c r="Y1471" s="29">
        <f>IF(OR(U1471="",V1471="",V1471="Excluded"),"",IF(COUNTIFS($U$5:$U$3004,U1471,$V$5:$V$3004,"&lt;&gt;"&amp;V1471,$V$5:$V$3004,"&lt;&gt;",$V$5:$V$3004,"&lt;&gt;Excluded")&gt;0,"LEAK RISK","OK"))</f>
        <v/>
      </c>
      <c r="Z1471" s="30" t="n"/>
    </row>
    <row r="1472">
      <c r="A1472" s="30" t="n"/>
      <c r="B1472" s="30" t="n"/>
      <c r="C1472" s="30" t="n"/>
      <c r="D1472" s="30" t="n"/>
      <c r="E1472" s="30" t="n"/>
      <c r="F1472" s="30" t="n"/>
      <c r="G1472" s="30" t="n"/>
      <c r="H1472" s="30" t="n"/>
      <c r="I1472" s="31" t="n"/>
      <c r="J1472" s="30" t="n"/>
      <c r="K1472" s="30" t="n"/>
      <c r="L1472" s="30" t="n"/>
      <c r="M1472" s="30" t="n"/>
      <c r="N1472" s="32" t="n"/>
      <c r="O1472" s="30" t="n"/>
      <c r="P1472" s="32" t="n"/>
      <c r="Q1472" s="30" t="n"/>
      <c r="R1472" s="32" t="n"/>
      <c r="S1472" s="30" t="n"/>
      <c r="T1472" s="30" t="n"/>
      <c r="U1472" s="30" t="n"/>
      <c r="V1472" s="30" t="n"/>
      <c r="W1472" s="29">
        <f>IF(H1472="","",IF(H1472="Kenya","Yes","No"))</f>
        <v/>
      </c>
      <c r="X1472" s="29">
        <f>IF(B1472="","",IF(COUNTIF($B$5:$B$3004,B1472)&gt;1,"DUPLICATE","OK"))</f>
        <v/>
      </c>
      <c r="Y1472" s="29">
        <f>IF(OR(U1472="",V1472="",V1472="Excluded"),"",IF(COUNTIFS($U$5:$U$3004,U1472,$V$5:$V$3004,"&lt;&gt;"&amp;V1472,$V$5:$V$3004,"&lt;&gt;",$V$5:$V$3004,"&lt;&gt;Excluded")&gt;0,"LEAK RISK","OK"))</f>
        <v/>
      </c>
      <c r="Z1472" s="30" t="n"/>
    </row>
    <row r="1473">
      <c r="A1473" s="30" t="n"/>
      <c r="B1473" s="30" t="n"/>
      <c r="C1473" s="30" t="n"/>
      <c r="D1473" s="30" t="n"/>
      <c r="E1473" s="30" t="n"/>
      <c r="F1473" s="30" t="n"/>
      <c r="G1473" s="30" t="n"/>
      <c r="H1473" s="30" t="n"/>
      <c r="I1473" s="31" t="n"/>
      <c r="J1473" s="30" t="n"/>
      <c r="K1473" s="30" t="n"/>
      <c r="L1473" s="30" t="n"/>
      <c r="M1473" s="30" t="n"/>
      <c r="N1473" s="32" t="n"/>
      <c r="O1473" s="30" t="n"/>
      <c r="P1473" s="32" t="n"/>
      <c r="Q1473" s="30" t="n"/>
      <c r="R1473" s="32" t="n"/>
      <c r="S1473" s="30" t="n"/>
      <c r="T1473" s="30" t="n"/>
      <c r="U1473" s="30" t="n"/>
      <c r="V1473" s="30" t="n"/>
      <c r="W1473" s="29">
        <f>IF(H1473="","",IF(H1473="Kenya","Yes","No"))</f>
        <v/>
      </c>
      <c r="X1473" s="29">
        <f>IF(B1473="","",IF(COUNTIF($B$5:$B$3004,B1473)&gt;1,"DUPLICATE","OK"))</f>
        <v/>
      </c>
      <c r="Y1473" s="29">
        <f>IF(OR(U1473="",V1473="",V1473="Excluded"),"",IF(COUNTIFS($U$5:$U$3004,U1473,$V$5:$V$3004,"&lt;&gt;"&amp;V1473,$V$5:$V$3004,"&lt;&gt;",$V$5:$V$3004,"&lt;&gt;Excluded")&gt;0,"LEAK RISK","OK"))</f>
        <v/>
      </c>
      <c r="Z1473" s="30" t="n"/>
    </row>
    <row r="1474">
      <c r="A1474" s="30" t="n"/>
      <c r="B1474" s="30" t="n"/>
      <c r="C1474" s="30" t="n"/>
      <c r="D1474" s="30" t="n"/>
      <c r="E1474" s="30" t="n"/>
      <c r="F1474" s="30" t="n"/>
      <c r="G1474" s="30" t="n"/>
      <c r="H1474" s="30" t="n"/>
      <c r="I1474" s="31" t="n"/>
      <c r="J1474" s="30" t="n"/>
      <c r="K1474" s="30" t="n"/>
      <c r="L1474" s="30" t="n"/>
      <c r="M1474" s="30" t="n"/>
      <c r="N1474" s="32" t="n"/>
      <c r="O1474" s="30" t="n"/>
      <c r="P1474" s="32" t="n"/>
      <c r="Q1474" s="30" t="n"/>
      <c r="R1474" s="32" t="n"/>
      <c r="S1474" s="30" t="n"/>
      <c r="T1474" s="30" t="n"/>
      <c r="U1474" s="30" t="n"/>
      <c r="V1474" s="30" t="n"/>
      <c r="W1474" s="29">
        <f>IF(H1474="","",IF(H1474="Kenya","Yes","No"))</f>
        <v/>
      </c>
      <c r="X1474" s="29">
        <f>IF(B1474="","",IF(COUNTIF($B$5:$B$3004,B1474)&gt;1,"DUPLICATE","OK"))</f>
        <v/>
      </c>
      <c r="Y1474" s="29">
        <f>IF(OR(U1474="",V1474="",V1474="Excluded"),"",IF(COUNTIFS($U$5:$U$3004,U1474,$V$5:$V$3004,"&lt;&gt;"&amp;V1474,$V$5:$V$3004,"&lt;&gt;",$V$5:$V$3004,"&lt;&gt;Excluded")&gt;0,"LEAK RISK","OK"))</f>
        <v/>
      </c>
      <c r="Z1474" s="30" t="n"/>
    </row>
    <row r="1475">
      <c r="A1475" s="30" t="n"/>
      <c r="B1475" s="30" t="n"/>
      <c r="C1475" s="30" t="n"/>
      <c r="D1475" s="30" t="n"/>
      <c r="E1475" s="30" t="n"/>
      <c r="F1475" s="30" t="n"/>
      <c r="G1475" s="30" t="n"/>
      <c r="H1475" s="30" t="n"/>
      <c r="I1475" s="31" t="n"/>
      <c r="J1475" s="30" t="n"/>
      <c r="K1475" s="30" t="n"/>
      <c r="L1475" s="30" t="n"/>
      <c r="M1475" s="30" t="n"/>
      <c r="N1475" s="32" t="n"/>
      <c r="O1475" s="30" t="n"/>
      <c r="P1475" s="32" t="n"/>
      <c r="Q1475" s="30" t="n"/>
      <c r="R1475" s="32" t="n"/>
      <c r="S1475" s="30" t="n"/>
      <c r="T1475" s="30" t="n"/>
      <c r="U1475" s="30" t="n"/>
      <c r="V1475" s="30" t="n"/>
      <c r="W1475" s="29">
        <f>IF(H1475="","",IF(H1475="Kenya","Yes","No"))</f>
        <v/>
      </c>
      <c r="X1475" s="29">
        <f>IF(B1475="","",IF(COUNTIF($B$5:$B$3004,B1475)&gt;1,"DUPLICATE","OK"))</f>
        <v/>
      </c>
      <c r="Y1475" s="29">
        <f>IF(OR(U1475="",V1475="",V1475="Excluded"),"",IF(COUNTIFS($U$5:$U$3004,U1475,$V$5:$V$3004,"&lt;&gt;"&amp;V1475,$V$5:$V$3004,"&lt;&gt;",$V$5:$V$3004,"&lt;&gt;Excluded")&gt;0,"LEAK RISK","OK"))</f>
        <v/>
      </c>
      <c r="Z1475" s="30" t="n"/>
    </row>
    <row r="1476">
      <c r="A1476" s="30" t="n"/>
      <c r="B1476" s="30" t="n"/>
      <c r="C1476" s="30" t="n"/>
      <c r="D1476" s="30" t="n"/>
      <c r="E1476" s="30" t="n"/>
      <c r="F1476" s="30" t="n"/>
      <c r="G1476" s="30" t="n"/>
      <c r="H1476" s="30" t="n"/>
      <c r="I1476" s="31" t="n"/>
      <c r="J1476" s="30" t="n"/>
      <c r="K1476" s="30" t="n"/>
      <c r="L1476" s="30" t="n"/>
      <c r="M1476" s="30" t="n"/>
      <c r="N1476" s="32" t="n"/>
      <c r="O1476" s="30" t="n"/>
      <c r="P1476" s="32" t="n"/>
      <c r="Q1476" s="30" t="n"/>
      <c r="R1476" s="32" t="n"/>
      <c r="S1476" s="30" t="n"/>
      <c r="T1476" s="30" t="n"/>
      <c r="U1476" s="30" t="n"/>
      <c r="V1476" s="30" t="n"/>
      <c r="W1476" s="29">
        <f>IF(H1476="","",IF(H1476="Kenya","Yes","No"))</f>
        <v/>
      </c>
      <c r="X1476" s="29">
        <f>IF(B1476="","",IF(COUNTIF($B$5:$B$3004,B1476)&gt;1,"DUPLICATE","OK"))</f>
        <v/>
      </c>
      <c r="Y1476" s="29">
        <f>IF(OR(U1476="",V1476="",V1476="Excluded"),"",IF(COUNTIFS($U$5:$U$3004,U1476,$V$5:$V$3004,"&lt;&gt;"&amp;V1476,$V$5:$V$3004,"&lt;&gt;",$V$5:$V$3004,"&lt;&gt;Excluded")&gt;0,"LEAK RISK","OK"))</f>
        <v/>
      </c>
      <c r="Z1476" s="30" t="n"/>
    </row>
    <row r="1477">
      <c r="A1477" s="30" t="n"/>
      <c r="B1477" s="30" t="n"/>
      <c r="C1477" s="30" t="n"/>
      <c r="D1477" s="30" t="n"/>
      <c r="E1477" s="30" t="n"/>
      <c r="F1477" s="30" t="n"/>
      <c r="G1477" s="30" t="n"/>
      <c r="H1477" s="30" t="n"/>
      <c r="I1477" s="31" t="n"/>
      <c r="J1477" s="30" t="n"/>
      <c r="K1477" s="30" t="n"/>
      <c r="L1477" s="30" t="n"/>
      <c r="M1477" s="30" t="n"/>
      <c r="N1477" s="32" t="n"/>
      <c r="O1477" s="30" t="n"/>
      <c r="P1477" s="32" t="n"/>
      <c r="Q1477" s="30" t="n"/>
      <c r="R1477" s="32" t="n"/>
      <c r="S1477" s="30" t="n"/>
      <c r="T1477" s="30" t="n"/>
      <c r="U1477" s="30" t="n"/>
      <c r="V1477" s="30" t="n"/>
      <c r="W1477" s="29">
        <f>IF(H1477="","",IF(H1477="Kenya","Yes","No"))</f>
        <v/>
      </c>
      <c r="X1477" s="29">
        <f>IF(B1477="","",IF(COUNTIF($B$5:$B$3004,B1477)&gt;1,"DUPLICATE","OK"))</f>
        <v/>
      </c>
      <c r="Y1477" s="29">
        <f>IF(OR(U1477="",V1477="",V1477="Excluded"),"",IF(COUNTIFS($U$5:$U$3004,U1477,$V$5:$V$3004,"&lt;&gt;"&amp;V1477,$V$5:$V$3004,"&lt;&gt;",$V$5:$V$3004,"&lt;&gt;Excluded")&gt;0,"LEAK RISK","OK"))</f>
        <v/>
      </c>
      <c r="Z1477" s="30" t="n"/>
    </row>
    <row r="1478">
      <c r="A1478" s="30" t="n"/>
      <c r="B1478" s="30" t="n"/>
      <c r="C1478" s="30" t="n"/>
      <c r="D1478" s="30" t="n"/>
      <c r="E1478" s="30" t="n"/>
      <c r="F1478" s="30" t="n"/>
      <c r="G1478" s="30" t="n"/>
      <c r="H1478" s="30" t="n"/>
      <c r="I1478" s="31" t="n"/>
      <c r="J1478" s="30" t="n"/>
      <c r="K1478" s="30" t="n"/>
      <c r="L1478" s="30" t="n"/>
      <c r="M1478" s="30" t="n"/>
      <c r="N1478" s="32" t="n"/>
      <c r="O1478" s="30" t="n"/>
      <c r="P1478" s="32" t="n"/>
      <c r="Q1478" s="30" t="n"/>
      <c r="R1478" s="32" t="n"/>
      <c r="S1478" s="30" t="n"/>
      <c r="T1478" s="30" t="n"/>
      <c r="U1478" s="30" t="n"/>
      <c r="V1478" s="30" t="n"/>
      <c r="W1478" s="29">
        <f>IF(H1478="","",IF(H1478="Kenya","Yes","No"))</f>
        <v/>
      </c>
      <c r="X1478" s="29">
        <f>IF(B1478="","",IF(COUNTIF($B$5:$B$3004,B1478)&gt;1,"DUPLICATE","OK"))</f>
        <v/>
      </c>
      <c r="Y1478" s="29">
        <f>IF(OR(U1478="",V1478="",V1478="Excluded"),"",IF(COUNTIFS($U$5:$U$3004,U1478,$V$5:$V$3004,"&lt;&gt;"&amp;V1478,$V$5:$V$3004,"&lt;&gt;",$V$5:$V$3004,"&lt;&gt;Excluded")&gt;0,"LEAK RISK","OK"))</f>
        <v/>
      </c>
      <c r="Z1478" s="30" t="n"/>
    </row>
    <row r="1479">
      <c r="A1479" s="30" t="n"/>
      <c r="B1479" s="30" t="n"/>
      <c r="C1479" s="30" t="n"/>
      <c r="D1479" s="30" t="n"/>
      <c r="E1479" s="30" t="n"/>
      <c r="F1479" s="30" t="n"/>
      <c r="G1479" s="30" t="n"/>
      <c r="H1479" s="30" t="n"/>
      <c r="I1479" s="31" t="n"/>
      <c r="J1479" s="30" t="n"/>
      <c r="K1479" s="30" t="n"/>
      <c r="L1479" s="30" t="n"/>
      <c r="M1479" s="30" t="n"/>
      <c r="N1479" s="32" t="n"/>
      <c r="O1479" s="30" t="n"/>
      <c r="P1479" s="32" t="n"/>
      <c r="Q1479" s="30" t="n"/>
      <c r="R1479" s="32" t="n"/>
      <c r="S1479" s="30" t="n"/>
      <c r="T1479" s="30" t="n"/>
      <c r="U1479" s="30" t="n"/>
      <c r="V1479" s="30" t="n"/>
      <c r="W1479" s="29">
        <f>IF(H1479="","",IF(H1479="Kenya","Yes","No"))</f>
        <v/>
      </c>
      <c r="X1479" s="29">
        <f>IF(B1479="","",IF(COUNTIF($B$5:$B$3004,B1479)&gt;1,"DUPLICATE","OK"))</f>
        <v/>
      </c>
      <c r="Y1479" s="29">
        <f>IF(OR(U1479="",V1479="",V1479="Excluded"),"",IF(COUNTIFS($U$5:$U$3004,U1479,$V$5:$V$3004,"&lt;&gt;"&amp;V1479,$V$5:$V$3004,"&lt;&gt;",$V$5:$V$3004,"&lt;&gt;Excluded")&gt;0,"LEAK RISK","OK"))</f>
        <v/>
      </c>
      <c r="Z1479" s="30" t="n"/>
    </row>
    <row r="1480">
      <c r="A1480" s="30" t="n"/>
      <c r="B1480" s="30" t="n"/>
      <c r="C1480" s="30" t="n"/>
      <c r="D1480" s="30" t="n"/>
      <c r="E1480" s="30" t="n"/>
      <c r="F1480" s="30" t="n"/>
      <c r="G1480" s="30" t="n"/>
      <c r="H1480" s="30" t="n"/>
      <c r="I1480" s="31" t="n"/>
      <c r="J1480" s="30" t="n"/>
      <c r="K1480" s="30" t="n"/>
      <c r="L1480" s="30" t="n"/>
      <c r="M1480" s="30" t="n"/>
      <c r="N1480" s="32" t="n"/>
      <c r="O1480" s="30" t="n"/>
      <c r="P1480" s="32" t="n"/>
      <c r="Q1480" s="30" t="n"/>
      <c r="R1480" s="32" t="n"/>
      <c r="S1480" s="30" t="n"/>
      <c r="T1480" s="30" t="n"/>
      <c r="U1480" s="30" t="n"/>
      <c r="V1480" s="30" t="n"/>
      <c r="W1480" s="29">
        <f>IF(H1480="","",IF(H1480="Kenya","Yes","No"))</f>
        <v/>
      </c>
      <c r="X1480" s="29">
        <f>IF(B1480="","",IF(COUNTIF($B$5:$B$3004,B1480)&gt;1,"DUPLICATE","OK"))</f>
        <v/>
      </c>
      <c r="Y1480" s="29">
        <f>IF(OR(U1480="",V1480="",V1480="Excluded"),"",IF(COUNTIFS($U$5:$U$3004,U1480,$V$5:$V$3004,"&lt;&gt;"&amp;V1480,$V$5:$V$3004,"&lt;&gt;",$V$5:$V$3004,"&lt;&gt;Excluded")&gt;0,"LEAK RISK","OK"))</f>
        <v/>
      </c>
      <c r="Z1480" s="30" t="n"/>
    </row>
    <row r="1481">
      <c r="A1481" s="30" t="n"/>
      <c r="B1481" s="30" t="n"/>
      <c r="C1481" s="30" t="n"/>
      <c r="D1481" s="30" t="n"/>
      <c r="E1481" s="30" t="n"/>
      <c r="F1481" s="30" t="n"/>
      <c r="G1481" s="30" t="n"/>
      <c r="H1481" s="30" t="n"/>
      <c r="I1481" s="31" t="n"/>
      <c r="J1481" s="30" t="n"/>
      <c r="K1481" s="30" t="n"/>
      <c r="L1481" s="30" t="n"/>
      <c r="M1481" s="30" t="n"/>
      <c r="N1481" s="32" t="n"/>
      <c r="O1481" s="30" t="n"/>
      <c r="P1481" s="32" t="n"/>
      <c r="Q1481" s="30" t="n"/>
      <c r="R1481" s="32" t="n"/>
      <c r="S1481" s="30" t="n"/>
      <c r="T1481" s="30" t="n"/>
      <c r="U1481" s="30" t="n"/>
      <c r="V1481" s="30" t="n"/>
      <c r="W1481" s="29">
        <f>IF(H1481="","",IF(H1481="Kenya","Yes","No"))</f>
        <v/>
      </c>
      <c r="X1481" s="29">
        <f>IF(B1481="","",IF(COUNTIF($B$5:$B$3004,B1481)&gt;1,"DUPLICATE","OK"))</f>
        <v/>
      </c>
      <c r="Y1481" s="29">
        <f>IF(OR(U1481="",V1481="",V1481="Excluded"),"",IF(COUNTIFS($U$5:$U$3004,U1481,$V$5:$V$3004,"&lt;&gt;"&amp;V1481,$V$5:$V$3004,"&lt;&gt;",$V$5:$V$3004,"&lt;&gt;Excluded")&gt;0,"LEAK RISK","OK"))</f>
        <v/>
      </c>
      <c r="Z1481" s="30" t="n"/>
    </row>
    <row r="1482">
      <c r="A1482" s="30" t="n"/>
      <c r="B1482" s="30" t="n"/>
      <c r="C1482" s="30" t="n"/>
      <c r="D1482" s="30" t="n"/>
      <c r="E1482" s="30" t="n"/>
      <c r="F1482" s="30" t="n"/>
      <c r="G1482" s="30" t="n"/>
      <c r="H1482" s="30" t="n"/>
      <c r="I1482" s="31" t="n"/>
      <c r="J1482" s="30" t="n"/>
      <c r="K1482" s="30" t="n"/>
      <c r="L1482" s="30" t="n"/>
      <c r="M1482" s="30" t="n"/>
      <c r="N1482" s="32" t="n"/>
      <c r="O1482" s="30" t="n"/>
      <c r="P1482" s="32" t="n"/>
      <c r="Q1482" s="30" t="n"/>
      <c r="R1482" s="32" t="n"/>
      <c r="S1482" s="30" t="n"/>
      <c r="T1482" s="30" t="n"/>
      <c r="U1482" s="30" t="n"/>
      <c r="V1482" s="30" t="n"/>
      <c r="W1482" s="29">
        <f>IF(H1482="","",IF(H1482="Kenya","Yes","No"))</f>
        <v/>
      </c>
      <c r="X1482" s="29">
        <f>IF(B1482="","",IF(COUNTIF($B$5:$B$3004,B1482)&gt;1,"DUPLICATE","OK"))</f>
        <v/>
      </c>
      <c r="Y1482" s="29">
        <f>IF(OR(U1482="",V1482="",V1482="Excluded"),"",IF(COUNTIFS($U$5:$U$3004,U1482,$V$5:$V$3004,"&lt;&gt;"&amp;V1482,$V$5:$V$3004,"&lt;&gt;",$V$5:$V$3004,"&lt;&gt;Excluded")&gt;0,"LEAK RISK","OK"))</f>
        <v/>
      </c>
      <c r="Z1482" s="30" t="n"/>
    </row>
    <row r="1483">
      <c r="A1483" s="30" t="n"/>
      <c r="B1483" s="30" t="n"/>
      <c r="C1483" s="30" t="n"/>
      <c r="D1483" s="30" t="n"/>
      <c r="E1483" s="30" t="n"/>
      <c r="F1483" s="30" t="n"/>
      <c r="G1483" s="30" t="n"/>
      <c r="H1483" s="30" t="n"/>
      <c r="I1483" s="31" t="n"/>
      <c r="J1483" s="30" t="n"/>
      <c r="K1483" s="30" t="n"/>
      <c r="L1483" s="30" t="n"/>
      <c r="M1483" s="30" t="n"/>
      <c r="N1483" s="32" t="n"/>
      <c r="O1483" s="30" t="n"/>
      <c r="P1483" s="32" t="n"/>
      <c r="Q1483" s="30" t="n"/>
      <c r="R1483" s="32" t="n"/>
      <c r="S1483" s="30" t="n"/>
      <c r="T1483" s="30" t="n"/>
      <c r="U1483" s="30" t="n"/>
      <c r="V1483" s="30" t="n"/>
      <c r="W1483" s="29">
        <f>IF(H1483="","",IF(H1483="Kenya","Yes","No"))</f>
        <v/>
      </c>
      <c r="X1483" s="29">
        <f>IF(B1483="","",IF(COUNTIF($B$5:$B$3004,B1483)&gt;1,"DUPLICATE","OK"))</f>
        <v/>
      </c>
      <c r="Y1483" s="29">
        <f>IF(OR(U1483="",V1483="",V1483="Excluded"),"",IF(COUNTIFS($U$5:$U$3004,U1483,$V$5:$V$3004,"&lt;&gt;"&amp;V1483,$V$5:$V$3004,"&lt;&gt;",$V$5:$V$3004,"&lt;&gt;Excluded")&gt;0,"LEAK RISK","OK"))</f>
        <v/>
      </c>
      <c r="Z1483" s="30" t="n"/>
    </row>
    <row r="1484">
      <c r="A1484" s="30" t="n"/>
      <c r="B1484" s="30" t="n"/>
      <c r="C1484" s="30" t="n"/>
      <c r="D1484" s="30" t="n"/>
      <c r="E1484" s="30" t="n"/>
      <c r="F1484" s="30" t="n"/>
      <c r="G1484" s="30" t="n"/>
      <c r="H1484" s="30" t="n"/>
      <c r="I1484" s="31" t="n"/>
      <c r="J1484" s="30" t="n"/>
      <c r="K1484" s="30" t="n"/>
      <c r="L1484" s="30" t="n"/>
      <c r="M1484" s="30" t="n"/>
      <c r="N1484" s="32" t="n"/>
      <c r="O1484" s="30" t="n"/>
      <c r="P1484" s="32" t="n"/>
      <c r="Q1484" s="30" t="n"/>
      <c r="R1484" s="32" t="n"/>
      <c r="S1484" s="30" t="n"/>
      <c r="T1484" s="30" t="n"/>
      <c r="U1484" s="30" t="n"/>
      <c r="V1484" s="30" t="n"/>
      <c r="W1484" s="29">
        <f>IF(H1484="","",IF(H1484="Kenya","Yes","No"))</f>
        <v/>
      </c>
      <c r="X1484" s="29">
        <f>IF(B1484="","",IF(COUNTIF($B$5:$B$3004,B1484)&gt;1,"DUPLICATE","OK"))</f>
        <v/>
      </c>
      <c r="Y1484" s="29">
        <f>IF(OR(U1484="",V1484="",V1484="Excluded"),"",IF(COUNTIFS($U$5:$U$3004,U1484,$V$5:$V$3004,"&lt;&gt;"&amp;V1484,$V$5:$V$3004,"&lt;&gt;",$V$5:$V$3004,"&lt;&gt;Excluded")&gt;0,"LEAK RISK","OK"))</f>
        <v/>
      </c>
      <c r="Z1484" s="30" t="n"/>
    </row>
    <row r="1485">
      <c r="A1485" s="30" t="n"/>
      <c r="B1485" s="30" t="n"/>
      <c r="C1485" s="30" t="n"/>
      <c r="D1485" s="30" t="n"/>
      <c r="E1485" s="30" t="n"/>
      <c r="F1485" s="30" t="n"/>
      <c r="G1485" s="30" t="n"/>
      <c r="H1485" s="30" t="n"/>
      <c r="I1485" s="31" t="n"/>
      <c r="J1485" s="30" t="n"/>
      <c r="K1485" s="30" t="n"/>
      <c r="L1485" s="30" t="n"/>
      <c r="M1485" s="30" t="n"/>
      <c r="N1485" s="32" t="n"/>
      <c r="O1485" s="30" t="n"/>
      <c r="P1485" s="32" t="n"/>
      <c r="Q1485" s="30" t="n"/>
      <c r="R1485" s="32" t="n"/>
      <c r="S1485" s="30" t="n"/>
      <c r="T1485" s="30" t="n"/>
      <c r="U1485" s="30" t="n"/>
      <c r="V1485" s="30" t="n"/>
      <c r="W1485" s="29">
        <f>IF(H1485="","",IF(H1485="Kenya","Yes","No"))</f>
        <v/>
      </c>
      <c r="X1485" s="29">
        <f>IF(B1485="","",IF(COUNTIF($B$5:$B$3004,B1485)&gt;1,"DUPLICATE","OK"))</f>
        <v/>
      </c>
      <c r="Y1485" s="29">
        <f>IF(OR(U1485="",V1485="",V1485="Excluded"),"",IF(COUNTIFS($U$5:$U$3004,U1485,$V$5:$V$3004,"&lt;&gt;"&amp;V1485,$V$5:$V$3004,"&lt;&gt;",$V$5:$V$3004,"&lt;&gt;Excluded")&gt;0,"LEAK RISK","OK"))</f>
        <v/>
      </c>
      <c r="Z1485" s="30" t="n"/>
    </row>
    <row r="1486">
      <c r="A1486" s="30" t="n"/>
      <c r="B1486" s="30" t="n"/>
      <c r="C1486" s="30" t="n"/>
      <c r="D1486" s="30" t="n"/>
      <c r="E1486" s="30" t="n"/>
      <c r="F1486" s="30" t="n"/>
      <c r="G1486" s="30" t="n"/>
      <c r="H1486" s="30" t="n"/>
      <c r="I1486" s="31" t="n"/>
      <c r="J1486" s="30" t="n"/>
      <c r="K1486" s="30" t="n"/>
      <c r="L1486" s="30" t="n"/>
      <c r="M1486" s="30" t="n"/>
      <c r="N1486" s="32" t="n"/>
      <c r="O1486" s="30" t="n"/>
      <c r="P1486" s="32" t="n"/>
      <c r="Q1486" s="30" t="n"/>
      <c r="R1486" s="32" t="n"/>
      <c r="S1486" s="30" t="n"/>
      <c r="T1486" s="30" t="n"/>
      <c r="U1486" s="30" t="n"/>
      <c r="V1486" s="30" t="n"/>
      <c r="W1486" s="29">
        <f>IF(H1486="","",IF(H1486="Kenya","Yes","No"))</f>
        <v/>
      </c>
      <c r="X1486" s="29">
        <f>IF(B1486="","",IF(COUNTIF($B$5:$B$3004,B1486)&gt;1,"DUPLICATE","OK"))</f>
        <v/>
      </c>
      <c r="Y1486" s="29">
        <f>IF(OR(U1486="",V1486="",V1486="Excluded"),"",IF(COUNTIFS($U$5:$U$3004,U1486,$V$5:$V$3004,"&lt;&gt;"&amp;V1486,$V$5:$V$3004,"&lt;&gt;",$V$5:$V$3004,"&lt;&gt;Excluded")&gt;0,"LEAK RISK","OK"))</f>
        <v/>
      </c>
      <c r="Z1486" s="30" t="n"/>
    </row>
    <row r="1487">
      <c r="A1487" s="30" t="n"/>
      <c r="B1487" s="30" t="n"/>
      <c r="C1487" s="30" t="n"/>
      <c r="D1487" s="30" t="n"/>
      <c r="E1487" s="30" t="n"/>
      <c r="F1487" s="30" t="n"/>
      <c r="G1487" s="30" t="n"/>
      <c r="H1487" s="30" t="n"/>
      <c r="I1487" s="31" t="n"/>
      <c r="J1487" s="30" t="n"/>
      <c r="K1487" s="30" t="n"/>
      <c r="L1487" s="30" t="n"/>
      <c r="M1487" s="30" t="n"/>
      <c r="N1487" s="32" t="n"/>
      <c r="O1487" s="30" t="n"/>
      <c r="P1487" s="32" t="n"/>
      <c r="Q1487" s="30" t="n"/>
      <c r="R1487" s="32" t="n"/>
      <c r="S1487" s="30" t="n"/>
      <c r="T1487" s="30" t="n"/>
      <c r="U1487" s="30" t="n"/>
      <c r="V1487" s="30" t="n"/>
      <c r="W1487" s="29">
        <f>IF(H1487="","",IF(H1487="Kenya","Yes","No"))</f>
        <v/>
      </c>
      <c r="X1487" s="29">
        <f>IF(B1487="","",IF(COUNTIF($B$5:$B$3004,B1487)&gt;1,"DUPLICATE","OK"))</f>
        <v/>
      </c>
      <c r="Y1487" s="29">
        <f>IF(OR(U1487="",V1487="",V1487="Excluded"),"",IF(COUNTIFS($U$5:$U$3004,U1487,$V$5:$V$3004,"&lt;&gt;"&amp;V1487,$V$5:$V$3004,"&lt;&gt;",$V$5:$V$3004,"&lt;&gt;Excluded")&gt;0,"LEAK RISK","OK"))</f>
        <v/>
      </c>
      <c r="Z1487" s="30" t="n"/>
    </row>
    <row r="1488">
      <c r="A1488" s="30" t="n"/>
      <c r="B1488" s="30" t="n"/>
      <c r="C1488" s="30" t="n"/>
      <c r="D1488" s="30" t="n"/>
      <c r="E1488" s="30" t="n"/>
      <c r="F1488" s="30" t="n"/>
      <c r="G1488" s="30" t="n"/>
      <c r="H1488" s="30" t="n"/>
      <c r="I1488" s="31" t="n"/>
      <c r="J1488" s="30" t="n"/>
      <c r="K1488" s="30" t="n"/>
      <c r="L1488" s="30" t="n"/>
      <c r="M1488" s="30" t="n"/>
      <c r="N1488" s="32" t="n"/>
      <c r="O1488" s="30" t="n"/>
      <c r="P1488" s="32" t="n"/>
      <c r="Q1488" s="30" t="n"/>
      <c r="R1488" s="32" t="n"/>
      <c r="S1488" s="30" t="n"/>
      <c r="T1488" s="30" t="n"/>
      <c r="U1488" s="30" t="n"/>
      <c r="V1488" s="30" t="n"/>
      <c r="W1488" s="29">
        <f>IF(H1488="","",IF(H1488="Kenya","Yes","No"))</f>
        <v/>
      </c>
      <c r="X1488" s="29">
        <f>IF(B1488="","",IF(COUNTIF($B$5:$B$3004,B1488)&gt;1,"DUPLICATE","OK"))</f>
        <v/>
      </c>
      <c r="Y1488" s="29">
        <f>IF(OR(U1488="",V1488="",V1488="Excluded"),"",IF(COUNTIFS($U$5:$U$3004,U1488,$V$5:$V$3004,"&lt;&gt;"&amp;V1488,$V$5:$V$3004,"&lt;&gt;",$V$5:$V$3004,"&lt;&gt;Excluded")&gt;0,"LEAK RISK","OK"))</f>
        <v/>
      </c>
      <c r="Z1488" s="30" t="n"/>
    </row>
    <row r="1489">
      <c r="A1489" s="30" t="n"/>
      <c r="B1489" s="30" t="n"/>
      <c r="C1489" s="30" t="n"/>
      <c r="D1489" s="30" t="n"/>
      <c r="E1489" s="30" t="n"/>
      <c r="F1489" s="30" t="n"/>
      <c r="G1489" s="30" t="n"/>
      <c r="H1489" s="30" t="n"/>
      <c r="I1489" s="31" t="n"/>
      <c r="J1489" s="30" t="n"/>
      <c r="K1489" s="30" t="n"/>
      <c r="L1489" s="30" t="n"/>
      <c r="M1489" s="30" t="n"/>
      <c r="N1489" s="32" t="n"/>
      <c r="O1489" s="30" t="n"/>
      <c r="P1489" s="32" t="n"/>
      <c r="Q1489" s="30" t="n"/>
      <c r="R1489" s="32" t="n"/>
      <c r="S1489" s="30" t="n"/>
      <c r="T1489" s="30" t="n"/>
      <c r="U1489" s="30" t="n"/>
      <c r="V1489" s="30" t="n"/>
      <c r="W1489" s="29">
        <f>IF(H1489="","",IF(H1489="Kenya","Yes","No"))</f>
        <v/>
      </c>
      <c r="X1489" s="29">
        <f>IF(B1489="","",IF(COUNTIF($B$5:$B$3004,B1489)&gt;1,"DUPLICATE","OK"))</f>
        <v/>
      </c>
      <c r="Y1489" s="29">
        <f>IF(OR(U1489="",V1489="",V1489="Excluded"),"",IF(COUNTIFS($U$5:$U$3004,U1489,$V$5:$V$3004,"&lt;&gt;"&amp;V1489,$V$5:$V$3004,"&lt;&gt;",$V$5:$V$3004,"&lt;&gt;Excluded")&gt;0,"LEAK RISK","OK"))</f>
        <v/>
      </c>
      <c r="Z1489" s="30" t="n"/>
    </row>
    <row r="1490">
      <c r="A1490" s="30" t="n"/>
      <c r="B1490" s="30" t="n"/>
      <c r="C1490" s="30" t="n"/>
      <c r="D1490" s="30" t="n"/>
      <c r="E1490" s="30" t="n"/>
      <c r="F1490" s="30" t="n"/>
      <c r="G1490" s="30" t="n"/>
      <c r="H1490" s="30" t="n"/>
      <c r="I1490" s="31" t="n"/>
      <c r="J1490" s="30" t="n"/>
      <c r="K1490" s="30" t="n"/>
      <c r="L1490" s="30" t="n"/>
      <c r="M1490" s="30" t="n"/>
      <c r="N1490" s="32" t="n"/>
      <c r="O1490" s="30" t="n"/>
      <c r="P1490" s="32" t="n"/>
      <c r="Q1490" s="30" t="n"/>
      <c r="R1490" s="32" t="n"/>
      <c r="S1490" s="30" t="n"/>
      <c r="T1490" s="30" t="n"/>
      <c r="U1490" s="30" t="n"/>
      <c r="V1490" s="30" t="n"/>
      <c r="W1490" s="29">
        <f>IF(H1490="","",IF(H1490="Kenya","Yes","No"))</f>
        <v/>
      </c>
      <c r="X1490" s="29">
        <f>IF(B1490="","",IF(COUNTIF($B$5:$B$3004,B1490)&gt;1,"DUPLICATE","OK"))</f>
        <v/>
      </c>
      <c r="Y1490" s="29">
        <f>IF(OR(U1490="",V1490="",V1490="Excluded"),"",IF(COUNTIFS($U$5:$U$3004,U1490,$V$5:$V$3004,"&lt;&gt;"&amp;V1490,$V$5:$V$3004,"&lt;&gt;",$V$5:$V$3004,"&lt;&gt;Excluded")&gt;0,"LEAK RISK","OK"))</f>
        <v/>
      </c>
      <c r="Z1490" s="30" t="n"/>
    </row>
    <row r="1491">
      <c r="A1491" s="30" t="n"/>
      <c r="B1491" s="30" t="n"/>
      <c r="C1491" s="30" t="n"/>
      <c r="D1491" s="30" t="n"/>
      <c r="E1491" s="30" t="n"/>
      <c r="F1491" s="30" t="n"/>
      <c r="G1491" s="30" t="n"/>
      <c r="H1491" s="30" t="n"/>
      <c r="I1491" s="31" t="n"/>
      <c r="J1491" s="30" t="n"/>
      <c r="K1491" s="30" t="n"/>
      <c r="L1491" s="30" t="n"/>
      <c r="M1491" s="30" t="n"/>
      <c r="N1491" s="32" t="n"/>
      <c r="O1491" s="30" t="n"/>
      <c r="P1491" s="32" t="n"/>
      <c r="Q1491" s="30" t="n"/>
      <c r="R1491" s="32" t="n"/>
      <c r="S1491" s="30" t="n"/>
      <c r="T1491" s="30" t="n"/>
      <c r="U1491" s="30" t="n"/>
      <c r="V1491" s="30" t="n"/>
      <c r="W1491" s="29">
        <f>IF(H1491="","",IF(H1491="Kenya","Yes","No"))</f>
        <v/>
      </c>
      <c r="X1491" s="29">
        <f>IF(B1491="","",IF(COUNTIF($B$5:$B$3004,B1491)&gt;1,"DUPLICATE","OK"))</f>
        <v/>
      </c>
      <c r="Y1491" s="29">
        <f>IF(OR(U1491="",V1491="",V1491="Excluded"),"",IF(COUNTIFS($U$5:$U$3004,U1491,$V$5:$V$3004,"&lt;&gt;"&amp;V1491,$V$5:$V$3004,"&lt;&gt;",$V$5:$V$3004,"&lt;&gt;Excluded")&gt;0,"LEAK RISK","OK"))</f>
        <v/>
      </c>
      <c r="Z1491" s="30" t="n"/>
    </row>
    <row r="1492">
      <c r="A1492" s="30" t="n"/>
      <c r="B1492" s="30" t="n"/>
      <c r="C1492" s="30" t="n"/>
      <c r="D1492" s="30" t="n"/>
      <c r="E1492" s="30" t="n"/>
      <c r="F1492" s="30" t="n"/>
      <c r="G1492" s="30" t="n"/>
      <c r="H1492" s="30" t="n"/>
      <c r="I1492" s="31" t="n"/>
      <c r="J1492" s="30" t="n"/>
      <c r="K1492" s="30" t="n"/>
      <c r="L1492" s="30" t="n"/>
      <c r="M1492" s="30" t="n"/>
      <c r="N1492" s="32" t="n"/>
      <c r="O1492" s="30" t="n"/>
      <c r="P1492" s="32" t="n"/>
      <c r="Q1492" s="30" t="n"/>
      <c r="R1492" s="32" t="n"/>
      <c r="S1492" s="30" t="n"/>
      <c r="T1492" s="30" t="n"/>
      <c r="U1492" s="30" t="n"/>
      <c r="V1492" s="30" t="n"/>
      <c r="W1492" s="29">
        <f>IF(H1492="","",IF(H1492="Kenya","Yes","No"))</f>
        <v/>
      </c>
      <c r="X1492" s="29">
        <f>IF(B1492="","",IF(COUNTIF($B$5:$B$3004,B1492)&gt;1,"DUPLICATE","OK"))</f>
        <v/>
      </c>
      <c r="Y1492" s="29">
        <f>IF(OR(U1492="",V1492="",V1492="Excluded"),"",IF(COUNTIFS($U$5:$U$3004,U1492,$V$5:$V$3004,"&lt;&gt;"&amp;V1492,$V$5:$V$3004,"&lt;&gt;",$V$5:$V$3004,"&lt;&gt;Excluded")&gt;0,"LEAK RISK","OK"))</f>
        <v/>
      </c>
      <c r="Z1492" s="30" t="n"/>
    </row>
    <row r="1493">
      <c r="A1493" s="30" t="n"/>
      <c r="B1493" s="30" t="n"/>
      <c r="C1493" s="30" t="n"/>
      <c r="D1493" s="30" t="n"/>
      <c r="E1493" s="30" t="n"/>
      <c r="F1493" s="30" t="n"/>
      <c r="G1493" s="30" t="n"/>
      <c r="H1493" s="30" t="n"/>
      <c r="I1493" s="31" t="n"/>
      <c r="J1493" s="30" t="n"/>
      <c r="K1493" s="30" t="n"/>
      <c r="L1493" s="30" t="n"/>
      <c r="M1493" s="30" t="n"/>
      <c r="N1493" s="32" t="n"/>
      <c r="O1493" s="30" t="n"/>
      <c r="P1493" s="32" t="n"/>
      <c r="Q1493" s="30" t="n"/>
      <c r="R1493" s="32" t="n"/>
      <c r="S1493" s="30" t="n"/>
      <c r="T1493" s="30" t="n"/>
      <c r="U1493" s="30" t="n"/>
      <c r="V1493" s="30" t="n"/>
      <c r="W1493" s="29">
        <f>IF(H1493="","",IF(H1493="Kenya","Yes","No"))</f>
        <v/>
      </c>
      <c r="X1493" s="29">
        <f>IF(B1493="","",IF(COUNTIF($B$5:$B$3004,B1493)&gt;1,"DUPLICATE","OK"))</f>
        <v/>
      </c>
      <c r="Y1493" s="29">
        <f>IF(OR(U1493="",V1493="",V1493="Excluded"),"",IF(COUNTIFS($U$5:$U$3004,U1493,$V$5:$V$3004,"&lt;&gt;"&amp;V1493,$V$5:$V$3004,"&lt;&gt;",$V$5:$V$3004,"&lt;&gt;Excluded")&gt;0,"LEAK RISK","OK"))</f>
        <v/>
      </c>
      <c r="Z1493" s="30" t="n"/>
    </row>
    <row r="1494">
      <c r="A1494" s="30" t="n"/>
      <c r="B1494" s="30" t="n"/>
      <c r="C1494" s="30" t="n"/>
      <c r="D1494" s="30" t="n"/>
      <c r="E1494" s="30" t="n"/>
      <c r="F1494" s="30" t="n"/>
      <c r="G1494" s="30" t="n"/>
      <c r="H1494" s="30" t="n"/>
      <c r="I1494" s="31" t="n"/>
      <c r="J1494" s="30" t="n"/>
      <c r="K1494" s="30" t="n"/>
      <c r="L1494" s="30" t="n"/>
      <c r="M1494" s="30" t="n"/>
      <c r="N1494" s="32" t="n"/>
      <c r="O1494" s="30" t="n"/>
      <c r="P1494" s="32" t="n"/>
      <c r="Q1494" s="30" t="n"/>
      <c r="R1494" s="32" t="n"/>
      <c r="S1494" s="30" t="n"/>
      <c r="T1494" s="30" t="n"/>
      <c r="U1494" s="30" t="n"/>
      <c r="V1494" s="30" t="n"/>
      <c r="W1494" s="29">
        <f>IF(H1494="","",IF(H1494="Kenya","Yes","No"))</f>
        <v/>
      </c>
      <c r="X1494" s="29">
        <f>IF(B1494="","",IF(COUNTIF($B$5:$B$3004,B1494)&gt;1,"DUPLICATE","OK"))</f>
        <v/>
      </c>
      <c r="Y1494" s="29">
        <f>IF(OR(U1494="",V1494="",V1494="Excluded"),"",IF(COUNTIFS($U$5:$U$3004,U1494,$V$5:$V$3004,"&lt;&gt;"&amp;V1494,$V$5:$V$3004,"&lt;&gt;",$V$5:$V$3004,"&lt;&gt;Excluded")&gt;0,"LEAK RISK","OK"))</f>
        <v/>
      </c>
      <c r="Z1494" s="30" t="n"/>
    </row>
    <row r="1495">
      <c r="A1495" s="30" t="n"/>
      <c r="B1495" s="30" t="n"/>
      <c r="C1495" s="30" t="n"/>
      <c r="D1495" s="30" t="n"/>
      <c r="E1495" s="30" t="n"/>
      <c r="F1495" s="30" t="n"/>
      <c r="G1495" s="30" t="n"/>
      <c r="H1495" s="30" t="n"/>
      <c r="I1495" s="31" t="n"/>
      <c r="J1495" s="30" t="n"/>
      <c r="K1495" s="30" t="n"/>
      <c r="L1495" s="30" t="n"/>
      <c r="M1495" s="30" t="n"/>
      <c r="N1495" s="32" t="n"/>
      <c r="O1495" s="30" t="n"/>
      <c r="P1495" s="32" t="n"/>
      <c r="Q1495" s="30" t="n"/>
      <c r="R1495" s="32" t="n"/>
      <c r="S1495" s="30" t="n"/>
      <c r="T1495" s="30" t="n"/>
      <c r="U1495" s="30" t="n"/>
      <c r="V1495" s="30" t="n"/>
      <c r="W1495" s="29">
        <f>IF(H1495="","",IF(H1495="Kenya","Yes","No"))</f>
        <v/>
      </c>
      <c r="X1495" s="29">
        <f>IF(B1495="","",IF(COUNTIF($B$5:$B$3004,B1495)&gt;1,"DUPLICATE","OK"))</f>
        <v/>
      </c>
      <c r="Y1495" s="29">
        <f>IF(OR(U1495="",V1495="",V1495="Excluded"),"",IF(COUNTIFS($U$5:$U$3004,U1495,$V$5:$V$3004,"&lt;&gt;"&amp;V1495,$V$5:$V$3004,"&lt;&gt;",$V$5:$V$3004,"&lt;&gt;Excluded")&gt;0,"LEAK RISK","OK"))</f>
        <v/>
      </c>
      <c r="Z1495" s="30" t="n"/>
    </row>
    <row r="1496">
      <c r="A1496" s="30" t="n"/>
      <c r="B1496" s="30" t="n"/>
      <c r="C1496" s="30" t="n"/>
      <c r="D1496" s="30" t="n"/>
      <c r="E1496" s="30" t="n"/>
      <c r="F1496" s="30" t="n"/>
      <c r="G1496" s="30" t="n"/>
      <c r="H1496" s="30" t="n"/>
      <c r="I1496" s="31" t="n"/>
      <c r="J1496" s="30" t="n"/>
      <c r="K1496" s="30" t="n"/>
      <c r="L1496" s="30" t="n"/>
      <c r="M1496" s="30" t="n"/>
      <c r="N1496" s="32" t="n"/>
      <c r="O1496" s="30" t="n"/>
      <c r="P1496" s="32" t="n"/>
      <c r="Q1496" s="30" t="n"/>
      <c r="R1496" s="32" t="n"/>
      <c r="S1496" s="30" t="n"/>
      <c r="T1496" s="30" t="n"/>
      <c r="U1496" s="30" t="n"/>
      <c r="V1496" s="30" t="n"/>
      <c r="W1496" s="29">
        <f>IF(H1496="","",IF(H1496="Kenya","Yes","No"))</f>
        <v/>
      </c>
      <c r="X1496" s="29">
        <f>IF(B1496="","",IF(COUNTIF($B$5:$B$3004,B1496)&gt;1,"DUPLICATE","OK"))</f>
        <v/>
      </c>
      <c r="Y1496" s="29">
        <f>IF(OR(U1496="",V1496="",V1496="Excluded"),"",IF(COUNTIFS($U$5:$U$3004,U1496,$V$5:$V$3004,"&lt;&gt;"&amp;V1496,$V$5:$V$3004,"&lt;&gt;",$V$5:$V$3004,"&lt;&gt;Excluded")&gt;0,"LEAK RISK","OK"))</f>
        <v/>
      </c>
      <c r="Z1496" s="30" t="n"/>
    </row>
    <row r="1497">
      <c r="A1497" s="30" t="n"/>
      <c r="B1497" s="30" t="n"/>
      <c r="C1497" s="30" t="n"/>
      <c r="D1497" s="30" t="n"/>
      <c r="E1497" s="30" t="n"/>
      <c r="F1497" s="30" t="n"/>
      <c r="G1497" s="30" t="n"/>
      <c r="H1497" s="30" t="n"/>
      <c r="I1497" s="31" t="n"/>
      <c r="J1497" s="30" t="n"/>
      <c r="K1497" s="30" t="n"/>
      <c r="L1497" s="30" t="n"/>
      <c r="M1497" s="30" t="n"/>
      <c r="N1497" s="32" t="n"/>
      <c r="O1497" s="30" t="n"/>
      <c r="P1497" s="32" t="n"/>
      <c r="Q1497" s="30" t="n"/>
      <c r="R1497" s="32" t="n"/>
      <c r="S1497" s="30" t="n"/>
      <c r="T1497" s="30" t="n"/>
      <c r="U1497" s="30" t="n"/>
      <c r="V1497" s="30" t="n"/>
      <c r="W1497" s="29">
        <f>IF(H1497="","",IF(H1497="Kenya","Yes","No"))</f>
        <v/>
      </c>
      <c r="X1497" s="29">
        <f>IF(B1497="","",IF(COUNTIF($B$5:$B$3004,B1497)&gt;1,"DUPLICATE","OK"))</f>
        <v/>
      </c>
      <c r="Y1497" s="29">
        <f>IF(OR(U1497="",V1497="",V1497="Excluded"),"",IF(COUNTIFS($U$5:$U$3004,U1497,$V$5:$V$3004,"&lt;&gt;"&amp;V1497,$V$5:$V$3004,"&lt;&gt;",$V$5:$V$3004,"&lt;&gt;Excluded")&gt;0,"LEAK RISK","OK"))</f>
        <v/>
      </c>
      <c r="Z1497" s="30" t="n"/>
    </row>
    <row r="1498">
      <c r="A1498" s="30" t="n"/>
      <c r="B1498" s="30" t="n"/>
      <c r="C1498" s="30" t="n"/>
      <c r="D1498" s="30" t="n"/>
      <c r="E1498" s="30" t="n"/>
      <c r="F1498" s="30" t="n"/>
      <c r="G1498" s="30" t="n"/>
      <c r="H1498" s="30" t="n"/>
      <c r="I1498" s="31" t="n"/>
      <c r="J1498" s="30" t="n"/>
      <c r="K1498" s="30" t="n"/>
      <c r="L1498" s="30" t="n"/>
      <c r="M1498" s="30" t="n"/>
      <c r="N1498" s="32" t="n"/>
      <c r="O1498" s="30" t="n"/>
      <c r="P1498" s="32" t="n"/>
      <c r="Q1498" s="30" t="n"/>
      <c r="R1498" s="32" t="n"/>
      <c r="S1498" s="30" t="n"/>
      <c r="T1498" s="30" t="n"/>
      <c r="U1498" s="30" t="n"/>
      <c r="V1498" s="30" t="n"/>
      <c r="W1498" s="29">
        <f>IF(H1498="","",IF(H1498="Kenya","Yes","No"))</f>
        <v/>
      </c>
      <c r="X1498" s="29">
        <f>IF(B1498="","",IF(COUNTIF($B$5:$B$3004,B1498)&gt;1,"DUPLICATE","OK"))</f>
        <v/>
      </c>
      <c r="Y1498" s="29">
        <f>IF(OR(U1498="",V1498="",V1498="Excluded"),"",IF(COUNTIFS($U$5:$U$3004,U1498,$V$5:$V$3004,"&lt;&gt;"&amp;V1498,$V$5:$V$3004,"&lt;&gt;",$V$5:$V$3004,"&lt;&gt;Excluded")&gt;0,"LEAK RISK","OK"))</f>
        <v/>
      </c>
      <c r="Z1498" s="30" t="n"/>
    </row>
    <row r="1499">
      <c r="A1499" s="30" t="n"/>
      <c r="B1499" s="30" t="n"/>
      <c r="C1499" s="30" t="n"/>
      <c r="D1499" s="30" t="n"/>
      <c r="E1499" s="30" t="n"/>
      <c r="F1499" s="30" t="n"/>
      <c r="G1499" s="30" t="n"/>
      <c r="H1499" s="30" t="n"/>
      <c r="I1499" s="31" t="n"/>
      <c r="J1499" s="30" t="n"/>
      <c r="K1499" s="30" t="n"/>
      <c r="L1499" s="30" t="n"/>
      <c r="M1499" s="30" t="n"/>
      <c r="N1499" s="32" t="n"/>
      <c r="O1499" s="30" t="n"/>
      <c r="P1499" s="32" t="n"/>
      <c r="Q1499" s="30" t="n"/>
      <c r="R1499" s="32" t="n"/>
      <c r="S1499" s="30" t="n"/>
      <c r="T1499" s="30" t="n"/>
      <c r="U1499" s="30" t="n"/>
      <c r="V1499" s="30" t="n"/>
      <c r="W1499" s="29">
        <f>IF(H1499="","",IF(H1499="Kenya","Yes","No"))</f>
        <v/>
      </c>
      <c r="X1499" s="29">
        <f>IF(B1499="","",IF(COUNTIF($B$5:$B$3004,B1499)&gt;1,"DUPLICATE","OK"))</f>
        <v/>
      </c>
      <c r="Y1499" s="29">
        <f>IF(OR(U1499="",V1499="",V1499="Excluded"),"",IF(COUNTIFS($U$5:$U$3004,U1499,$V$5:$V$3004,"&lt;&gt;"&amp;V1499,$V$5:$V$3004,"&lt;&gt;",$V$5:$V$3004,"&lt;&gt;Excluded")&gt;0,"LEAK RISK","OK"))</f>
        <v/>
      </c>
      <c r="Z1499" s="30" t="n"/>
    </row>
    <row r="1500">
      <c r="A1500" s="30" t="n"/>
      <c r="B1500" s="30" t="n"/>
      <c r="C1500" s="30" t="n"/>
      <c r="D1500" s="30" t="n"/>
      <c r="E1500" s="30" t="n"/>
      <c r="F1500" s="30" t="n"/>
      <c r="G1500" s="30" t="n"/>
      <c r="H1500" s="30" t="n"/>
      <c r="I1500" s="31" t="n"/>
      <c r="J1500" s="30" t="n"/>
      <c r="K1500" s="30" t="n"/>
      <c r="L1500" s="30" t="n"/>
      <c r="M1500" s="30" t="n"/>
      <c r="N1500" s="32" t="n"/>
      <c r="O1500" s="30" t="n"/>
      <c r="P1500" s="32" t="n"/>
      <c r="Q1500" s="30" t="n"/>
      <c r="R1500" s="32" t="n"/>
      <c r="S1500" s="30" t="n"/>
      <c r="T1500" s="30" t="n"/>
      <c r="U1500" s="30" t="n"/>
      <c r="V1500" s="30" t="n"/>
      <c r="W1500" s="29">
        <f>IF(H1500="","",IF(H1500="Kenya","Yes","No"))</f>
        <v/>
      </c>
      <c r="X1500" s="29">
        <f>IF(B1500="","",IF(COUNTIF($B$5:$B$3004,B1500)&gt;1,"DUPLICATE","OK"))</f>
        <v/>
      </c>
      <c r="Y1500" s="29">
        <f>IF(OR(U1500="",V1500="",V1500="Excluded"),"",IF(COUNTIFS($U$5:$U$3004,U1500,$V$5:$V$3004,"&lt;&gt;"&amp;V1500,$V$5:$V$3004,"&lt;&gt;",$V$5:$V$3004,"&lt;&gt;Excluded")&gt;0,"LEAK RISK","OK"))</f>
        <v/>
      </c>
      <c r="Z1500" s="30" t="n"/>
    </row>
    <row r="1501">
      <c r="A1501" s="30" t="n"/>
      <c r="B1501" s="30" t="n"/>
      <c r="C1501" s="30" t="n"/>
      <c r="D1501" s="30" t="n"/>
      <c r="E1501" s="30" t="n"/>
      <c r="F1501" s="30" t="n"/>
      <c r="G1501" s="30" t="n"/>
      <c r="H1501" s="30" t="n"/>
      <c r="I1501" s="31" t="n"/>
      <c r="J1501" s="30" t="n"/>
      <c r="K1501" s="30" t="n"/>
      <c r="L1501" s="30" t="n"/>
      <c r="M1501" s="30" t="n"/>
      <c r="N1501" s="32" t="n"/>
      <c r="O1501" s="30" t="n"/>
      <c r="P1501" s="32" t="n"/>
      <c r="Q1501" s="30" t="n"/>
      <c r="R1501" s="32" t="n"/>
      <c r="S1501" s="30" t="n"/>
      <c r="T1501" s="30" t="n"/>
      <c r="U1501" s="30" t="n"/>
      <c r="V1501" s="30" t="n"/>
      <c r="W1501" s="29">
        <f>IF(H1501="","",IF(H1501="Kenya","Yes","No"))</f>
        <v/>
      </c>
      <c r="X1501" s="29">
        <f>IF(B1501="","",IF(COUNTIF($B$5:$B$3004,B1501)&gt;1,"DUPLICATE","OK"))</f>
        <v/>
      </c>
      <c r="Y1501" s="29">
        <f>IF(OR(U1501="",V1501="",V1501="Excluded"),"",IF(COUNTIFS($U$5:$U$3004,U1501,$V$5:$V$3004,"&lt;&gt;"&amp;V1501,$V$5:$V$3004,"&lt;&gt;",$V$5:$V$3004,"&lt;&gt;Excluded")&gt;0,"LEAK RISK","OK"))</f>
        <v/>
      </c>
      <c r="Z1501" s="30" t="n"/>
    </row>
    <row r="1502">
      <c r="A1502" s="30" t="n"/>
      <c r="B1502" s="30" t="n"/>
      <c r="C1502" s="30" t="n"/>
      <c r="D1502" s="30" t="n"/>
      <c r="E1502" s="30" t="n"/>
      <c r="F1502" s="30" t="n"/>
      <c r="G1502" s="30" t="n"/>
      <c r="H1502" s="30" t="n"/>
      <c r="I1502" s="31" t="n"/>
      <c r="J1502" s="30" t="n"/>
      <c r="K1502" s="30" t="n"/>
      <c r="L1502" s="30" t="n"/>
      <c r="M1502" s="30" t="n"/>
      <c r="N1502" s="32" t="n"/>
      <c r="O1502" s="30" t="n"/>
      <c r="P1502" s="32" t="n"/>
      <c r="Q1502" s="30" t="n"/>
      <c r="R1502" s="32" t="n"/>
      <c r="S1502" s="30" t="n"/>
      <c r="T1502" s="30" t="n"/>
      <c r="U1502" s="30" t="n"/>
      <c r="V1502" s="30" t="n"/>
      <c r="W1502" s="29">
        <f>IF(H1502="","",IF(H1502="Kenya","Yes","No"))</f>
        <v/>
      </c>
      <c r="X1502" s="29">
        <f>IF(B1502="","",IF(COUNTIF($B$5:$B$3004,B1502)&gt;1,"DUPLICATE","OK"))</f>
        <v/>
      </c>
      <c r="Y1502" s="29">
        <f>IF(OR(U1502="",V1502="",V1502="Excluded"),"",IF(COUNTIFS($U$5:$U$3004,U1502,$V$5:$V$3004,"&lt;&gt;"&amp;V1502,$V$5:$V$3004,"&lt;&gt;",$V$5:$V$3004,"&lt;&gt;Excluded")&gt;0,"LEAK RISK","OK"))</f>
        <v/>
      </c>
      <c r="Z1502" s="30" t="n"/>
    </row>
    <row r="1503">
      <c r="A1503" s="30" t="n"/>
      <c r="B1503" s="30" t="n"/>
      <c r="C1503" s="30" t="n"/>
      <c r="D1503" s="30" t="n"/>
      <c r="E1503" s="30" t="n"/>
      <c r="F1503" s="30" t="n"/>
      <c r="G1503" s="30" t="n"/>
      <c r="H1503" s="30" t="n"/>
      <c r="I1503" s="31" t="n"/>
      <c r="J1503" s="30" t="n"/>
      <c r="K1503" s="30" t="n"/>
      <c r="L1503" s="30" t="n"/>
      <c r="M1503" s="30" t="n"/>
      <c r="N1503" s="32" t="n"/>
      <c r="O1503" s="30" t="n"/>
      <c r="P1503" s="32" t="n"/>
      <c r="Q1503" s="30" t="n"/>
      <c r="R1503" s="32" t="n"/>
      <c r="S1503" s="30" t="n"/>
      <c r="T1503" s="30" t="n"/>
      <c r="U1503" s="30" t="n"/>
      <c r="V1503" s="30" t="n"/>
      <c r="W1503" s="29">
        <f>IF(H1503="","",IF(H1503="Kenya","Yes","No"))</f>
        <v/>
      </c>
      <c r="X1503" s="29">
        <f>IF(B1503="","",IF(COUNTIF($B$5:$B$3004,B1503)&gt;1,"DUPLICATE","OK"))</f>
        <v/>
      </c>
      <c r="Y1503" s="29">
        <f>IF(OR(U1503="",V1503="",V1503="Excluded"),"",IF(COUNTIFS($U$5:$U$3004,U1503,$V$5:$V$3004,"&lt;&gt;"&amp;V1503,$V$5:$V$3004,"&lt;&gt;",$V$5:$V$3004,"&lt;&gt;Excluded")&gt;0,"LEAK RISK","OK"))</f>
        <v/>
      </c>
      <c r="Z1503" s="30" t="n"/>
    </row>
    <row r="1504">
      <c r="A1504" s="30" t="n"/>
      <c r="B1504" s="30" t="n"/>
      <c r="C1504" s="30" t="n"/>
      <c r="D1504" s="30" t="n"/>
      <c r="E1504" s="30" t="n"/>
      <c r="F1504" s="30" t="n"/>
      <c r="G1504" s="30" t="n"/>
      <c r="H1504" s="30" t="n"/>
      <c r="I1504" s="31" t="n"/>
      <c r="J1504" s="30" t="n"/>
      <c r="K1504" s="30" t="n"/>
      <c r="L1504" s="30" t="n"/>
      <c r="M1504" s="30" t="n"/>
      <c r="N1504" s="32" t="n"/>
      <c r="O1504" s="30" t="n"/>
      <c r="P1504" s="32" t="n"/>
      <c r="Q1504" s="30" t="n"/>
      <c r="R1504" s="32" t="n"/>
      <c r="S1504" s="30" t="n"/>
      <c r="T1504" s="30" t="n"/>
      <c r="U1504" s="30" t="n"/>
      <c r="V1504" s="30" t="n"/>
      <c r="W1504" s="29">
        <f>IF(H1504="","",IF(H1504="Kenya","Yes","No"))</f>
        <v/>
      </c>
      <c r="X1504" s="29">
        <f>IF(B1504="","",IF(COUNTIF($B$5:$B$3004,B1504)&gt;1,"DUPLICATE","OK"))</f>
        <v/>
      </c>
      <c r="Y1504" s="29">
        <f>IF(OR(U1504="",V1504="",V1504="Excluded"),"",IF(COUNTIFS($U$5:$U$3004,U1504,$V$5:$V$3004,"&lt;&gt;"&amp;V1504,$V$5:$V$3004,"&lt;&gt;",$V$5:$V$3004,"&lt;&gt;Excluded")&gt;0,"LEAK RISK","OK"))</f>
        <v/>
      </c>
      <c r="Z1504" s="30" t="n"/>
    </row>
    <row r="1505">
      <c r="A1505" s="30" t="n"/>
      <c r="B1505" s="30" t="n"/>
      <c r="C1505" s="30" t="n"/>
      <c r="D1505" s="30" t="n"/>
      <c r="E1505" s="30" t="n"/>
      <c r="F1505" s="30" t="n"/>
      <c r="G1505" s="30" t="n"/>
      <c r="H1505" s="30" t="n"/>
      <c r="I1505" s="31" t="n"/>
      <c r="J1505" s="30" t="n"/>
      <c r="K1505" s="30" t="n"/>
      <c r="L1505" s="30" t="n"/>
      <c r="M1505" s="30" t="n"/>
      <c r="N1505" s="32" t="n"/>
      <c r="O1505" s="30" t="n"/>
      <c r="P1505" s="32" t="n"/>
      <c r="Q1505" s="30" t="n"/>
      <c r="R1505" s="32" t="n"/>
      <c r="S1505" s="30" t="n"/>
      <c r="T1505" s="30" t="n"/>
      <c r="U1505" s="30" t="n"/>
      <c r="V1505" s="30" t="n"/>
      <c r="W1505" s="29">
        <f>IF(H1505="","",IF(H1505="Kenya","Yes","No"))</f>
        <v/>
      </c>
      <c r="X1505" s="29">
        <f>IF(B1505="","",IF(COUNTIF($B$5:$B$3004,B1505)&gt;1,"DUPLICATE","OK"))</f>
        <v/>
      </c>
      <c r="Y1505" s="29">
        <f>IF(OR(U1505="",V1505="",V1505="Excluded"),"",IF(COUNTIFS($U$5:$U$3004,U1505,$V$5:$V$3004,"&lt;&gt;"&amp;V1505,$V$5:$V$3004,"&lt;&gt;",$V$5:$V$3004,"&lt;&gt;Excluded")&gt;0,"LEAK RISK","OK"))</f>
        <v/>
      </c>
      <c r="Z1505" s="30" t="n"/>
    </row>
    <row r="1506">
      <c r="A1506" s="30" t="n"/>
      <c r="B1506" s="30" t="n"/>
      <c r="C1506" s="30" t="n"/>
      <c r="D1506" s="30" t="n"/>
      <c r="E1506" s="30" t="n"/>
      <c r="F1506" s="30" t="n"/>
      <c r="G1506" s="30" t="n"/>
      <c r="H1506" s="30" t="n"/>
      <c r="I1506" s="31" t="n"/>
      <c r="J1506" s="30" t="n"/>
      <c r="K1506" s="30" t="n"/>
      <c r="L1506" s="30" t="n"/>
      <c r="M1506" s="30" t="n"/>
      <c r="N1506" s="32" t="n"/>
      <c r="O1506" s="30" t="n"/>
      <c r="P1506" s="32" t="n"/>
      <c r="Q1506" s="30" t="n"/>
      <c r="R1506" s="32" t="n"/>
      <c r="S1506" s="30" t="n"/>
      <c r="T1506" s="30" t="n"/>
      <c r="U1506" s="30" t="n"/>
      <c r="V1506" s="30" t="n"/>
      <c r="W1506" s="29">
        <f>IF(H1506="","",IF(H1506="Kenya","Yes","No"))</f>
        <v/>
      </c>
      <c r="X1506" s="29">
        <f>IF(B1506="","",IF(COUNTIF($B$5:$B$3004,B1506)&gt;1,"DUPLICATE","OK"))</f>
        <v/>
      </c>
      <c r="Y1506" s="29">
        <f>IF(OR(U1506="",V1506="",V1506="Excluded"),"",IF(COUNTIFS($U$5:$U$3004,U1506,$V$5:$V$3004,"&lt;&gt;"&amp;V1506,$V$5:$V$3004,"&lt;&gt;",$V$5:$V$3004,"&lt;&gt;Excluded")&gt;0,"LEAK RISK","OK"))</f>
        <v/>
      </c>
      <c r="Z1506" s="30" t="n"/>
    </row>
    <row r="1507">
      <c r="A1507" s="30" t="n"/>
      <c r="B1507" s="30" t="n"/>
      <c r="C1507" s="30" t="n"/>
      <c r="D1507" s="30" t="n"/>
      <c r="E1507" s="30" t="n"/>
      <c r="F1507" s="30" t="n"/>
      <c r="G1507" s="30" t="n"/>
      <c r="H1507" s="30" t="n"/>
      <c r="I1507" s="31" t="n"/>
      <c r="J1507" s="30" t="n"/>
      <c r="K1507" s="30" t="n"/>
      <c r="L1507" s="30" t="n"/>
      <c r="M1507" s="30" t="n"/>
      <c r="N1507" s="32" t="n"/>
      <c r="O1507" s="30" t="n"/>
      <c r="P1507" s="32" t="n"/>
      <c r="Q1507" s="30" t="n"/>
      <c r="R1507" s="32" t="n"/>
      <c r="S1507" s="30" t="n"/>
      <c r="T1507" s="30" t="n"/>
      <c r="U1507" s="30" t="n"/>
      <c r="V1507" s="30" t="n"/>
      <c r="W1507" s="29">
        <f>IF(H1507="","",IF(H1507="Kenya","Yes","No"))</f>
        <v/>
      </c>
      <c r="X1507" s="29">
        <f>IF(B1507="","",IF(COUNTIF($B$5:$B$3004,B1507)&gt;1,"DUPLICATE","OK"))</f>
        <v/>
      </c>
      <c r="Y1507" s="29">
        <f>IF(OR(U1507="",V1507="",V1507="Excluded"),"",IF(COUNTIFS($U$5:$U$3004,U1507,$V$5:$V$3004,"&lt;&gt;"&amp;V1507,$V$5:$V$3004,"&lt;&gt;",$V$5:$V$3004,"&lt;&gt;Excluded")&gt;0,"LEAK RISK","OK"))</f>
        <v/>
      </c>
      <c r="Z1507" s="30" t="n"/>
    </row>
    <row r="1508">
      <c r="A1508" s="30" t="n"/>
      <c r="B1508" s="30" t="n"/>
      <c r="C1508" s="30" t="n"/>
      <c r="D1508" s="30" t="n"/>
      <c r="E1508" s="30" t="n"/>
      <c r="F1508" s="30" t="n"/>
      <c r="G1508" s="30" t="n"/>
      <c r="H1508" s="30" t="n"/>
      <c r="I1508" s="31" t="n"/>
      <c r="J1508" s="30" t="n"/>
      <c r="K1508" s="30" t="n"/>
      <c r="L1508" s="30" t="n"/>
      <c r="M1508" s="30" t="n"/>
      <c r="N1508" s="32" t="n"/>
      <c r="O1508" s="30" t="n"/>
      <c r="P1508" s="32" t="n"/>
      <c r="Q1508" s="30" t="n"/>
      <c r="R1508" s="32" t="n"/>
      <c r="S1508" s="30" t="n"/>
      <c r="T1508" s="30" t="n"/>
      <c r="U1508" s="30" t="n"/>
      <c r="V1508" s="30" t="n"/>
      <c r="W1508" s="29">
        <f>IF(H1508="","",IF(H1508="Kenya","Yes","No"))</f>
        <v/>
      </c>
      <c r="X1508" s="29">
        <f>IF(B1508="","",IF(COUNTIF($B$5:$B$3004,B1508)&gt;1,"DUPLICATE","OK"))</f>
        <v/>
      </c>
      <c r="Y1508" s="29">
        <f>IF(OR(U1508="",V1508="",V1508="Excluded"),"",IF(COUNTIFS($U$5:$U$3004,U1508,$V$5:$V$3004,"&lt;&gt;"&amp;V1508,$V$5:$V$3004,"&lt;&gt;",$V$5:$V$3004,"&lt;&gt;Excluded")&gt;0,"LEAK RISK","OK"))</f>
        <v/>
      </c>
      <c r="Z1508" s="30" t="n"/>
    </row>
    <row r="1509">
      <c r="A1509" s="30" t="n"/>
      <c r="B1509" s="30" t="n"/>
      <c r="C1509" s="30" t="n"/>
      <c r="D1509" s="30" t="n"/>
      <c r="E1509" s="30" t="n"/>
      <c r="F1509" s="30" t="n"/>
      <c r="G1509" s="30" t="n"/>
      <c r="H1509" s="30" t="n"/>
      <c r="I1509" s="31" t="n"/>
      <c r="J1509" s="30" t="n"/>
      <c r="K1509" s="30" t="n"/>
      <c r="L1509" s="30" t="n"/>
      <c r="M1509" s="30" t="n"/>
      <c r="N1509" s="32" t="n"/>
      <c r="O1509" s="30" t="n"/>
      <c r="P1509" s="32" t="n"/>
      <c r="Q1509" s="30" t="n"/>
      <c r="R1509" s="32" t="n"/>
      <c r="S1509" s="30" t="n"/>
      <c r="T1509" s="30" t="n"/>
      <c r="U1509" s="30" t="n"/>
      <c r="V1509" s="30" t="n"/>
      <c r="W1509" s="29">
        <f>IF(H1509="","",IF(H1509="Kenya","Yes","No"))</f>
        <v/>
      </c>
      <c r="X1509" s="29">
        <f>IF(B1509="","",IF(COUNTIF($B$5:$B$3004,B1509)&gt;1,"DUPLICATE","OK"))</f>
        <v/>
      </c>
      <c r="Y1509" s="29">
        <f>IF(OR(U1509="",V1509="",V1509="Excluded"),"",IF(COUNTIFS($U$5:$U$3004,U1509,$V$5:$V$3004,"&lt;&gt;"&amp;V1509,$V$5:$V$3004,"&lt;&gt;",$V$5:$V$3004,"&lt;&gt;Excluded")&gt;0,"LEAK RISK","OK"))</f>
        <v/>
      </c>
      <c r="Z1509" s="30" t="n"/>
    </row>
    <row r="1510">
      <c r="A1510" s="30" t="n"/>
      <c r="B1510" s="30" t="n"/>
      <c r="C1510" s="30" t="n"/>
      <c r="D1510" s="30" t="n"/>
      <c r="E1510" s="30" t="n"/>
      <c r="F1510" s="30" t="n"/>
      <c r="G1510" s="30" t="n"/>
      <c r="H1510" s="30" t="n"/>
      <c r="I1510" s="31" t="n"/>
      <c r="J1510" s="30" t="n"/>
      <c r="K1510" s="30" t="n"/>
      <c r="L1510" s="30" t="n"/>
      <c r="M1510" s="30" t="n"/>
      <c r="N1510" s="32" t="n"/>
      <c r="O1510" s="30" t="n"/>
      <c r="P1510" s="32" t="n"/>
      <c r="Q1510" s="30" t="n"/>
      <c r="R1510" s="32" t="n"/>
      <c r="S1510" s="30" t="n"/>
      <c r="T1510" s="30" t="n"/>
      <c r="U1510" s="30" t="n"/>
      <c r="V1510" s="30" t="n"/>
      <c r="W1510" s="29">
        <f>IF(H1510="","",IF(H1510="Kenya","Yes","No"))</f>
        <v/>
      </c>
      <c r="X1510" s="29">
        <f>IF(B1510="","",IF(COUNTIF($B$5:$B$3004,B1510)&gt;1,"DUPLICATE","OK"))</f>
        <v/>
      </c>
      <c r="Y1510" s="29">
        <f>IF(OR(U1510="",V1510="",V1510="Excluded"),"",IF(COUNTIFS($U$5:$U$3004,U1510,$V$5:$V$3004,"&lt;&gt;"&amp;V1510,$V$5:$V$3004,"&lt;&gt;",$V$5:$V$3004,"&lt;&gt;Excluded")&gt;0,"LEAK RISK","OK"))</f>
        <v/>
      </c>
      <c r="Z1510" s="30" t="n"/>
    </row>
    <row r="1511">
      <c r="A1511" s="30" t="n"/>
      <c r="B1511" s="30" t="n"/>
      <c r="C1511" s="30" t="n"/>
      <c r="D1511" s="30" t="n"/>
      <c r="E1511" s="30" t="n"/>
      <c r="F1511" s="30" t="n"/>
      <c r="G1511" s="30" t="n"/>
      <c r="H1511" s="30" t="n"/>
      <c r="I1511" s="31" t="n"/>
      <c r="J1511" s="30" t="n"/>
      <c r="K1511" s="30" t="n"/>
      <c r="L1511" s="30" t="n"/>
      <c r="M1511" s="30" t="n"/>
      <c r="N1511" s="32" t="n"/>
      <c r="O1511" s="30" t="n"/>
      <c r="P1511" s="32" t="n"/>
      <c r="Q1511" s="30" t="n"/>
      <c r="R1511" s="32" t="n"/>
      <c r="S1511" s="30" t="n"/>
      <c r="T1511" s="30" t="n"/>
      <c r="U1511" s="30" t="n"/>
      <c r="V1511" s="30" t="n"/>
      <c r="W1511" s="29">
        <f>IF(H1511="","",IF(H1511="Kenya","Yes","No"))</f>
        <v/>
      </c>
      <c r="X1511" s="29">
        <f>IF(B1511="","",IF(COUNTIF($B$5:$B$3004,B1511)&gt;1,"DUPLICATE","OK"))</f>
        <v/>
      </c>
      <c r="Y1511" s="29">
        <f>IF(OR(U1511="",V1511="",V1511="Excluded"),"",IF(COUNTIFS($U$5:$U$3004,U1511,$V$5:$V$3004,"&lt;&gt;"&amp;V1511,$V$5:$V$3004,"&lt;&gt;",$V$5:$V$3004,"&lt;&gt;Excluded")&gt;0,"LEAK RISK","OK"))</f>
        <v/>
      </c>
      <c r="Z1511" s="30" t="n"/>
    </row>
    <row r="1512">
      <c r="A1512" s="30" t="n"/>
      <c r="B1512" s="30" t="n"/>
      <c r="C1512" s="30" t="n"/>
      <c r="D1512" s="30" t="n"/>
      <c r="E1512" s="30" t="n"/>
      <c r="F1512" s="30" t="n"/>
      <c r="G1512" s="30" t="n"/>
      <c r="H1512" s="30" t="n"/>
      <c r="I1512" s="31" t="n"/>
      <c r="J1512" s="30" t="n"/>
      <c r="K1512" s="30" t="n"/>
      <c r="L1512" s="30" t="n"/>
      <c r="M1512" s="30" t="n"/>
      <c r="N1512" s="32" t="n"/>
      <c r="O1512" s="30" t="n"/>
      <c r="P1512" s="32" t="n"/>
      <c r="Q1512" s="30" t="n"/>
      <c r="R1512" s="32" t="n"/>
      <c r="S1512" s="30" t="n"/>
      <c r="T1512" s="30" t="n"/>
      <c r="U1512" s="30" t="n"/>
      <c r="V1512" s="30" t="n"/>
      <c r="W1512" s="29">
        <f>IF(H1512="","",IF(H1512="Kenya","Yes","No"))</f>
        <v/>
      </c>
      <c r="X1512" s="29">
        <f>IF(B1512="","",IF(COUNTIF($B$5:$B$3004,B1512)&gt;1,"DUPLICATE","OK"))</f>
        <v/>
      </c>
      <c r="Y1512" s="29">
        <f>IF(OR(U1512="",V1512="",V1512="Excluded"),"",IF(COUNTIFS($U$5:$U$3004,U1512,$V$5:$V$3004,"&lt;&gt;"&amp;V1512,$V$5:$V$3004,"&lt;&gt;",$V$5:$V$3004,"&lt;&gt;Excluded")&gt;0,"LEAK RISK","OK"))</f>
        <v/>
      </c>
      <c r="Z1512" s="30" t="n"/>
    </row>
    <row r="1513">
      <c r="A1513" s="30" t="n"/>
      <c r="B1513" s="30" t="n"/>
      <c r="C1513" s="30" t="n"/>
      <c r="D1513" s="30" t="n"/>
      <c r="E1513" s="30" t="n"/>
      <c r="F1513" s="30" t="n"/>
      <c r="G1513" s="30" t="n"/>
      <c r="H1513" s="30" t="n"/>
      <c r="I1513" s="31" t="n"/>
      <c r="J1513" s="30" t="n"/>
      <c r="K1513" s="30" t="n"/>
      <c r="L1513" s="30" t="n"/>
      <c r="M1513" s="30" t="n"/>
      <c r="N1513" s="32" t="n"/>
      <c r="O1513" s="30" t="n"/>
      <c r="P1513" s="32" t="n"/>
      <c r="Q1513" s="30" t="n"/>
      <c r="R1513" s="32" t="n"/>
      <c r="S1513" s="30" t="n"/>
      <c r="T1513" s="30" t="n"/>
      <c r="U1513" s="30" t="n"/>
      <c r="V1513" s="30" t="n"/>
      <c r="W1513" s="29">
        <f>IF(H1513="","",IF(H1513="Kenya","Yes","No"))</f>
        <v/>
      </c>
      <c r="X1513" s="29">
        <f>IF(B1513="","",IF(COUNTIF($B$5:$B$3004,B1513)&gt;1,"DUPLICATE","OK"))</f>
        <v/>
      </c>
      <c r="Y1513" s="29">
        <f>IF(OR(U1513="",V1513="",V1513="Excluded"),"",IF(COUNTIFS($U$5:$U$3004,U1513,$V$5:$V$3004,"&lt;&gt;"&amp;V1513,$V$5:$V$3004,"&lt;&gt;",$V$5:$V$3004,"&lt;&gt;Excluded")&gt;0,"LEAK RISK","OK"))</f>
        <v/>
      </c>
      <c r="Z1513" s="30" t="n"/>
    </row>
    <row r="1514">
      <c r="A1514" s="30" t="n"/>
      <c r="B1514" s="30" t="n"/>
      <c r="C1514" s="30" t="n"/>
      <c r="D1514" s="30" t="n"/>
      <c r="E1514" s="30" t="n"/>
      <c r="F1514" s="30" t="n"/>
      <c r="G1514" s="30" t="n"/>
      <c r="H1514" s="30" t="n"/>
      <c r="I1514" s="31" t="n"/>
      <c r="J1514" s="30" t="n"/>
      <c r="K1514" s="30" t="n"/>
      <c r="L1514" s="30" t="n"/>
      <c r="M1514" s="30" t="n"/>
      <c r="N1514" s="32" t="n"/>
      <c r="O1514" s="30" t="n"/>
      <c r="P1514" s="32" t="n"/>
      <c r="Q1514" s="30" t="n"/>
      <c r="R1514" s="32" t="n"/>
      <c r="S1514" s="30" t="n"/>
      <c r="T1514" s="30" t="n"/>
      <c r="U1514" s="30" t="n"/>
      <c r="V1514" s="30" t="n"/>
      <c r="W1514" s="29">
        <f>IF(H1514="","",IF(H1514="Kenya","Yes","No"))</f>
        <v/>
      </c>
      <c r="X1514" s="29">
        <f>IF(B1514="","",IF(COUNTIF($B$5:$B$3004,B1514)&gt;1,"DUPLICATE","OK"))</f>
        <v/>
      </c>
      <c r="Y1514" s="29">
        <f>IF(OR(U1514="",V1514="",V1514="Excluded"),"",IF(COUNTIFS($U$5:$U$3004,U1514,$V$5:$V$3004,"&lt;&gt;"&amp;V1514,$V$5:$V$3004,"&lt;&gt;",$V$5:$V$3004,"&lt;&gt;Excluded")&gt;0,"LEAK RISK","OK"))</f>
        <v/>
      </c>
      <c r="Z1514" s="30" t="n"/>
    </row>
    <row r="1515">
      <c r="A1515" s="30" t="n"/>
      <c r="B1515" s="30" t="n"/>
      <c r="C1515" s="30" t="n"/>
      <c r="D1515" s="30" t="n"/>
      <c r="E1515" s="30" t="n"/>
      <c r="F1515" s="30" t="n"/>
      <c r="G1515" s="30" t="n"/>
      <c r="H1515" s="30" t="n"/>
      <c r="I1515" s="31" t="n"/>
      <c r="J1515" s="30" t="n"/>
      <c r="K1515" s="30" t="n"/>
      <c r="L1515" s="30" t="n"/>
      <c r="M1515" s="30" t="n"/>
      <c r="N1515" s="32" t="n"/>
      <c r="O1515" s="30" t="n"/>
      <c r="P1515" s="32" t="n"/>
      <c r="Q1515" s="30" t="n"/>
      <c r="R1515" s="32" t="n"/>
      <c r="S1515" s="30" t="n"/>
      <c r="T1515" s="30" t="n"/>
      <c r="U1515" s="30" t="n"/>
      <c r="V1515" s="30" t="n"/>
      <c r="W1515" s="29">
        <f>IF(H1515="","",IF(H1515="Kenya","Yes","No"))</f>
        <v/>
      </c>
      <c r="X1515" s="29">
        <f>IF(B1515="","",IF(COUNTIF($B$5:$B$3004,B1515)&gt;1,"DUPLICATE","OK"))</f>
        <v/>
      </c>
      <c r="Y1515" s="29">
        <f>IF(OR(U1515="",V1515="",V1515="Excluded"),"",IF(COUNTIFS($U$5:$U$3004,U1515,$V$5:$V$3004,"&lt;&gt;"&amp;V1515,$V$5:$V$3004,"&lt;&gt;",$V$5:$V$3004,"&lt;&gt;Excluded")&gt;0,"LEAK RISK","OK"))</f>
        <v/>
      </c>
      <c r="Z1515" s="30" t="n"/>
    </row>
    <row r="1516">
      <c r="A1516" s="30" t="n"/>
      <c r="B1516" s="30" t="n"/>
      <c r="C1516" s="30" t="n"/>
      <c r="D1516" s="30" t="n"/>
      <c r="E1516" s="30" t="n"/>
      <c r="F1516" s="30" t="n"/>
      <c r="G1516" s="30" t="n"/>
      <c r="H1516" s="30" t="n"/>
      <c r="I1516" s="31" t="n"/>
      <c r="J1516" s="30" t="n"/>
      <c r="K1516" s="30" t="n"/>
      <c r="L1516" s="30" t="n"/>
      <c r="M1516" s="30" t="n"/>
      <c r="N1516" s="32" t="n"/>
      <c r="O1516" s="30" t="n"/>
      <c r="P1516" s="32" t="n"/>
      <c r="Q1516" s="30" t="n"/>
      <c r="R1516" s="32" t="n"/>
      <c r="S1516" s="30" t="n"/>
      <c r="T1516" s="30" t="n"/>
      <c r="U1516" s="30" t="n"/>
      <c r="V1516" s="30" t="n"/>
      <c r="W1516" s="29">
        <f>IF(H1516="","",IF(H1516="Kenya","Yes","No"))</f>
        <v/>
      </c>
      <c r="X1516" s="29">
        <f>IF(B1516="","",IF(COUNTIF($B$5:$B$3004,B1516)&gt;1,"DUPLICATE","OK"))</f>
        <v/>
      </c>
      <c r="Y1516" s="29">
        <f>IF(OR(U1516="",V1516="",V1516="Excluded"),"",IF(COUNTIFS($U$5:$U$3004,U1516,$V$5:$V$3004,"&lt;&gt;"&amp;V1516,$V$5:$V$3004,"&lt;&gt;",$V$5:$V$3004,"&lt;&gt;Excluded")&gt;0,"LEAK RISK","OK"))</f>
        <v/>
      </c>
      <c r="Z1516" s="30" t="n"/>
    </row>
    <row r="1517">
      <c r="A1517" s="30" t="n"/>
      <c r="B1517" s="30" t="n"/>
      <c r="C1517" s="30" t="n"/>
      <c r="D1517" s="30" t="n"/>
      <c r="E1517" s="30" t="n"/>
      <c r="F1517" s="30" t="n"/>
      <c r="G1517" s="30" t="n"/>
      <c r="H1517" s="30" t="n"/>
      <c r="I1517" s="31" t="n"/>
      <c r="J1517" s="30" t="n"/>
      <c r="K1517" s="30" t="n"/>
      <c r="L1517" s="30" t="n"/>
      <c r="M1517" s="30" t="n"/>
      <c r="N1517" s="32" t="n"/>
      <c r="O1517" s="30" t="n"/>
      <c r="P1517" s="32" t="n"/>
      <c r="Q1517" s="30" t="n"/>
      <c r="R1517" s="32" t="n"/>
      <c r="S1517" s="30" t="n"/>
      <c r="T1517" s="30" t="n"/>
      <c r="U1517" s="30" t="n"/>
      <c r="V1517" s="30" t="n"/>
      <c r="W1517" s="29">
        <f>IF(H1517="","",IF(H1517="Kenya","Yes","No"))</f>
        <v/>
      </c>
      <c r="X1517" s="29">
        <f>IF(B1517="","",IF(COUNTIF($B$5:$B$3004,B1517)&gt;1,"DUPLICATE","OK"))</f>
        <v/>
      </c>
      <c r="Y1517" s="29">
        <f>IF(OR(U1517="",V1517="",V1517="Excluded"),"",IF(COUNTIFS($U$5:$U$3004,U1517,$V$5:$V$3004,"&lt;&gt;"&amp;V1517,$V$5:$V$3004,"&lt;&gt;",$V$5:$V$3004,"&lt;&gt;Excluded")&gt;0,"LEAK RISK","OK"))</f>
        <v/>
      </c>
      <c r="Z1517" s="30" t="n"/>
    </row>
    <row r="1518">
      <c r="A1518" s="30" t="n"/>
      <c r="B1518" s="30" t="n"/>
      <c r="C1518" s="30" t="n"/>
      <c r="D1518" s="30" t="n"/>
      <c r="E1518" s="30" t="n"/>
      <c r="F1518" s="30" t="n"/>
      <c r="G1518" s="30" t="n"/>
      <c r="H1518" s="30" t="n"/>
      <c r="I1518" s="31" t="n"/>
      <c r="J1518" s="30" t="n"/>
      <c r="K1518" s="30" t="n"/>
      <c r="L1518" s="30" t="n"/>
      <c r="M1518" s="30" t="n"/>
      <c r="N1518" s="32" t="n"/>
      <c r="O1518" s="30" t="n"/>
      <c r="P1518" s="32" t="n"/>
      <c r="Q1518" s="30" t="n"/>
      <c r="R1518" s="32" t="n"/>
      <c r="S1518" s="30" t="n"/>
      <c r="T1518" s="30" t="n"/>
      <c r="U1518" s="30" t="n"/>
      <c r="V1518" s="30" t="n"/>
      <c r="W1518" s="29">
        <f>IF(H1518="","",IF(H1518="Kenya","Yes","No"))</f>
        <v/>
      </c>
      <c r="X1518" s="29">
        <f>IF(B1518="","",IF(COUNTIF($B$5:$B$3004,B1518)&gt;1,"DUPLICATE","OK"))</f>
        <v/>
      </c>
      <c r="Y1518" s="29">
        <f>IF(OR(U1518="",V1518="",V1518="Excluded"),"",IF(COUNTIFS($U$5:$U$3004,U1518,$V$5:$V$3004,"&lt;&gt;"&amp;V1518,$V$5:$V$3004,"&lt;&gt;",$V$5:$V$3004,"&lt;&gt;Excluded")&gt;0,"LEAK RISK","OK"))</f>
        <v/>
      </c>
      <c r="Z1518" s="30" t="n"/>
    </row>
    <row r="1519">
      <c r="A1519" s="30" t="n"/>
      <c r="B1519" s="30" t="n"/>
      <c r="C1519" s="30" t="n"/>
      <c r="D1519" s="30" t="n"/>
      <c r="E1519" s="30" t="n"/>
      <c r="F1519" s="30" t="n"/>
      <c r="G1519" s="30" t="n"/>
      <c r="H1519" s="30" t="n"/>
      <c r="I1519" s="31" t="n"/>
      <c r="J1519" s="30" t="n"/>
      <c r="K1519" s="30" t="n"/>
      <c r="L1519" s="30" t="n"/>
      <c r="M1519" s="30" t="n"/>
      <c r="N1519" s="32" t="n"/>
      <c r="O1519" s="30" t="n"/>
      <c r="P1519" s="32" t="n"/>
      <c r="Q1519" s="30" t="n"/>
      <c r="R1519" s="32" t="n"/>
      <c r="S1519" s="30" t="n"/>
      <c r="T1519" s="30" t="n"/>
      <c r="U1519" s="30" t="n"/>
      <c r="V1519" s="30" t="n"/>
      <c r="W1519" s="29">
        <f>IF(H1519="","",IF(H1519="Kenya","Yes","No"))</f>
        <v/>
      </c>
      <c r="X1519" s="29">
        <f>IF(B1519="","",IF(COUNTIF($B$5:$B$3004,B1519)&gt;1,"DUPLICATE","OK"))</f>
        <v/>
      </c>
      <c r="Y1519" s="29">
        <f>IF(OR(U1519="",V1519="",V1519="Excluded"),"",IF(COUNTIFS($U$5:$U$3004,U1519,$V$5:$V$3004,"&lt;&gt;"&amp;V1519,$V$5:$V$3004,"&lt;&gt;",$V$5:$V$3004,"&lt;&gt;Excluded")&gt;0,"LEAK RISK","OK"))</f>
        <v/>
      </c>
      <c r="Z1519" s="30" t="n"/>
    </row>
    <row r="1520">
      <c r="A1520" s="30" t="n"/>
      <c r="B1520" s="30" t="n"/>
      <c r="C1520" s="30" t="n"/>
      <c r="D1520" s="30" t="n"/>
      <c r="E1520" s="30" t="n"/>
      <c r="F1520" s="30" t="n"/>
      <c r="G1520" s="30" t="n"/>
      <c r="H1520" s="30" t="n"/>
      <c r="I1520" s="31" t="n"/>
      <c r="J1520" s="30" t="n"/>
      <c r="K1520" s="30" t="n"/>
      <c r="L1520" s="30" t="n"/>
      <c r="M1520" s="30" t="n"/>
      <c r="N1520" s="32" t="n"/>
      <c r="O1520" s="30" t="n"/>
      <c r="P1520" s="32" t="n"/>
      <c r="Q1520" s="30" t="n"/>
      <c r="R1520" s="32" t="n"/>
      <c r="S1520" s="30" t="n"/>
      <c r="T1520" s="30" t="n"/>
      <c r="U1520" s="30" t="n"/>
      <c r="V1520" s="30" t="n"/>
      <c r="W1520" s="29">
        <f>IF(H1520="","",IF(H1520="Kenya","Yes","No"))</f>
        <v/>
      </c>
      <c r="X1520" s="29">
        <f>IF(B1520="","",IF(COUNTIF($B$5:$B$3004,B1520)&gt;1,"DUPLICATE","OK"))</f>
        <v/>
      </c>
      <c r="Y1520" s="29">
        <f>IF(OR(U1520="",V1520="",V1520="Excluded"),"",IF(COUNTIFS($U$5:$U$3004,U1520,$V$5:$V$3004,"&lt;&gt;"&amp;V1520,$V$5:$V$3004,"&lt;&gt;",$V$5:$V$3004,"&lt;&gt;Excluded")&gt;0,"LEAK RISK","OK"))</f>
        <v/>
      </c>
      <c r="Z1520" s="30" t="n"/>
    </row>
    <row r="1521">
      <c r="A1521" s="30" t="n"/>
      <c r="B1521" s="30" t="n"/>
      <c r="C1521" s="30" t="n"/>
      <c r="D1521" s="30" t="n"/>
      <c r="E1521" s="30" t="n"/>
      <c r="F1521" s="30" t="n"/>
      <c r="G1521" s="30" t="n"/>
      <c r="H1521" s="30" t="n"/>
      <c r="I1521" s="31" t="n"/>
      <c r="J1521" s="30" t="n"/>
      <c r="K1521" s="30" t="n"/>
      <c r="L1521" s="30" t="n"/>
      <c r="M1521" s="30" t="n"/>
      <c r="N1521" s="32" t="n"/>
      <c r="O1521" s="30" t="n"/>
      <c r="P1521" s="32" t="n"/>
      <c r="Q1521" s="30" t="n"/>
      <c r="R1521" s="32" t="n"/>
      <c r="S1521" s="30" t="n"/>
      <c r="T1521" s="30" t="n"/>
      <c r="U1521" s="30" t="n"/>
      <c r="V1521" s="30" t="n"/>
      <c r="W1521" s="29">
        <f>IF(H1521="","",IF(H1521="Kenya","Yes","No"))</f>
        <v/>
      </c>
      <c r="X1521" s="29">
        <f>IF(B1521="","",IF(COUNTIF($B$5:$B$3004,B1521)&gt;1,"DUPLICATE","OK"))</f>
        <v/>
      </c>
      <c r="Y1521" s="29">
        <f>IF(OR(U1521="",V1521="",V1521="Excluded"),"",IF(COUNTIFS($U$5:$U$3004,U1521,$V$5:$V$3004,"&lt;&gt;"&amp;V1521,$V$5:$V$3004,"&lt;&gt;",$V$5:$V$3004,"&lt;&gt;Excluded")&gt;0,"LEAK RISK","OK"))</f>
        <v/>
      </c>
      <c r="Z1521" s="30" t="n"/>
    </row>
    <row r="1522">
      <c r="A1522" s="30" t="n"/>
      <c r="B1522" s="30" t="n"/>
      <c r="C1522" s="30" t="n"/>
      <c r="D1522" s="30" t="n"/>
      <c r="E1522" s="30" t="n"/>
      <c r="F1522" s="30" t="n"/>
      <c r="G1522" s="30" t="n"/>
      <c r="H1522" s="30" t="n"/>
      <c r="I1522" s="31" t="n"/>
      <c r="J1522" s="30" t="n"/>
      <c r="K1522" s="30" t="n"/>
      <c r="L1522" s="30" t="n"/>
      <c r="M1522" s="30" t="n"/>
      <c r="N1522" s="32" t="n"/>
      <c r="O1522" s="30" t="n"/>
      <c r="P1522" s="32" t="n"/>
      <c r="Q1522" s="30" t="n"/>
      <c r="R1522" s="32" t="n"/>
      <c r="S1522" s="30" t="n"/>
      <c r="T1522" s="30" t="n"/>
      <c r="U1522" s="30" t="n"/>
      <c r="V1522" s="30" t="n"/>
      <c r="W1522" s="29">
        <f>IF(H1522="","",IF(H1522="Kenya","Yes","No"))</f>
        <v/>
      </c>
      <c r="X1522" s="29">
        <f>IF(B1522="","",IF(COUNTIF($B$5:$B$3004,B1522)&gt;1,"DUPLICATE","OK"))</f>
        <v/>
      </c>
      <c r="Y1522" s="29">
        <f>IF(OR(U1522="",V1522="",V1522="Excluded"),"",IF(COUNTIFS($U$5:$U$3004,U1522,$V$5:$V$3004,"&lt;&gt;"&amp;V1522,$V$5:$V$3004,"&lt;&gt;",$V$5:$V$3004,"&lt;&gt;Excluded")&gt;0,"LEAK RISK","OK"))</f>
        <v/>
      </c>
      <c r="Z1522" s="30" t="n"/>
    </row>
    <row r="1523">
      <c r="A1523" s="30" t="n"/>
      <c r="B1523" s="30" t="n"/>
      <c r="C1523" s="30" t="n"/>
      <c r="D1523" s="30" t="n"/>
      <c r="E1523" s="30" t="n"/>
      <c r="F1523" s="30" t="n"/>
      <c r="G1523" s="30" t="n"/>
      <c r="H1523" s="30" t="n"/>
      <c r="I1523" s="31" t="n"/>
      <c r="J1523" s="30" t="n"/>
      <c r="K1523" s="30" t="n"/>
      <c r="L1523" s="30" t="n"/>
      <c r="M1523" s="30" t="n"/>
      <c r="N1523" s="32" t="n"/>
      <c r="O1523" s="30" t="n"/>
      <c r="P1523" s="32" t="n"/>
      <c r="Q1523" s="30" t="n"/>
      <c r="R1523" s="32" t="n"/>
      <c r="S1523" s="30" t="n"/>
      <c r="T1523" s="30" t="n"/>
      <c r="U1523" s="30" t="n"/>
      <c r="V1523" s="30" t="n"/>
      <c r="W1523" s="29">
        <f>IF(H1523="","",IF(H1523="Kenya","Yes","No"))</f>
        <v/>
      </c>
      <c r="X1523" s="29">
        <f>IF(B1523="","",IF(COUNTIF($B$5:$B$3004,B1523)&gt;1,"DUPLICATE","OK"))</f>
        <v/>
      </c>
      <c r="Y1523" s="29">
        <f>IF(OR(U1523="",V1523="",V1523="Excluded"),"",IF(COUNTIFS($U$5:$U$3004,U1523,$V$5:$V$3004,"&lt;&gt;"&amp;V1523,$V$5:$V$3004,"&lt;&gt;",$V$5:$V$3004,"&lt;&gt;Excluded")&gt;0,"LEAK RISK","OK"))</f>
        <v/>
      </c>
      <c r="Z1523" s="30" t="n"/>
    </row>
    <row r="1524">
      <c r="A1524" s="30" t="n"/>
      <c r="B1524" s="30" t="n"/>
      <c r="C1524" s="30" t="n"/>
      <c r="D1524" s="30" t="n"/>
      <c r="E1524" s="30" t="n"/>
      <c r="F1524" s="30" t="n"/>
      <c r="G1524" s="30" t="n"/>
      <c r="H1524" s="30" t="n"/>
      <c r="I1524" s="31" t="n"/>
      <c r="J1524" s="30" t="n"/>
      <c r="K1524" s="30" t="n"/>
      <c r="L1524" s="30" t="n"/>
      <c r="M1524" s="30" t="n"/>
      <c r="N1524" s="32" t="n"/>
      <c r="O1524" s="30" t="n"/>
      <c r="P1524" s="32" t="n"/>
      <c r="Q1524" s="30" t="n"/>
      <c r="R1524" s="32" t="n"/>
      <c r="S1524" s="30" t="n"/>
      <c r="T1524" s="30" t="n"/>
      <c r="U1524" s="30" t="n"/>
      <c r="V1524" s="30" t="n"/>
      <c r="W1524" s="29">
        <f>IF(H1524="","",IF(H1524="Kenya","Yes","No"))</f>
        <v/>
      </c>
      <c r="X1524" s="29">
        <f>IF(B1524="","",IF(COUNTIF($B$5:$B$3004,B1524)&gt;1,"DUPLICATE","OK"))</f>
        <v/>
      </c>
      <c r="Y1524" s="29">
        <f>IF(OR(U1524="",V1524="",V1524="Excluded"),"",IF(COUNTIFS($U$5:$U$3004,U1524,$V$5:$V$3004,"&lt;&gt;"&amp;V1524,$V$5:$V$3004,"&lt;&gt;",$V$5:$V$3004,"&lt;&gt;Excluded")&gt;0,"LEAK RISK","OK"))</f>
        <v/>
      </c>
      <c r="Z1524" s="30" t="n"/>
    </row>
    <row r="1525">
      <c r="A1525" s="30" t="n"/>
      <c r="B1525" s="30" t="n"/>
      <c r="C1525" s="30" t="n"/>
      <c r="D1525" s="30" t="n"/>
      <c r="E1525" s="30" t="n"/>
      <c r="F1525" s="30" t="n"/>
      <c r="G1525" s="30" t="n"/>
      <c r="H1525" s="30" t="n"/>
      <c r="I1525" s="31" t="n"/>
      <c r="J1525" s="30" t="n"/>
      <c r="K1525" s="30" t="n"/>
      <c r="L1525" s="30" t="n"/>
      <c r="M1525" s="30" t="n"/>
      <c r="N1525" s="32" t="n"/>
      <c r="O1525" s="30" t="n"/>
      <c r="P1525" s="32" t="n"/>
      <c r="Q1525" s="30" t="n"/>
      <c r="R1525" s="32" t="n"/>
      <c r="S1525" s="30" t="n"/>
      <c r="T1525" s="30" t="n"/>
      <c r="U1525" s="30" t="n"/>
      <c r="V1525" s="30" t="n"/>
      <c r="W1525" s="29">
        <f>IF(H1525="","",IF(H1525="Kenya","Yes","No"))</f>
        <v/>
      </c>
      <c r="X1525" s="29">
        <f>IF(B1525="","",IF(COUNTIF($B$5:$B$3004,B1525)&gt;1,"DUPLICATE","OK"))</f>
        <v/>
      </c>
      <c r="Y1525" s="29">
        <f>IF(OR(U1525="",V1525="",V1525="Excluded"),"",IF(COUNTIFS($U$5:$U$3004,U1525,$V$5:$V$3004,"&lt;&gt;"&amp;V1525,$V$5:$V$3004,"&lt;&gt;",$V$5:$V$3004,"&lt;&gt;Excluded")&gt;0,"LEAK RISK","OK"))</f>
        <v/>
      </c>
      <c r="Z1525" s="30" t="n"/>
    </row>
    <row r="1526">
      <c r="A1526" s="30" t="n"/>
      <c r="B1526" s="30" t="n"/>
      <c r="C1526" s="30" t="n"/>
      <c r="D1526" s="30" t="n"/>
      <c r="E1526" s="30" t="n"/>
      <c r="F1526" s="30" t="n"/>
      <c r="G1526" s="30" t="n"/>
      <c r="H1526" s="30" t="n"/>
      <c r="I1526" s="31" t="n"/>
      <c r="J1526" s="30" t="n"/>
      <c r="K1526" s="30" t="n"/>
      <c r="L1526" s="30" t="n"/>
      <c r="M1526" s="30" t="n"/>
      <c r="N1526" s="32" t="n"/>
      <c r="O1526" s="30" t="n"/>
      <c r="P1526" s="32" t="n"/>
      <c r="Q1526" s="30" t="n"/>
      <c r="R1526" s="32" t="n"/>
      <c r="S1526" s="30" t="n"/>
      <c r="T1526" s="30" t="n"/>
      <c r="U1526" s="30" t="n"/>
      <c r="V1526" s="30" t="n"/>
      <c r="W1526" s="29">
        <f>IF(H1526="","",IF(H1526="Kenya","Yes","No"))</f>
        <v/>
      </c>
      <c r="X1526" s="29">
        <f>IF(B1526="","",IF(COUNTIF($B$5:$B$3004,B1526)&gt;1,"DUPLICATE","OK"))</f>
        <v/>
      </c>
      <c r="Y1526" s="29">
        <f>IF(OR(U1526="",V1526="",V1526="Excluded"),"",IF(COUNTIFS($U$5:$U$3004,U1526,$V$5:$V$3004,"&lt;&gt;"&amp;V1526,$V$5:$V$3004,"&lt;&gt;",$V$5:$V$3004,"&lt;&gt;Excluded")&gt;0,"LEAK RISK","OK"))</f>
        <v/>
      </c>
      <c r="Z1526" s="30" t="n"/>
    </row>
    <row r="1527">
      <c r="A1527" s="30" t="n"/>
      <c r="B1527" s="30" t="n"/>
      <c r="C1527" s="30" t="n"/>
      <c r="D1527" s="30" t="n"/>
      <c r="E1527" s="30" t="n"/>
      <c r="F1527" s="30" t="n"/>
      <c r="G1527" s="30" t="n"/>
      <c r="H1527" s="30" t="n"/>
      <c r="I1527" s="31" t="n"/>
      <c r="J1527" s="30" t="n"/>
      <c r="K1527" s="30" t="n"/>
      <c r="L1527" s="30" t="n"/>
      <c r="M1527" s="30" t="n"/>
      <c r="N1527" s="32" t="n"/>
      <c r="O1527" s="30" t="n"/>
      <c r="P1527" s="32" t="n"/>
      <c r="Q1527" s="30" t="n"/>
      <c r="R1527" s="32" t="n"/>
      <c r="S1527" s="30" t="n"/>
      <c r="T1527" s="30" t="n"/>
      <c r="U1527" s="30" t="n"/>
      <c r="V1527" s="30" t="n"/>
      <c r="W1527" s="29">
        <f>IF(H1527="","",IF(H1527="Kenya","Yes","No"))</f>
        <v/>
      </c>
      <c r="X1527" s="29">
        <f>IF(B1527="","",IF(COUNTIF($B$5:$B$3004,B1527)&gt;1,"DUPLICATE","OK"))</f>
        <v/>
      </c>
      <c r="Y1527" s="29">
        <f>IF(OR(U1527="",V1527="",V1527="Excluded"),"",IF(COUNTIFS($U$5:$U$3004,U1527,$V$5:$V$3004,"&lt;&gt;"&amp;V1527,$V$5:$V$3004,"&lt;&gt;",$V$5:$V$3004,"&lt;&gt;Excluded")&gt;0,"LEAK RISK","OK"))</f>
        <v/>
      </c>
      <c r="Z1527" s="30" t="n"/>
    </row>
    <row r="1528">
      <c r="A1528" s="30" t="n"/>
      <c r="B1528" s="30" t="n"/>
      <c r="C1528" s="30" t="n"/>
      <c r="D1528" s="30" t="n"/>
      <c r="E1528" s="30" t="n"/>
      <c r="F1528" s="30" t="n"/>
      <c r="G1528" s="30" t="n"/>
      <c r="H1528" s="30" t="n"/>
      <c r="I1528" s="31" t="n"/>
      <c r="J1528" s="30" t="n"/>
      <c r="K1528" s="30" t="n"/>
      <c r="L1528" s="30" t="n"/>
      <c r="M1528" s="30" t="n"/>
      <c r="N1528" s="32" t="n"/>
      <c r="O1528" s="30" t="n"/>
      <c r="P1528" s="32" t="n"/>
      <c r="Q1528" s="30" t="n"/>
      <c r="R1528" s="32" t="n"/>
      <c r="S1528" s="30" t="n"/>
      <c r="T1528" s="30" t="n"/>
      <c r="U1528" s="30" t="n"/>
      <c r="V1528" s="30" t="n"/>
      <c r="W1528" s="29">
        <f>IF(H1528="","",IF(H1528="Kenya","Yes","No"))</f>
        <v/>
      </c>
      <c r="X1528" s="29">
        <f>IF(B1528="","",IF(COUNTIF($B$5:$B$3004,B1528)&gt;1,"DUPLICATE","OK"))</f>
        <v/>
      </c>
      <c r="Y1528" s="29">
        <f>IF(OR(U1528="",V1528="",V1528="Excluded"),"",IF(COUNTIFS($U$5:$U$3004,U1528,$V$5:$V$3004,"&lt;&gt;"&amp;V1528,$V$5:$V$3004,"&lt;&gt;",$V$5:$V$3004,"&lt;&gt;Excluded")&gt;0,"LEAK RISK","OK"))</f>
        <v/>
      </c>
      <c r="Z1528" s="30" t="n"/>
    </row>
    <row r="1529">
      <c r="A1529" s="30" t="n"/>
      <c r="B1529" s="30" t="n"/>
      <c r="C1529" s="30" t="n"/>
      <c r="D1529" s="30" t="n"/>
      <c r="E1529" s="30" t="n"/>
      <c r="F1529" s="30" t="n"/>
      <c r="G1529" s="30" t="n"/>
      <c r="H1529" s="30" t="n"/>
      <c r="I1529" s="31" t="n"/>
      <c r="J1529" s="30" t="n"/>
      <c r="K1529" s="30" t="n"/>
      <c r="L1529" s="30" t="n"/>
      <c r="M1529" s="30" t="n"/>
      <c r="N1529" s="32" t="n"/>
      <c r="O1529" s="30" t="n"/>
      <c r="P1529" s="32" t="n"/>
      <c r="Q1529" s="30" t="n"/>
      <c r="R1529" s="32" t="n"/>
      <c r="S1529" s="30" t="n"/>
      <c r="T1529" s="30" t="n"/>
      <c r="U1529" s="30" t="n"/>
      <c r="V1529" s="30" t="n"/>
      <c r="W1529" s="29">
        <f>IF(H1529="","",IF(H1529="Kenya","Yes","No"))</f>
        <v/>
      </c>
      <c r="X1529" s="29">
        <f>IF(B1529="","",IF(COUNTIF($B$5:$B$3004,B1529)&gt;1,"DUPLICATE","OK"))</f>
        <v/>
      </c>
      <c r="Y1529" s="29">
        <f>IF(OR(U1529="",V1529="",V1529="Excluded"),"",IF(COUNTIFS($U$5:$U$3004,U1529,$V$5:$V$3004,"&lt;&gt;"&amp;V1529,$V$5:$V$3004,"&lt;&gt;",$V$5:$V$3004,"&lt;&gt;Excluded")&gt;0,"LEAK RISK","OK"))</f>
        <v/>
      </c>
      <c r="Z1529" s="30" t="n"/>
    </row>
    <row r="1530">
      <c r="A1530" s="30" t="n"/>
      <c r="B1530" s="30" t="n"/>
      <c r="C1530" s="30" t="n"/>
      <c r="D1530" s="30" t="n"/>
      <c r="E1530" s="30" t="n"/>
      <c r="F1530" s="30" t="n"/>
      <c r="G1530" s="30" t="n"/>
      <c r="H1530" s="30" t="n"/>
      <c r="I1530" s="31" t="n"/>
      <c r="J1530" s="30" t="n"/>
      <c r="K1530" s="30" t="n"/>
      <c r="L1530" s="30" t="n"/>
      <c r="M1530" s="30" t="n"/>
      <c r="N1530" s="32" t="n"/>
      <c r="O1530" s="30" t="n"/>
      <c r="P1530" s="32" t="n"/>
      <c r="Q1530" s="30" t="n"/>
      <c r="R1530" s="32" t="n"/>
      <c r="S1530" s="30" t="n"/>
      <c r="T1530" s="30" t="n"/>
      <c r="U1530" s="30" t="n"/>
      <c r="V1530" s="30" t="n"/>
      <c r="W1530" s="29">
        <f>IF(H1530="","",IF(H1530="Kenya","Yes","No"))</f>
        <v/>
      </c>
      <c r="X1530" s="29">
        <f>IF(B1530="","",IF(COUNTIF($B$5:$B$3004,B1530)&gt;1,"DUPLICATE","OK"))</f>
        <v/>
      </c>
      <c r="Y1530" s="29">
        <f>IF(OR(U1530="",V1530="",V1530="Excluded"),"",IF(COUNTIFS($U$5:$U$3004,U1530,$V$5:$V$3004,"&lt;&gt;"&amp;V1530,$V$5:$V$3004,"&lt;&gt;",$V$5:$V$3004,"&lt;&gt;Excluded")&gt;0,"LEAK RISK","OK"))</f>
        <v/>
      </c>
      <c r="Z1530" s="30" t="n"/>
    </row>
    <row r="1531">
      <c r="A1531" s="30" t="n"/>
      <c r="B1531" s="30" t="n"/>
      <c r="C1531" s="30" t="n"/>
      <c r="D1531" s="30" t="n"/>
      <c r="E1531" s="30" t="n"/>
      <c r="F1531" s="30" t="n"/>
      <c r="G1531" s="30" t="n"/>
      <c r="H1531" s="30" t="n"/>
      <c r="I1531" s="31" t="n"/>
      <c r="J1531" s="30" t="n"/>
      <c r="K1531" s="30" t="n"/>
      <c r="L1531" s="30" t="n"/>
      <c r="M1531" s="30" t="n"/>
      <c r="N1531" s="32" t="n"/>
      <c r="O1531" s="30" t="n"/>
      <c r="P1531" s="32" t="n"/>
      <c r="Q1531" s="30" t="n"/>
      <c r="R1531" s="32" t="n"/>
      <c r="S1531" s="30" t="n"/>
      <c r="T1531" s="30" t="n"/>
      <c r="U1531" s="30" t="n"/>
      <c r="V1531" s="30" t="n"/>
      <c r="W1531" s="29">
        <f>IF(H1531="","",IF(H1531="Kenya","Yes","No"))</f>
        <v/>
      </c>
      <c r="X1531" s="29">
        <f>IF(B1531="","",IF(COUNTIF($B$5:$B$3004,B1531)&gt;1,"DUPLICATE","OK"))</f>
        <v/>
      </c>
      <c r="Y1531" s="29">
        <f>IF(OR(U1531="",V1531="",V1531="Excluded"),"",IF(COUNTIFS($U$5:$U$3004,U1531,$V$5:$V$3004,"&lt;&gt;"&amp;V1531,$V$5:$V$3004,"&lt;&gt;",$V$5:$V$3004,"&lt;&gt;Excluded")&gt;0,"LEAK RISK","OK"))</f>
        <v/>
      </c>
      <c r="Z1531" s="30" t="n"/>
    </row>
    <row r="1532">
      <c r="A1532" s="30" t="n"/>
      <c r="B1532" s="30" t="n"/>
      <c r="C1532" s="30" t="n"/>
      <c r="D1532" s="30" t="n"/>
      <c r="E1532" s="30" t="n"/>
      <c r="F1532" s="30" t="n"/>
      <c r="G1532" s="30" t="n"/>
      <c r="H1532" s="30" t="n"/>
      <c r="I1532" s="31" t="n"/>
      <c r="J1532" s="30" t="n"/>
      <c r="K1532" s="30" t="n"/>
      <c r="L1532" s="30" t="n"/>
      <c r="M1532" s="30" t="n"/>
      <c r="N1532" s="32" t="n"/>
      <c r="O1532" s="30" t="n"/>
      <c r="P1532" s="32" t="n"/>
      <c r="Q1532" s="30" t="n"/>
      <c r="R1532" s="32" t="n"/>
      <c r="S1532" s="30" t="n"/>
      <c r="T1532" s="30" t="n"/>
      <c r="U1532" s="30" t="n"/>
      <c r="V1532" s="30" t="n"/>
      <c r="W1532" s="29">
        <f>IF(H1532="","",IF(H1532="Kenya","Yes","No"))</f>
        <v/>
      </c>
      <c r="X1532" s="29">
        <f>IF(B1532="","",IF(COUNTIF($B$5:$B$3004,B1532)&gt;1,"DUPLICATE","OK"))</f>
        <v/>
      </c>
      <c r="Y1532" s="29">
        <f>IF(OR(U1532="",V1532="",V1532="Excluded"),"",IF(COUNTIFS($U$5:$U$3004,U1532,$V$5:$V$3004,"&lt;&gt;"&amp;V1532,$V$5:$V$3004,"&lt;&gt;",$V$5:$V$3004,"&lt;&gt;Excluded")&gt;0,"LEAK RISK","OK"))</f>
        <v/>
      </c>
      <c r="Z1532" s="30" t="n"/>
    </row>
    <row r="1533">
      <c r="A1533" s="30" t="n"/>
      <c r="B1533" s="30" t="n"/>
      <c r="C1533" s="30" t="n"/>
      <c r="D1533" s="30" t="n"/>
      <c r="E1533" s="30" t="n"/>
      <c r="F1533" s="30" t="n"/>
      <c r="G1533" s="30" t="n"/>
      <c r="H1533" s="30" t="n"/>
      <c r="I1533" s="31" t="n"/>
      <c r="J1533" s="30" t="n"/>
      <c r="K1533" s="30" t="n"/>
      <c r="L1533" s="30" t="n"/>
      <c r="M1533" s="30" t="n"/>
      <c r="N1533" s="32" t="n"/>
      <c r="O1533" s="30" t="n"/>
      <c r="P1533" s="32" t="n"/>
      <c r="Q1533" s="30" t="n"/>
      <c r="R1533" s="32" t="n"/>
      <c r="S1533" s="30" t="n"/>
      <c r="T1533" s="30" t="n"/>
      <c r="U1533" s="30" t="n"/>
      <c r="V1533" s="30" t="n"/>
      <c r="W1533" s="29">
        <f>IF(H1533="","",IF(H1533="Kenya","Yes","No"))</f>
        <v/>
      </c>
      <c r="X1533" s="29">
        <f>IF(B1533="","",IF(COUNTIF($B$5:$B$3004,B1533)&gt;1,"DUPLICATE","OK"))</f>
        <v/>
      </c>
      <c r="Y1533" s="29">
        <f>IF(OR(U1533="",V1533="",V1533="Excluded"),"",IF(COUNTIFS($U$5:$U$3004,U1533,$V$5:$V$3004,"&lt;&gt;"&amp;V1533,$V$5:$V$3004,"&lt;&gt;",$V$5:$V$3004,"&lt;&gt;Excluded")&gt;0,"LEAK RISK","OK"))</f>
        <v/>
      </c>
      <c r="Z1533" s="30" t="n"/>
    </row>
    <row r="1534">
      <c r="A1534" s="30" t="n"/>
      <c r="B1534" s="30" t="n"/>
      <c r="C1534" s="30" t="n"/>
      <c r="D1534" s="30" t="n"/>
      <c r="E1534" s="30" t="n"/>
      <c r="F1534" s="30" t="n"/>
      <c r="G1534" s="30" t="n"/>
      <c r="H1534" s="30" t="n"/>
      <c r="I1534" s="31" t="n"/>
      <c r="J1534" s="30" t="n"/>
      <c r="K1534" s="30" t="n"/>
      <c r="L1534" s="30" t="n"/>
      <c r="M1534" s="30" t="n"/>
      <c r="N1534" s="32" t="n"/>
      <c r="O1534" s="30" t="n"/>
      <c r="P1534" s="32" t="n"/>
      <c r="Q1534" s="30" t="n"/>
      <c r="R1534" s="32" t="n"/>
      <c r="S1534" s="30" t="n"/>
      <c r="T1534" s="30" t="n"/>
      <c r="U1534" s="30" t="n"/>
      <c r="V1534" s="30" t="n"/>
      <c r="W1534" s="29">
        <f>IF(H1534="","",IF(H1534="Kenya","Yes","No"))</f>
        <v/>
      </c>
      <c r="X1534" s="29">
        <f>IF(B1534="","",IF(COUNTIF($B$5:$B$3004,B1534)&gt;1,"DUPLICATE","OK"))</f>
        <v/>
      </c>
      <c r="Y1534" s="29">
        <f>IF(OR(U1534="",V1534="",V1534="Excluded"),"",IF(COUNTIFS($U$5:$U$3004,U1534,$V$5:$V$3004,"&lt;&gt;"&amp;V1534,$V$5:$V$3004,"&lt;&gt;",$V$5:$V$3004,"&lt;&gt;Excluded")&gt;0,"LEAK RISK","OK"))</f>
        <v/>
      </c>
      <c r="Z1534" s="30" t="n"/>
    </row>
    <row r="1535">
      <c r="A1535" s="30" t="n"/>
      <c r="B1535" s="30" t="n"/>
      <c r="C1535" s="30" t="n"/>
      <c r="D1535" s="30" t="n"/>
      <c r="E1535" s="30" t="n"/>
      <c r="F1535" s="30" t="n"/>
      <c r="G1535" s="30" t="n"/>
      <c r="H1535" s="30" t="n"/>
      <c r="I1535" s="31" t="n"/>
      <c r="J1535" s="30" t="n"/>
      <c r="K1535" s="30" t="n"/>
      <c r="L1535" s="30" t="n"/>
      <c r="M1535" s="30" t="n"/>
      <c r="N1535" s="32" t="n"/>
      <c r="O1535" s="30" t="n"/>
      <c r="P1535" s="32" t="n"/>
      <c r="Q1535" s="30" t="n"/>
      <c r="R1535" s="32" t="n"/>
      <c r="S1535" s="30" t="n"/>
      <c r="T1535" s="30" t="n"/>
      <c r="U1535" s="30" t="n"/>
      <c r="V1535" s="30" t="n"/>
      <c r="W1535" s="29">
        <f>IF(H1535="","",IF(H1535="Kenya","Yes","No"))</f>
        <v/>
      </c>
      <c r="X1535" s="29">
        <f>IF(B1535="","",IF(COUNTIF($B$5:$B$3004,B1535)&gt;1,"DUPLICATE","OK"))</f>
        <v/>
      </c>
      <c r="Y1535" s="29">
        <f>IF(OR(U1535="",V1535="",V1535="Excluded"),"",IF(COUNTIFS($U$5:$U$3004,U1535,$V$5:$V$3004,"&lt;&gt;"&amp;V1535,$V$5:$V$3004,"&lt;&gt;",$V$5:$V$3004,"&lt;&gt;Excluded")&gt;0,"LEAK RISK","OK"))</f>
        <v/>
      </c>
      <c r="Z1535" s="30" t="n"/>
    </row>
    <row r="1536">
      <c r="A1536" s="30" t="n"/>
      <c r="B1536" s="30" t="n"/>
      <c r="C1536" s="30" t="n"/>
      <c r="D1536" s="30" t="n"/>
      <c r="E1536" s="30" t="n"/>
      <c r="F1536" s="30" t="n"/>
      <c r="G1536" s="30" t="n"/>
      <c r="H1536" s="30" t="n"/>
      <c r="I1536" s="31" t="n"/>
      <c r="J1536" s="30" t="n"/>
      <c r="K1536" s="30" t="n"/>
      <c r="L1536" s="30" t="n"/>
      <c r="M1536" s="30" t="n"/>
      <c r="N1536" s="32" t="n"/>
      <c r="O1536" s="30" t="n"/>
      <c r="P1536" s="32" t="n"/>
      <c r="Q1536" s="30" t="n"/>
      <c r="R1536" s="32" t="n"/>
      <c r="S1536" s="30" t="n"/>
      <c r="T1536" s="30" t="n"/>
      <c r="U1536" s="30" t="n"/>
      <c r="V1536" s="30" t="n"/>
      <c r="W1536" s="29">
        <f>IF(H1536="","",IF(H1536="Kenya","Yes","No"))</f>
        <v/>
      </c>
      <c r="X1536" s="29">
        <f>IF(B1536="","",IF(COUNTIF($B$5:$B$3004,B1536)&gt;1,"DUPLICATE","OK"))</f>
        <v/>
      </c>
      <c r="Y1536" s="29">
        <f>IF(OR(U1536="",V1536="",V1536="Excluded"),"",IF(COUNTIFS($U$5:$U$3004,U1536,$V$5:$V$3004,"&lt;&gt;"&amp;V1536,$V$5:$V$3004,"&lt;&gt;",$V$5:$V$3004,"&lt;&gt;Excluded")&gt;0,"LEAK RISK","OK"))</f>
        <v/>
      </c>
      <c r="Z1536" s="30" t="n"/>
    </row>
    <row r="1537">
      <c r="A1537" s="30" t="n"/>
      <c r="B1537" s="30" t="n"/>
      <c r="C1537" s="30" t="n"/>
      <c r="D1537" s="30" t="n"/>
      <c r="E1537" s="30" t="n"/>
      <c r="F1537" s="30" t="n"/>
      <c r="G1537" s="30" t="n"/>
      <c r="H1537" s="30" t="n"/>
      <c r="I1537" s="31" t="n"/>
      <c r="J1537" s="30" t="n"/>
      <c r="K1537" s="30" t="n"/>
      <c r="L1537" s="30" t="n"/>
      <c r="M1537" s="30" t="n"/>
      <c r="N1537" s="32" t="n"/>
      <c r="O1537" s="30" t="n"/>
      <c r="P1537" s="32" t="n"/>
      <c r="Q1537" s="30" t="n"/>
      <c r="R1537" s="32" t="n"/>
      <c r="S1537" s="30" t="n"/>
      <c r="T1537" s="30" t="n"/>
      <c r="U1537" s="30" t="n"/>
      <c r="V1537" s="30" t="n"/>
      <c r="W1537" s="29">
        <f>IF(H1537="","",IF(H1537="Kenya","Yes","No"))</f>
        <v/>
      </c>
      <c r="X1537" s="29">
        <f>IF(B1537="","",IF(COUNTIF($B$5:$B$3004,B1537)&gt;1,"DUPLICATE","OK"))</f>
        <v/>
      </c>
      <c r="Y1537" s="29">
        <f>IF(OR(U1537="",V1537="",V1537="Excluded"),"",IF(COUNTIFS($U$5:$U$3004,U1537,$V$5:$V$3004,"&lt;&gt;"&amp;V1537,$V$5:$V$3004,"&lt;&gt;",$V$5:$V$3004,"&lt;&gt;Excluded")&gt;0,"LEAK RISK","OK"))</f>
        <v/>
      </c>
      <c r="Z1537" s="30" t="n"/>
    </row>
    <row r="1538">
      <c r="A1538" s="30" t="n"/>
      <c r="B1538" s="30" t="n"/>
      <c r="C1538" s="30" t="n"/>
      <c r="D1538" s="30" t="n"/>
      <c r="E1538" s="30" t="n"/>
      <c r="F1538" s="30" t="n"/>
      <c r="G1538" s="30" t="n"/>
      <c r="H1538" s="30" t="n"/>
      <c r="I1538" s="31" t="n"/>
      <c r="J1538" s="30" t="n"/>
      <c r="K1538" s="30" t="n"/>
      <c r="L1538" s="30" t="n"/>
      <c r="M1538" s="30" t="n"/>
      <c r="N1538" s="32" t="n"/>
      <c r="O1538" s="30" t="n"/>
      <c r="P1538" s="32" t="n"/>
      <c r="Q1538" s="30" t="n"/>
      <c r="R1538" s="32" t="n"/>
      <c r="S1538" s="30" t="n"/>
      <c r="T1538" s="30" t="n"/>
      <c r="U1538" s="30" t="n"/>
      <c r="V1538" s="30" t="n"/>
      <c r="W1538" s="29">
        <f>IF(H1538="","",IF(H1538="Kenya","Yes","No"))</f>
        <v/>
      </c>
      <c r="X1538" s="29">
        <f>IF(B1538="","",IF(COUNTIF($B$5:$B$3004,B1538)&gt;1,"DUPLICATE","OK"))</f>
        <v/>
      </c>
      <c r="Y1538" s="29">
        <f>IF(OR(U1538="",V1538="",V1538="Excluded"),"",IF(COUNTIFS($U$5:$U$3004,U1538,$V$5:$V$3004,"&lt;&gt;"&amp;V1538,$V$5:$V$3004,"&lt;&gt;",$V$5:$V$3004,"&lt;&gt;Excluded")&gt;0,"LEAK RISK","OK"))</f>
        <v/>
      </c>
      <c r="Z1538" s="30" t="n"/>
    </row>
    <row r="1539">
      <c r="A1539" s="30" t="n"/>
      <c r="B1539" s="30" t="n"/>
      <c r="C1539" s="30" t="n"/>
      <c r="D1539" s="30" t="n"/>
      <c r="E1539" s="30" t="n"/>
      <c r="F1539" s="30" t="n"/>
      <c r="G1539" s="30" t="n"/>
      <c r="H1539" s="30" t="n"/>
      <c r="I1539" s="31" t="n"/>
      <c r="J1539" s="30" t="n"/>
      <c r="K1539" s="30" t="n"/>
      <c r="L1539" s="30" t="n"/>
      <c r="M1539" s="30" t="n"/>
      <c r="N1539" s="32" t="n"/>
      <c r="O1539" s="30" t="n"/>
      <c r="P1539" s="32" t="n"/>
      <c r="Q1539" s="30" t="n"/>
      <c r="R1539" s="32" t="n"/>
      <c r="S1539" s="30" t="n"/>
      <c r="T1539" s="30" t="n"/>
      <c r="U1539" s="30" t="n"/>
      <c r="V1539" s="30" t="n"/>
      <c r="W1539" s="29">
        <f>IF(H1539="","",IF(H1539="Kenya","Yes","No"))</f>
        <v/>
      </c>
      <c r="X1539" s="29">
        <f>IF(B1539="","",IF(COUNTIF($B$5:$B$3004,B1539)&gt;1,"DUPLICATE","OK"))</f>
        <v/>
      </c>
      <c r="Y1539" s="29">
        <f>IF(OR(U1539="",V1539="",V1539="Excluded"),"",IF(COUNTIFS($U$5:$U$3004,U1539,$V$5:$V$3004,"&lt;&gt;"&amp;V1539,$V$5:$V$3004,"&lt;&gt;",$V$5:$V$3004,"&lt;&gt;Excluded")&gt;0,"LEAK RISK","OK"))</f>
        <v/>
      </c>
      <c r="Z1539" s="30" t="n"/>
    </row>
    <row r="1540">
      <c r="A1540" s="30" t="n"/>
      <c r="B1540" s="30" t="n"/>
      <c r="C1540" s="30" t="n"/>
      <c r="D1540" s="30" t="n"/>
      <c r="E1540" s="30" t="n"/>
      <c r="F1540" s="30" t="n"/>
      <c r="G1540" s="30" t="n"/>
      <c r="H1540" s="30" t="n"/>
      <c r="I1540" s="31" t="n"/>
      <c r="J1540" s="30" t="n"/>
      <c r="K1540" s="30" t="n"/>
      <c r="L1540" s="30" t="n"/>
      <c r="M1540" s="30" t="n"/>
      <c r="N1540" s="32" t="n"/>
      <c r="O1540" s="30" t="n"/>
      <c r="P1540" s="32" t="n"/>
      <c r="Q1540" s="30" t="n"/>
      <c r="R1540" s="32" t="n"/>
      <c r="S1540" s="30" t="n"/>
      <c r="T1540" s="30" t="n"/>
      <c r="U1540" s="30" t="n"/>
      <c r="V1540" s="30" t="n"/>
      <c r="W1540" s="29">
        <f>IF(H1540="","",IF(H1540="Kenya","Yes","No"))</f>
        <v/>
      </c>
      <c r="X1540" s="29">
        <f>IF(B1540="","",IF(COUNTIF($B$5:$B$3004,B1540)&gt;1,"DUPLICATE","OK"))</f>
        <v/>
      </c>
      <c r="Y1540" s="29">
        <f>IF(OR(U1540="",V1540="",V1540="Excluded"),"",IF(COUNTIFS($U$5:$U$3004,U1540,$V$5:$V$3004,"&lt;&gt;"&amp;V1540,$V$5:$V$3004,"&lt;&gt;",$V$5:$V$3004,"&lt;&gt;Excluded")&gt;0,"LEAK RISK","OK"))</f>
        <v/>
      </c>
      <c r="Z1540" s="30" t="n"/>
    </row>
    <row r="1541">
      <c r="A1541" s="30" t="n"/>
      <c r="B1541" s="30" t="n"/>
      <c r="C1541" s="30" t="n"/>
      <c r="D1541" s="30" t="n"/>
      <c r="E1541" s="30" t="n"/>
      <c r="F1541" s="30" t="n"/>
      <c r="G1541" s="30" t="n"/>
      <c r="H1541" s="30" t="n"/>
      <c r="I1541" s="31" t="n"/>
      <c r="J1541" s="30" t="n"/>
      <c r="K1541" s="30" t="n"/>
      <c r="L1541" s="30" t="n"/>
      <c r="M1541" s="30" t="n"/>
      <c r="N1541" s="32" t="n"/>
      <c r="O1541" s="30" t="n"/>
      <c r="P1541" s="32" t="n"/>
      <c r="Q1541" s="30" t="n"/>
      <c r="R1541" s="32" t="n"/>
      <c r="S1541" s="30" t="n"/>
      <c r="T1541" s="30" t="n"/>
      <c r="U1541" s="30" t="n"/>
      <c r="V1541" s="30" t="n"/>
      <c r="W1541" s="29">
        <f>IF(H1541="","",IF(H1541="Kenya","Yes","No"))</f>
        <v/>
      </c>
      <c r="X1541" s="29">
        <f>IF(B1541="","",IF(COUNTIF($B$5:$B$3004,B1541)&gt;1,"DUPLICATE","OK"))</f>
        <v/>
      </c>
      <c r="Y1541" s="29">
        <f>IF(OR(U1541="",V1541="",V1541="Excluded"),"",IF(COUNTIFS($U$5:$U$3004,U1541,$V$5:$V$3004,"&lt;&gt;"&amp;V1541,$V$5:$V$3004,"&lt;&gt;",$V$5:$V$3004,"&lt;&gt;Excluded")&gt;0,"LEAK RISK","OK"))</f>
        <v/>
      </c>
      <c r="Z1541" s="30" t="n"/>
    </row>
    <row r="1542">
      <c r="A1542" s="30" t="n"/>
      <c r="B1542" s="30" t="n"/>
      <c r="C1542" s="30" t="n"/>
      <c r="D1542" s="30" t="n"/>
      <c r="E1542" s="30" t="n"/>
      <c r="F1542" s="30" t="n"/>
      <c r="G1542" s="30" t="n"/>
      <c r="H1542" s="30" t="n"/>
      <c r="I1542" s="31" t="n"/>
      <c r="J1542" s="30" t="n"/>
      <c r="K1542" s="30" t="n"/>
      <c r="L1542" s="30" t="n"/>
      <c r="M1542" s="30" t="n"/>
      <c r="N1542" s="32" t="n"/>
      <c r="O1542" s="30" t="n"/>
      <c r="P1542" s="32" t="n"/>
      <c r="Q1542" s="30" t="n"/>
      <c r="R1542" s="32" t="n"/>
      <c r="S1542" s="30" t="n"/>
      <c r="T1542" s="30" t="n"/>
      <c r="U1542" s="30" t="n"/>
      <c r="V1542" s="30" t="n"/>
      <c r="W1542" s="29">
        <f>IF(H1542="","",IF(H1542="Kenya","Yes","No"))</f>
        <v/>
      </c>
      <c r="X1542" s="29">
        <f>IF(B1542="","",IF(COUNTIF($B$5:$B$3004,B1542)&gt;1,"DUPLICATE","OK"))</f>
        <v/>
      </c>
      <c r="Y1542" s="29">
        <f>IF(OR(U1542="",V1542="",V1542="Excluded"),"",IF(COUNTIFS($U$5:$U$3004,U1542,$V$5:$V$3004,"&lt;&gt;"&amp;V1542,$V$5:$V$3004,"&lt;&gt;",$V$5:$V$3004,"&lt;&gt;Excluded")&gt;0,"LEAK RISK","OK"))</f>
        <v/>
      </c>
      <c r="Z1542" s="30" t="n"/>
    </row>
    <row r="1543">
      <c r="A1543" s="30" t="n"/>
      <c r="B1543" s="30" t="n"/>
      <c r="C1543" s="30" t="n"/>
      <c r="D1543" s="30" t="n"/>
      <c r="E1543" s="30" t="n"/>
      <c r="F1543" s="30" t="n"/>
      <c r="G1543" s="30" t="n"/>
      <c r="H1543" s="30" t="n"/>
      <c r="I1543" s="31" t="n"/>
      <c r="J1543" s="30" t="n"/>
      <c r="K1543" s="30" t="n"/>
      <c r="L1543" s="30" t="n"/>
      <c r="M1543" s="30" t="n"/>
      <c r="N1543" s="32" t="n"/>
      <c r="O1543" s="30" t="n"/>
      <c r="P1543" s="32" t="n"/>
      <c r="Q1543" s="30" t="n"/>
      <c r="R1543" s="32" t="n"/>
      <c r="S1543" s="30" t="n"/>
      <c r="T1543" s="30" t="n"/>
      <c r="U1543" s="30" t="n"/>
      <c r="V1543" s="30" t="n"/>
      <c r="W1543" s="29">
        <f>IF(H1543="","",IF(H1543="Kenya","Yes","No"))</f>
        <v/>
      </c>
      <c r="X1543" s="29">
        <f>IF(B1543="","",IF(COUNTIF($B$5:$B$3004,B1543)&gt;1,"DUPLICATE","OK"))</f>
        <v/>
      </c>
      <c r="Y1543" s="29">
        <f>IF(OR(U1543="",V1543="",V1543="Excluded"),"",IF(COUNTIFS($U$5:$U$3004,U1543,$V$5:$V$3004,"&lt;&gt;"&amp;V1543,$V$5:$V$3004,"&lt;&gt;",$V$5:$V$3004,"&lt;&gt;Excluded")&gt;0,"LEAK RISK","OK"))</f>
        <v/>
      </c>
      <c r="Z1543" s="30" t="n"/>
    </row>
    <row r="1544">
      <c r="A1544" s="30" t="n"/>
      <c r="B1544" s="30" t="n"/>
      <c r="C1544" s="30" t="n"/>
      <c r="D1544" s="30" t="n"/>
      <c r="E1544" s="30" t="n"/>
      <c r="F1544" s="30" t="n"/>
      <c r="G1544" s="30" t="n"/>
      <c r="H1544" s="30" t="n"/>
      <c r="I1544" s="31" t="n"/>
      <c r="J1544" s="30" t="n"/>
      <c r="K1544" s="30" t="n"/>
      <c r="L1544" s="30" t="n"/>
      <c r="M1544" s="30" t="n"/>
      <c r="N1544" s="32" t="n"/>
      <c r="O1544" s="30" t="n"/>
      <c r="P1544" s="32" t="n"/>
      <c r="Q1544" s="30" t="n"/>
      <c r="R1544" s="32" t="n"/>
      <c r="S1544" s="30" t="n"/>
      <c r="T1544" s="30" t="n"/>
      <c r="U1544" s="30" t="n"/>
      <c r="V1544" s="30" t="n"/>
      <c r="W1544" s="29">
        <f>IF(H1544="","",IF(H1544="Kenya","Yes","No"))</f>
        <v/>
      </c>
      <c r="X1544" s="29">
        <f>IF(B1544="","",IF(COUNTIF($B$5:$B$3004,B1544)&gt;1,"DUPLICATE","OK"))</f>
        <v/>
      </c>
      <c r="Y1544" s="29">
        <f>IF(OR(U1544="",V1544="",V1544="Excluded"),"",IF(COUNTIFS($U$5:$U$3004,U1544,$V$5:$V$3004,"&lt;&gt;"&amp;V1544,$V$5:$V$3004,"&lt;&gt;",$V$5:$V$3004,"&lt;&gt;Excluded")&gt;0,"LEAK RISK","OK"))</f>
        <v/>
      </c>
      <c r="Z1544" s="30" t="n"/>
    </row>
    <row r="1545">
      <c r="A1545" s="30" t="n"/>
      <c r="B1545" s="30" t="n"/>
      <c r="C1545" s="30" t="n"/>
      <c r="D1545" s="30" t="n"/>
      <c r="E1545" s="30" t="n"/>
      <c r="F1545" s="30" t="n"/>
      <c r="G1545" s="30" t="n"/>
      <c r="H1545" s="30" t="n"/>
      <c r="I1545" s="31" t="n"/>
      <c r="J1545" s="30" t="n"/>
      <c r="K1545" s="30" t="n"/>
      <c r="L1545" s="30" t="n"/>
      <c r="M1545" s="30" t="n"/>
      <c r="N1545" s="32" t="n"/>
      <c r="O1545" s="30" t="n"/>
      <c r="P1545" s="32" t="n"/>
      <c r="Q1545" s="30" t="n"/>
      <c r="R1545" s="32" t="n"/>
      <c r="S1545" s="30" t="n"/>
      <c r="T1545" s="30" t="n"/>
      <c r="U1545" s="30" t="n"/>
      <c r="V1545" s="30" t="n"/>
      <c r="W1545" s="29">
        <f>IF(H1545="","",IF(H1545="Kenya","Yes","No"))</f>
        <v/>
      </c>
      <c r="X1545" s="29">
        <f>IF(B1545="","",IF(COUNTIF($B$5:$B$3004,B1545)&gt;1,"DUPLICATE","OK"))</f>
        <v/>
      </c>
      <c r="Y1545" s="29">
        <f>IF(OR(U1545="",V1545="",V1545="Excluded"),"",IF(COUNTIFS($U$5:$U$3004,U1545,$V$5:$V$3004,"&lt;&gt;"&amp;V1545,$V$5:$V$3004,"&lt;&gt;",$V$5:$V$3004,"&lt;&gt;Excluded")&gt;0,"LEAK RISK","OK"))</f>
        <v/>
      </c>
      <c r="Z1545" s="30" t="n"/>
    </row>
    <row r="1546">
      <c r="A1546" s="30" t="n"/>
      <c r="B1546" s="30" t="n"/>
      <c r="C1546" s="30" t="n"/>
      <c r="D1546" s="30" t="n"/>
      <c r="E1546" s="30" t="n"/>
      <c r="F1546" s="30" t="n"/>
      <c r="G1546" s="30" t="n"/>
      <c r="H1546" s="30" t="n"/>
      <c r="I1546" s="31" t="n"/>
      <c r="J1546" s="30" t="n"/>
      <c r="K1546" s="30" t="n"/>
      <c r="L1546" s="30" t="n"/>
      <c r="M1546" s="30" t="n"/>
      <c r="N1546" s="32" t="n"/>
      <c r="O1546" s="30" t="n"/>
      <c r="P1546" s="32" t="n"/>
      <c r="Q1546" s="30" t="n"/>
      <c r="R1546" s="32" t="n"/>
      <c r="S1546" s="30" t="n"/>
      <c r="T1546" s="30" t="n"/>
      <c r="U1546" s="30" t="n"/>
      <c r="V1546" s="30" t="n"/>
      <c r="W1546" s="29">
        <f>IF(H1546="","",IF(H1546="Kenya","Yes","No"))</f>
        <v/>
      </c>
      <c r="X1546" s="29">
        <f>IF(B1546="","",IF(COUNTIF($B$5:$B$3004,B1546)&gt;1,"DUPLICATE","OK"))</f>
        <v/>
      </c>
      <c r="Y1546" s="29">
        <f>IF(OR(U1546="",V1546="",V1546="Excluded"),"",IF(COUNTIFS($U$5:$U$3004,U1546,$V$5:$V$3004,"&lt;&gt;"&amp;V1546,$V$5:$V$3004,"&lt;&gt;",$V$5:$V$3004,"&lt;&gt;Excluded")&gt;0,"LEAK RISK","OK"))</f>
        <v/>
      </c>
      <c r="Z1546" s="30" t="n"/>
    </row>
    <row r="1547">
      <c r="A1547" s="30" t="n"/>
      <c r="B1547" s="30" t="n"/>
      <c r="C1547" s="30" t="n"/>
      <c r="D1547" s="30" t="n"/>
      <c r="E1547" s="30" t="n"/>
      <c r="F1547" s="30" t="n"/>
      <c r="G1547" s="30" t="n"/>
      <c r="H1547" s="30" t="n"/>
      <c r="I1547" s="31" t="n"/>
      <c r="J1547" s="30" t="n"/>
      <c r="K1547" s="30" t="n"/>
      <c r="L1547" s="30" t="n"/>
      <c r="M1547" s="30" t="n"/>
      <c r="N1547" s="32" t="n"/>
      <c r="O1547" s="30" t="n"/>
      <c r="P1547" s="32" t="n"/>
      <c r="Q1547" s="30" t="n"/>
      <c r="R1547" s="32" t="n"/>
      <c r="S1547" s="30" t="n"/>
      <c r="T1547" s="30" t="n"/>
      <c r="U1547" s="30" t="n"/>
      <c r="V1547" s="30" t="n"/>
      <c r="W1547" s="29">
        <f>IF(H1547="","",IF(H1547="Kenya","Yes","No"))</f>
        <v/>
      </c>
      <c r="X1547" s="29">
        <f>IF(B1547="","",IF(COUNTIF($B$5:$B$3004,B1547)&gt;1,"DUPLICATE","OK"))</f>
        <v/>
      </c>
      <c r="Y1547" s="29">
        <f>IF(OR(U1547="",V1547="",V1547="Excluded"),"",IF(COUNTIFS($U$5:$U$3004,U1547,$V$5:$V$3004,"&lt;&gt;"&amp;V1547,$V$5:$V$3004,"&lt;&gt;",$V$5:$V$3004,"&lt;&gt;Excluded")&gt;0,"LEAK RISK","OK"))</f>
        <v/>
      </c>
      <c r="Z1547" s="30" t="n"/>
    </row>
    <row r="1548">
      <c r="A1548" s="30" t="n"/>
      <c r="B1548" s="30" t="n"/>
      <c r="C1548" s="30" t="n"/>
      <c r="D1548" s="30" t="n"/>
      <c r="E1548" s="30" t="n"/>
      <c r="F1548" s="30" t="n"/>
      <c r="G1548" s="30" t="n"/>
      <c r="H1548" s="30" t="n"/>
      <c r="I1548" s="31" t="n"/>
      <c r="J1548" s="30" t="n"/>
      <c r="K1548" s="30" t="n"/>
      <c r="L1548" s="30" t="n"/>
      <c r="M1548" s="30" t="n"/>
      <c r="N1548" s="32" t="n"/>
      <c r="O1548" s="30" t="n"/>
      <c r="P1548" s="32" t="n"/>
      <c r="Q1548" s="30" t="n"/>
      <c r="R1548" s="32" t="n"/>
      <c r="S1548" s="30" t="n"/>
      <c r="T1548" s="30" t="n"/>
      <c r="U1548" s="30" t="n"/>
      <c r="V1548" s="30" t="n"/>
      <c r="W1548" s="29">
        <f>IF(H1548="","",IF(H1548="Kenya","Yes","No"))</f>
        <v/>
      </c>
      <c r="X1548" s="29">
        <f>IF(B1548="","",IF(COUNTIF($B$5:$B$3004,B1548)&gt;1,"DUPLICATE","OK"))</f>
        <v/>
      </c>
      <c r="Y1548" s="29">
        <f>IF(OR(U1548="",V1548="",V1548="Excluded"),"",IF(COUNTIFS($U$5:$U$3004,U1548,$V$5:$V$3004,"&lt;&gt;"&amp;V1548,$V$5:$V$3004,"&lt;&gt;",$V$5:$V$3004,"&lt;&gt;Excluded")&gt;0,"LEAK RISK","OK"))</f>
        <v/>
      </c>
      <c r="Z1548" s="30" t="n"/>
    </row>
    <row r="1549">
      <c r="A1549" s="30" t="n"/>
      <c r="B1549" s="30" t="n"/>
      <c r="C1549" s="30" t="n"/>
      <c r="D1549" s="30" t="n"/>
      <c r="E1549" s="30" t="n"/>
      <c r="F1549" s="30" t="n"/>
      <c r="G1549" s="30" t="n"/>
      <c r="H1549" s="30" t="n"/>
      <c r="I1549" s="31" t="n"/>
      <c r="J1549" s="30" t="n"/>
      <c r="K1549" s="30" t="n"/>
      <c r="L1549" s="30" t="n"/>
      <c r="M1549" s="30" t="n"/>
      <c r="N1549" s="32" t="n"/>
      <c r="O1549" s="30" t="n"/>
      <c r="P1549" s="32" t="n"/>
      <c r="Q1549" s="30" t="n"/>
      <c r="R1549" s="32" t="n"/>
      <c r="S1549" s="30" t="n"/>
      <c r="T1549" s="30" t="n"/>
      <c r="U1549" s="30" t="n"/>
      <c r="V1549" s="30" t="n"/>
      <c r="W1549" s="29">
        <f>IF(H1549="","",IF(H1549="Kenya","Yes","No"))</f>
        <v/>
      </c>
      <c r="X1549" s="29">
        <f>IF(B1549="","",IF(COUNTIF($B$5:$B$3004,B1549)&gt;1,"DUPLICATE","OK"))</f>
        <v/>
      </c>
      <c r="Y1549" s="29">
        <f>IF(OR(U1549="",V1549="",V1549="Excluded"),"",IF(COUNTIFS($U$5:$U$3004,U1549,$V$5:$V$3004,"&lt;&gt;"&amp;V1549,$V$5:$V$3004,"&lt;&gt;",$V$5:$V$3004,"&lt;&gt;Excluded")&gt;0,"LEAK RISK","OK"))</f>
        <v/>
      </c>
      <c r="Z1549" s="30" t="n"/>
    </row>
    <row r="1550">
      <c r="A1550" s="30" t="n"/>
      <c r="B1550" s="30" t="n"/>
      <c r="C1550" s="30" t="n"/>
      <c r="D1550" s="30" t="n"/>
      <c r="E1550" s="30" t="n"/>
      <c r="F1550" s="30" t="n"/>
      <c r="G1550" s="30" t="n"/>
      <c r="H1550" s="30" t="n"/>
      <c r="I1550" s="31" t="n"/>
      <c r="J1550" s="30" t="n"/>
      <c r="K1550" s="30" t="n"/>
      <c r="L1550" s="30" t="n"/>
      <c r="M1550" s="30" t="n"/>
      <c r="N1550" s="32" t="n"/>
      <c r="O1550" s="30" t="n"/>
      <c r="P1550" s="32" t="n"/>
      <c r="Q1550" s="30" t="n"/>
      <c r="R1550" s="32" t="n"/>
      <c r="S1550" s="30" t="n"/>
      <c r="T1550" s="30" t="n"/>
      <c r="U1550" s="30" t="n"/>
      <c r="V1550" s="30" t="n"/>
      <c r="W1550" s="29">
        <f>IF(H1550="","",IF(H1550="Kenya","Yes","No"))</f>
        <v/>
      </c>
      <c r="X1550" s="29">
        <f>IF(B1550="","",IF(COUNTIF($B$5:$B$3004,B1550)&gt;1,"DUPLICATE","OK"))</f>
        <v/>
      </c>
      <c r="Y1550" s="29">
        <f>IF(OR(U1550="",V1550="",V1550="Excluded"),"",IF(COUNTIFS($U$5:$U$3004,U1550,$V$5:$V$3004,"&lt;&gt;"&amp;V1550,$V$5:$V$3004,"&lt;&gt;",$V$5:$V$3004,"&lt;&gt;Excluded")&gt;0,"LEAK RISK","OK"))</f>
        <v/>
      </c>
      <c r="Z1550" s="30" t="n"/>
    </row>
    <row r="1551">
      <c r="A1551" s="30" t="n"/>
      <c r="B1551" s="30" t="n"/>
      <c r="C1551" s="30" t="n"/>
      <c r="D1551" s="30" t="n"/>
      <c r="E1551" s="30" t="n"/>
      <c r="F1551" s="30" t="n"/>
      <c r="G1551" s="30" t="n"/>
      <c r="H1551" s="30" t="n"/>
      <c r="I1551" s="31" t="n"/>
      <c r="J1551" s="30" t="n"/>
      <c r="K1551" s="30" t="n"/>
      <c r="L1551" s="30" t="n"/>
      <c r="M1551" s="30" t="n"/>
      <c r="N1551" s="32" t="n"/>
      <c r="O1551" s="30" t="n"/>
      <c r="P1551" s="32" t="n"/>
      <c r="Q1551" s="30" t="n"/>
      <c r="R1551" s="32" t="n"/>
      <c r="S1551" s="30" t="n"/>
      <c r="T1551" s="30" t="n"/>
      <c r="U1551" s="30" t="n"/>
      <c r="V1551" s="30" t="n"/>
      <c r="W1551" s="29">
        <f>IF(H1551="","",IF(H1551="Kenya","Yes","No"))</f>
        <v/>
      </c>
      <c r="X1551" s="29">
        <f>IF(B1551="","",IF(COUNTIF($B$5:$B$3004,B1551)&gt;1,"DUPLICATE","OK"))</f>
        <v/>
      </c>
      <c r="Y1551" s="29">
        <f>IF(OR(U1551="",V1551="",V1551="Excluded"),"",IF(COUNTIFS($U$5:$U$3004,U1551,$V$5:$V$3004,"&lt;&gt;"&amp;V1551,$V$5:$V$3004,"&lt;&gt;",$V$5:$V$3004,"&lt;&gt;Excluded")&gt;0,"LEAK RISK","OK"))</f>
        <v/>
      </c>
      <c r="Z1551" s="30" t="n"/>
    </row>
    <row r="1552">
      <c r="A1552" s="30" t="n"/>
      <c r="B1552" s="30" t="n"/>
      <c r="C1552" s="30" t="n"/>
      <c r="D1552" s="30" t="n"/>
      <c r="E1552" s="30" t="n"/>
      <c r="F1552" s="30" t="n"/>
      <c r="G1552" s="30" t="n"/>
      <c r="H1552" s="30" t="n"/>
      <c r="I1552" s="31" t="n"/>
      <c r="J1552" s="30" t="n"/>
      <c r="K1552" s="30" t="n"/>
      <c r="L1552" s="30" t="n"/>
      <c r="M1552" s="30" t="n"/>
      <c r="N1552" s="32" t="n"/>
      <c r="O1552" s="30" t="n"/>
      <c r="P1552" s="32" t="n"/>
      <c r="Q1552" s="30" t="n"/>
      <c r="R1552" s="32" t="n"/>
      <c r="S1552" s="30" t="n"/>
      <c r="T1552" s="30" t="n"/>
      <c r="U1552" s="30" t="n"/>
      <c r="V1552" s="30" t="n"/>
      <c r="W1552" s="29">
        <f>IF(H1552="","",IF(H1552="Kenya","Yes","No"))</f>
        <v/>
      </c>
      <c r="X1552" s="29">
        <f>IF(B1552="","",IF(COUNTIF($B$5:$B$3004,B1552)&gt;1,"DUPLICATE","OK"))</f>
        <v/>
      </c>
      <c r="Y1552" s="29">
        <f>IF(OR(U1552="",V1552="",V1552="Excluded"),"",IF(COUNTIFS($U$5:$U$3004,U1552,$V$5:$V$3004,"&lt;&gt;"&amp;V1552,$V$5:$V$3004,"&lt;&gt;",$V$5:$V$3004,"&lt;&gt;Excluded")&gt;0,"LEAK RISK","OK"))</f>
        <v/>
      </c>
      <c r="Z1552" s="30" t="n"/>
    </row>
    <row r="1553">
      <c r="A1553" s="30" t="n"/>
      <c r="B1553" s="30" t="n"/>
      <c r="C1553" s="30" t="n"/>
      <c r="D1553" s="30" t="n"/>
      <c r="E1553" s="30" t="n"/>
      <c r="F1553" s="30" t="n"/>
      <c r="G1553" s="30" t="n"/>
      <c r="H1553" s="30" t="n"/>
      <c r="I1553" s="31" t="n"/>
      <c r="J1553" s="30" t="n"/>
      <c r="K1553" s="30" t="n"/>
      <c r="L1553" s="30" t="n"/>
      <c r="M1553" s="30" t="n"/>
      <c r="N1553" s="32" t="n"/>
      <c r="O1553" s="30" t="n"/>
      <c r="P1553" s="32" t="n"/>
      <c r="Q1553" s="30" t="n"/>
      <c r="R1553" s="32" t="n"/>
      <c r="S1553" s="30" t="n"/>
      <c r="T1553" s="30" t="n"/>
      <c r="U1553" s="30" t="n"/>
      <c r="V1553" s="30" t="n"/>
      <c r="W1553" s="29">
        <f>IF(H1553="","",IF(H1553="Kenya","Yes","No"))</f>
        <v/>
      </c>
      <c r="X1553" s="29">
        <f>IF(B1553="","",IF(COUNTIF($B$5:$B$3004,B1553)&gt;1,"DUPLICATE","OK"))</f>
        <v/>
      </c>
      <c r="Y1553" s="29">
        <f>IF(OR(U1553="",V1553="",V1553="Excluded"),"",IF(COUNTIFS($U$5:$U$3004,U1553,$V$5:$V$3004,"&lt;&gt;"&amp;V1553,$V$5:$V$3004,"&lt;&gt;",$V$5:$V$3004,"&lt;&gt;Excluded")&gt;0,"LEAK RISK","OK"))</f>
        <v/>
      </c>
      <c r="Z1553" s="30" t="n"/>
    </row>
    <row r="1554">
      <c r="A1554" s="30" t="n"/>
      <c r="B1554" s="30" t="n"/>
      <c r="C1554" s="30" t="n"/>
      <c r="D1554" s="30" t="n"/>
      <c r="E1554" s="30" t="n"/>
      <c r="F1554" s="30" t="n"/>
      <c r="G1554" s="30" t="n"/>
      <c r="H1554" s="30" t="n"/>
      <c r="I1554" s="31" t="n"/>
      <c r="J1554" s="30" t="n"/>
      <c r="K1554" s="30" t="n"/>
      <c r="L1554" s="30" t="n"/>
      <c r="M1554" s="30" t="n"/>
      <c r="N1554" s="32" t="n"/>
      <c r="O1554" s="30" t="n"/>
      <c r="P1554" s="32" t="n"/>
      <c r="Q1554" s="30" t="n"/>
      <c r="R1554" s="32" t="n"/>
      <c r="S1554" s="30" t="n"/>
      <c r="T1554" s="30" t="n"/>
      <c r="U1554" s="30" t="n"/>
      <c r="V1554" s="30" t="n"/>
      <c r="W1554" s="29">
        <f>IF(H1554="","",IF(H1554="Kenya","Yes","No"))</f>
        <v/>
      </c>
      <c r="X1554" s="29">
        <f>IF(B1554="","",IF(COUNTIF($B$5:$B$3004,B1554)&gt;1,"DUPLICATE","OK"))</f>
        <v/>
      </c>
      <c r="Y1554" s="29">
        <f>IF(OR(U1554="",V1554="",V1554="Excluded"),"",IF(COUNTIFS($U$5:$U$3004,U1554,$V$5:$V$3004,"&lt;&gt;"&amp;V1554,$V$5:$V$3004,"&lt;&gt;",$V$5:$V$3004,"&lt;&gt;Excluded")&gt;0,"LEAK RISK","OK"))</f>
        <v/>
      </c>
      <c r="Z1554" s="30" t="n"/>
    </row>
    <row r="1555">
      <c r="A1555" s="30" t="n"/>
      <c r="B1555" s="30" t="n"/>
      <c r="C1555" s="30" t="n"/>
      <c r="D1555" s="30" t="n"/>
      <c r="E1555" s="30" t="n"/>
      <c r="F1555" s="30" t="n"/>
      <c r="G1555" s="30" t="n"/>
      <c r="H1555" s="30" t="n"/>
      <c r="I1555" s="31" t="n"/>
      <c r="J1555" s="30" t="n"/>
      <c r="K1555" s="30" t="n"/>
      <c r="L1555" s="30" t="n"/>
      <c r="M1555" s="30" t="n"/>
      <c r="N1555" s="32" t="n"/>
      <c r="O1555" s="30" t="n"/>
      <c r="P1555" s="32" t="n"/>
      <c r="Q1555" s="30" t="n"/>
      <c r="R1555" s="32" t="n"/>
      <c r="S1555" s="30" t="n"/>
      <c r="T1555" s="30" t="n"/>
      <c r="U1555" s="30" t="n"/>
      <c r="V1555" s="30" t="n"/>
      <c r="W1555" s="29">
        <f>IF(H1555="","",IF(H1555="Kenya","Yes","No"))</f>
        <v/>
      </c>
      <c r="X1555" s="29">
        <f>IF(B1555="","",IF(COUNTIF($B$5:$B$3004,B1555)&gt;1,"DUPLICATE","OK"))</f>
        <v/>
      </c>
      <c r="Y1555" s="29">
        <f>IF(OR(U1555="",V1555="",V1555="Excluded"),"",IF(COUNTIFS($U$5:$U$3004,U1555,$V$5:$V$3004,"&lt;&gt;"&amp;V1555,$V$5:$V$3004,"&lt;&gt;",$V$5:$V$3004,"&lt;&gt;Excluded")&gt;0,"LEAK RISK","OK"))</f>
        <v/>
      </c>
      <c r="Z1555" s="30" t="n"/>
    </row>
    <row r="1556">
      <c r="A1556" s="30" t="n"/>
      <c r="B1556" s="30" t="n"/>
      <c r="C1556" s="30" t="n"/>
      <c r="D1556" s="30" t="n"/>
      <c r="E1556" s="30" t="n"/>
      <c r="F1556" s="30" t="n"/>
      <c r="G1556" s="30" t="n"/>
      <c r="H1556" s="30" t="n"/>
      <c r="I1556" s="31" t="n"/>
      <c r="J1556" s="30" t="n"/>
      <c r="K1556" s="30" t="n"/>
      <c r="L1556" s="30" t="n"/>
      <c r="M1556" s="30" t="n"/>
      <c r="N1556" s="32" t="n"/>
      <c r="O1556" s="30" t="n"/>
      <c r="P1556" s="32" t="n"/>
      <c r="Q1556" s="30" t="n"/>
      <c r="R1556" s="32" t="n"/>
      <c r="S1556" s="30" t="n"/>
      <c r="T1556" s="30" t="n"/>
      <c r="U1556" s="30" t="n"/>
      <c r="V1556" s="30" t="n"/>
      <c r="W1556" s="29">
        <f>IF(H1556="","",IF(H1556="Kenya","Yes","No"))</f>
        <v/>
      </c>
      <c r="X1556" s="29">
        <f>IF(B1556="","",IF(COUNTIF($B$5:$B$3004,B1556)&gt;1,"DUPLICATE","OK"))</f>
        <v/>
      </c>
      <c r="Y1556" s="29">
        <f>IF(OR(U1556="",V1556="",V1556="Excluded"),"",IF(COUNTIFS($U$5:$U$3004,U1556,$V$5:$V$3004,"&lt;&gt;"&amp;V1556,$V$5:$V$3004,"&lt;&gt;",$V$5:$V$3004,"&lt;&gt;Excluded")&gt;0,"LEAK RISK","OK"))</f>
        <v/>
      </c>
      <c r="Z1556" s="30" t="n"/>
    </row>
    <row r="1557">
      <c r="A1557" s="30" t="n"/>
      <c r="B1557" s="30" t="n"/>
      <c r="C1557" s="30" t="n"/>
      <c r="D1557" s="30" t="n"/>
      <c r="E1557" s="30" t="n"/>
      <c r="F1557" s="30" t="n"/>
      <c r="G1557" s="30" t="n"/>
      <c r="H1557" s="30" t="n"/>
      <c r="I1557" s="31" t="n"/>
      <c r="J1557" s="30" t="n"/>
      <c r="K1557" s="30" t="n"/>
      <c r="L1557" s="30" t="n"/>
      <c r="M1557" s="30" t="n"/>
      <c r="N1557" s="32" t="n"/>
      <c r="O1557" s="30" t="n"/>
      <c r="P1557" s="32" t="n"/>
      <c r="Q1557" s="30" t="n"/>
      <c r="R1557" s="32" t="n"/>
      <c r="S1557" s="30" t="n"/>
      <c r="T1557" s="30" t="n"/>
      <c r="U1557" s="30" t="n"/>
      <c r="V1557" s="30" t="n"/>
      <c r="W1557" s="29">
        <f>IF(H1557="","",IF(H1557="Kenya","Yes","No"))</f>
        <v/>
      </c>
      <c r="X1557" s="29">
        <f>IF(B1557="","",IF(COUNTIF($B$5:$B$3004,B1557)&gt;1,"DUPLICATE","OK"))</f>
        <v/>
      </c>
      <c r="Y1557" s="29">
        <f>IF(OR(U1557="",V1557="",V1557="Excluded"),"",IF(COUNTIFS($U$5:$U$3004,U1557,$V$5:$V$3004,"&lt;&gt;"&amp;V1557,$V$5:$V$3004,"&lt;&gt;",$V$5:$V$3004,"&lt;&gt;Excluded")&gt;0,"LEAK RISK","OK"))</f>
        <v/>
      </c>
      <c r="Z1557" s="30" t="n"/>
    </row>
    <row r="1558">
      <c r="A1558" s="30" t="n"/>
      <c r="B1558" s="30" t="n"/>
      <c r="C1558" s="30" t="n"/>
      <c r="D1558" s="30" t="n"/>
      <c r="E1558" s="30" t="n"/>
      <c r="F1558" s="30" t="n"/>
      <c r="G1558" s="30" t="n"/>
      <c r="H1558" s="30" t="n"/>
      <c r="I1558" s="31" t="n"/>
      <c r="J1558" s="30" t="n"/>
      <c r="K1558" s="30" t="n"/>
      <c r="L1558" s="30" t="n"/>
      <c r="M1558" s="30" t="n"/>
      <c r="N1558" s="32" t="n"/>
      <c r="O1558" s="30" t="n"/>
      <c r="P1558" s="32" t="n"/>
      <c r="Q1558" s="30" t="n"/>
      <c r="R1558" s="32" t="n"/>
      <c r="S1558" s="30" t="n"/>
      <c r="T1558" s="30" t="n"/>
      <c r="U1558" s="30" t="n"/>
      <c r="V1558" s="30" t="n"/>
      <c r="W1558" s="29">
        <f>IF(H1558="","",IF(H1558="Kenya","Yes","No"))</f>
        <v/>
      </c>
      <c r="X1558" s="29">
        <f>IF(B1558="","",IF(COUNTIF($B$5:$B$3004,B1558)&gt;1,"DUPLICATE","OK"))</f>
        <v/>
      </c>
      <c r="Y1558" s="29">
        <f>IF(OR(U1558="",V1558="",V1558="Excluded"),"",IF(COUNTIFS($U$5:$U$3004,U1558,$V$5:$V$3004,"&lt;&gt;"&amp;V1558,$V$5:$V$3004,"&lt;&gt;",$V$5:$V$3004,"&lt;&gt;Excluded")&gt;0,"LEAK RISK","OK"))</f>
        <v/>
      </c>
      <c r="Z1558" s="30" t="n"/>
    </row>
    <row r="1559">
      <c r="A1559" s="30" t="n"/>
      <c r="B1559" s="30" t="n"/>
      <c r="C1559" s="30" t="n"/>
      <c r="D1559" s="30" t="n"/>
      <c r="E1559" s="30" t="n"/>
      <c r="F1559" s="30" t="n"/>
      <c r="G1559" s="30" t="n"/>
      <c r="H1559" s="30" t="n"/>
      <c r="I1559" s="31" t="n"/>
      <c r="J1559" s="30" t="n"/>
      <c r="K1559" s="30" t="n"/>
      <c r="L1559" s="30" t="n"/>
      <c r="M1559" s="30" t="n"/>
      <c r="N1559" s="32" t="n"/>
      <c r="O1559" s="30" t="n"/>
      <c r="P1559" s="32" t="n"/>
      <c r="Q1559" s="30" t="n"/>
      <c r="R1559" s="32" t="n"/>
      <c r="S1559" s="30" t="n"/>
      <c r="T1559" s="30" t="n"/>
      <c r="U1559" s="30" t="n"/>
      <c r="V1559" s="30" t="n"/>
      <c r="W1559" s="29">
        <f>IF(H1559="","",IF(H1559="Kenya","Yes","No"))</f>
        <v/>
      </c>
      <c r="X1559" s="29">
        <f>IF(B1559="","",IF(COUNTIF($B$5:$B$3004,B1559)&gt;1,"DUPLICATE","OK"))</f>
        <v/>
      </c>
      <c r="Y1559" s="29">
        <f>IF(OR(U1559="",V1559="",V1559="Excluded"),"",IF(COUNTIFS($U$5:$U$3004,U1559,$V$5:$V$3004,"&lt;&gt;"&amp;V1559,$V$5:$V$3004,"&lt;&gt;",$V$5:$V$3004,"&lt;&gt;Excluded")&gt;0,"LEAK RISK","OK"))</f>
        <v/>
      </c>
      <c r="Z1559" s="30" t="n"/>
    </row>
    <row r="1560">
      <c r="A1560" s="30" t="n"/>
      <c r="B1560" s="30" t="n"/>
      <c r="C1560" s="30" t="n"/>
      <c r="D1560" s="30" t="n"/>
      <c r="E1560" s="30" t="n"/>
      <c r="F1560" s="30" t="n"/>
      <c r="G1560" s="30" t="n"/>
      <c r="H1560" s="30" t="n"/>
      <c r="I1560" s="31" t="n"/>
      <c r="J1560" s="30" t="n"/>
      <c r="K1560" s="30" t="n"/>
      <c r="L1560" s="30" t="n"/>
      <c r="M1560" s="30" t="n"/>
      <c r="N1560" s="32" t="n"/>
      <c r="O1560" s="30" t="n"/>
      <c r="P1560" s="32" t="n"/>
      <c r="Q1560" s="30" t="n"/>
      <c r="R1560" s="32" t="n"/>
      <c r="S1560" s="30" t="n"/>
      <c r="T1560" s="30" t="n"/>
      <c r="U1560" s="30" t="n"/>
      <c r="V1560" s="30" t="n"/>
      <c r="W1560" s="29">
        <f>IF(H1560="","",IF(H1560="Kenya","Yes","No"))</f>
        <v/>
      </c>
      <c r="X1560" s="29">
        <f>IF(B1560="","",IF(COUNTIF($B$5:$B$3004,B1560)&gt;1,"DUPLICATE","OK"))</f>
        <v/>
      </c>
      <c r="Y1560" s="29">
        <f>IF(OR(U1560="",V1560="",V1560="Excluded"),"",IF(COUNTIFS($U$5:$U$3004,U1560,$V$5:$V$3004,"&lt;&gt;"&amp;V1560,$V$5:$V$3004,"&lt;&gt;",$V$5:$V$3004,"&lt;&gt;Excluded")&gt;0,"LEAK RISK","OK"))</f>
        <v/>
      </c>
      <c r="Z1560" s="30" t="n"/>
    </row>
    <row r="1561">
      <c r="A1561" s="30" t="n"/>
      <c r="B1561" s="30" t="n"/>
      <c r="C1561" s="30" t="n"/>
      <c r="D1561" s="30" t="n"/>
      <c r="E1561" s="30" t="n"/>
      <c r="F1561" s="30" t="n"/>
      <c r="G1561" s="30" t="n"/>
      <c r="H1561" s="30" t="n"/>
      <c r="I1561" s="31" t="n"/>
      <c r="J1561" s="30" t="n"/>
      <c r="K1561" s="30" t="n"/>
      <c r="L1561" s="30" t="n"/>
      <c r="M1561" s="30" t="n"/>
      <c r="N1561" s="32" t="n"/>
      <c r="O1561" s="30" t="n"/>
      <c r="P1561" s="32" t="n"/>
      <c r="Q1561" s="30" t="n"/>
      <c r="R1561" s="32" t="n"/>
      <c r="S1561" s="30" t="n"/>
      <c r="T1561" s="30" t="n"/>
      <c r="U1561" s="30" t="n"/>
      <c r="V1561" s="30" t="n"/>
      <c r="W1561" s="29">
        <f>IF(H1561="","",IF(H1561="Kenya","Yes","No"))</f>
        <v/>
      </c>
      <c r="X1561" s="29">
        <f>IF(B1561="","",IF(COUNTIF($B$5:$B$3004,B1561)&gt;1,"DUPLICATE","OK"))</f>
        <v/>
      </c>
      <c r="Y1561" s="29">
        <f>IF(OR(U1561="",V1561="",V1561="Excluded"),"",IF(COUNTIFS($U$5:$U$3004,U1561,$V$5:$V$3004,"&lt;&gt;"&amp;V1561,$V$5:$V$3004,"&lt;&gt;",$V$5:$V$3004,"&lt;&gt;Excluded")&gt;0,"LEAK RISK","OK"))</f>
        <v/>
      </c>
      <c r="Z1561" s="30" t="n"/>
    </row>
    <row r="1562">
      <c r="A1562" s="30" t="n"/>
      <c r="B1562" s="30" t="n"/>
      <c r="C1562" s="30" t="n"/>
      <c r="D1562" s="30" t="n"/>
      <c r="E1562" s="30" t="n"/>
      <c r="F1562" s="30" t="n"/>
      <c r="G1562" s="30" t="n"/>
      <c r="H1562" s="30" t="n"/>
      <c r="I1562" s="31" t="n"/>
      <c r="J1562" s="30" t="n"/>
      <c r="K1562" s="30" t="n"/>
      <c r="L1562" s="30" t="n"/>
      <c r="M1562" s="30" t="n"/>
      <c r="N1562" s="32" t="n"/>
      <c r="O1562" s="30" t="n"/>
      <c r="P1562" s="32" t="n"/>
      <c r="Q1562" s="30" t="n"/>
      <c r="R1562" s="32" t="n"/>
      <c r="S1562" s="30" t="n"/>
      <c r="T1562" s="30" t="n"/>
      <c r="U1562" s="30" t="n"/>
      <c r="V1562" s="30" t="n"/>
      <c r="W1562" s="29">
        <f>IF(H1562="","",IF(H1562="Kenya","Yes","No"))</f>
        <v/>
      </c>
      <c r="X1562" s="29">
        <f>IF(B1562="","",IF(COUNTIF($B$5:$B$3004,B1562)&gt;1,"DUPLICATE","OK"))</f>
        <v/>
      </c>
      <c r="Y1562" s="29">
        <f>IF(OR(U1562="",V1562="",V1562="Excluded"),"",IF(COUNTIFS($U$5:$U$3004,U1562,$V$5:$V$3004,"&lt;&gt;"&amp;V1562,$V$5:$V$3004,"&lt;&gt;",$V$5:$V$3004,"&lt;&gt;Excluded")&gt;0,"LEAK RISK","OK"))</f>
        <v/>
      </c>
      <c r="Z1562" s="30" t="n"/>
    </row>
    <row r="1563">
      <c r="A1563" s="30" t="n"/>
      <c r="B1563" s="30" t="n"/>
      <c r="C1563" s="30" t="n"/>
      <c r="D1563" s="30" t="n"/>
      <c r="E1563" s="30" t="n"/>
      <c r="F1563" s="30" t="n"/>
      <c r="G1563" s="30" t="n"/>
      <c r="H1563" s="30" t="n"/>
      <c r="I1563" s="31" t="n"/>
      <c r="J1563" s="30" t="n"/>
      <c r="K1563" s="30" t="n"/>
      <c r="L1563" s="30" t="n"/>
      <c r="M1563" s="30" t="n"/>
      <c r="N1563" s="32" t="n"/>
      <c r="O1563" s="30" t="n"/>
      <c r="P1563" s="32" t="n"/>
      <c r="Q1563" s="30" t="n"/>
      <c r="R1563" s="32" t="n"/>
      <c r="S1563" s="30" t="n"/>
      <c r="T1563" s="30" t="n"/>
      <c r="U1563" s="30" t="n"/>
      <c r="V1563" s="30" t="n"/>
      <c r="W1563" s="29">
        <f>IF(H1563="","",IF(H1563="Kenya","Yes","No"))</f>
        <v/>
      </c>
      <c r="X1563" s="29">
        <f>IF(B1563="","",IF(COUNTIF($B$5:$B$3004,B1563)&gt;1,"DUPLICATE","OK"))</f>
        <v/>
      </c>
      <c r="Y1563" s="29">
        <f>IF(OR(U1563="",V1563="",V1563="Excluded"),"",IF(COUNTIFS($U$5:$U$3004,U1563,$V$5:$V$3004,"&lt;&gt;"&amp;V1563,$V$5:$V$3004,"&lt;&gt;",$V$5:$V$3004,"&lt;&gt;Excluded")&gt;0,"LEAK RISK","OK"))</f>
        <v/>
      </c>
      <c r="Z1563" s="30" t="n"/>
    </row>
    <row r="1564">
      <c r="A1564" s="30" t="n"/>
      <c r="B1564" s="30" t="n"/>
      <c r="C1564" s="30" t="n"/>
      <c r="D1564" s="30" t="n"/>
      <c r="E1564" s="30" t="n"/>
      <c r="F1564" s="30" t="n"/>
      <c r="G1564" s="30" t="n"/>
      <c r="H1564" s="30" t="n"/>
      <c r="I1564" s="31" t="n"/>
      <c r="J1564" s="30" t="n"/>
      <c r="K1564" s="30" t="n"/>
      <c r="L1564" s="30" t="n"/>
      <c r="M1564" s="30" t="n"/>
      <c r="N1564" s="32" t="n"/>
      <c r="O1564" s="30" t="n"/>
      <c r="P1564" s="32" t="n"/>
      <c r="Q1564" s="30" t="n"/>
      <c r="R1564" s="32" t="n"/>
      <c r="S1564" s="30" t="n"/>
      <c r="T1564" s="30" t="n"/>
      <c r="U1564" s="30" t="n"/>
      <c r="V1564" s="30" t="n"/>
      <c r="W1564" s="29">
        <f>IF(H1564="","",IF(H1564="Kenya","Yes","No"))</f>
        <v/>
      </c>
      <c r="X1564" s="29">
        <f>IF(B1564="","",IF(COUNTIF($B$5:$B$3004,B1564)&gt;1,"DUPLICATE","OK"))</f>
        <v/>
      </c>
      <c r="Y1564" s="29">
        <f>IF(OR(U1564="",V1564="",V1564="Excluded"),"",IF(COUNTIFS($U$5:$U$3004,U1564,$V$5:$V$3004,"&lt;&gt;"&amp;V1564,$V$5:$V$3004,"&lt;&gt;",$V$5:$V$3004,"&lt;&gt;Excluded")&gt;0,"LEAK RISK","OK"))</f>
        <v/>
      </c>
      <c r="Z1564" s="30" t="n"/>
    </row>
    <row r="1565">
      <c r="A1565" s="30" t="n"/>
      <c r="B1565" s="30" t="n"/>
      <c r="C1565" s="30" t="n"/>
      <c r="D1565" s="30" t="n"/>
      <c r="E1565" s="30" t="n"/>
      <c r="F1565" s="30" t="n"/>
      <c r="G1565" s="30" t="n"/>
      <c r="H1565" s="30" t="n"/>
      <c r="I1565" s="31" t="n"/>
      <c r="J1565" s="30" t="n"/>
      <c r="K1565" s="30" t="n"/>
      <c r="L1565" s="30" t="n"/>
      <c r="M1565" s="30" t="n"/>
      <c r="N1565" s="32" t="n"/>
      <c r="O1565" s="30" t="n"/>
      <c r="P1565" s="32" t="n"/>
      <c r="Q1565" s="30" t="n"/>
      <c r="R1565" s="32" t="n"/>
      <c r="S1565" s="30" t="n"/>
      <c r="T1565" s="30" t="n"/>
      <c r="U1565" s="30" t="n"/>
      <c r="V1565" s="30" t="n"/>
      <c r="W1565" s="29">
        <f>IF(H1565="","",IF(H1565="Kenya","Yes","No"))</f>
        <v/>
      </c>
      <c r="X1565" s="29">
        <f>IF(B1565="","",IF(COUNTIF($B$5:$B$3004,B1565)&gt;1,"DUPLICATE","OK"))</f>
        <v/>
      </c>
      <c r="Y1565" s="29">
        <f>IF(OR(U1565="",V1565="",V1565="Excluded"),"",IF(COUNTIFS($U$5:$U$3004,U1565,$V$5:$V$3004,"&lt;&gt;"&amp;V1565,$V$5:$V$3004,"&lt;&gt;",$V$5:$V$3004,"&lt;&gt;Excluded")&gt;0,"LEAK RISK","OK"))</f>
        <v/>
      </c>
      <c r="Z1565" s="30" t="n"/>
    </row>
    <row r="1566">
      <c r="A1566" s="30" t="n"/>
      <c r="B1566" s="30" t="n"/>
      <c r="C1566" s="30" t="n"/>
      <c r="D1566" s="30" t="n"/>
      <c r="E1566" s="30" t="n"/>
      <c r="F1566" s="30" t="n"/>
      <c r="G1566" s="30" t="n"/>
      <c r="H1566" s="30" t="n"/>
      <c r="I1566" s="31" t="n"/>
      <c r="J1566" s="30" t="n"/>
      <c r="K1566" s="30" t="n"/>
      <c r="L1566" s="30" t="n"/>
      <c r="M1566" s="30" t="n"/>
      <c r="N1566" s="32" t="n"/>
      <c r="O1566" s="30" t="n"/>
      <c r="P1566" s="32" t="n"/>
      <c r="Q1566" s="30" t="n"/>
      <c r="R1566" s="32" t="n"/>
      <c r="S1566" s="30" t="n"/>
      <c r="T1566" s="30" t="n"/>
      <c r="U1566" s="30" t="n"/>
      <c r="V1566" s="30" t="n"/>
      <c r="W1566" s="29">
        <f>IF(H1566="","",IF(H1566="Kenya","Yes","No"))</f>
        <v/>
      </c>
      <c r="X1566" s="29">
        <f>IF(B1566="","",IF(COUNTIF($B$5:$B$3004,B1566)&gt;1,"DUPLICATE","OK"))</f>
        <v/>
      </c>
      <c r="Y1566" s="29">
        <f>IF(OR(U1566="",V1566="",V1566="Excluded"),"",IF(COUNTIFS($U$5:$U$3004,U1566,$V$5:$V$3004,"&lt;&gt;"&amp;V1566,$V$5:$V$3004,"&lt;&gt;",$V$5:$V$3004,"&lt;&gt;Excluded")&gt;0,"LEAK RISK","OK"))</f>
        <v/>
      </c>
      <c r="Z1566" s="30" t="n"/>
    </row>
    <row r="1567">
      <c r="A1567" s="30" t="n"/>
      <c r="B1567" s="30" t="n"/>
      <c r="C1567" s="30" t="n"/>
      <c r="D1567" s="30" t="n"/>
      <c r="E1567" s="30" t="n"/>
      <c r="F1567" s="30" t="n"/>
      <c r="G1567" s="30" t="n"/>
      <c r="H1567" s="30" t="n"/>
      <c r="I1567" s="31" t="n"/>
      <c r="J1567" s="30" t="n"/>
      <c r="K1567" s="30" t="n"/>
      <c r="L1567" s="30" t="n"/>
      <c r="M1567" s="30" t="n"/>
      <c r="N1567" s="32" t="n"/>
      <c r="O1567" s="30" t="n"/>
      <c r="P1567" s="32" t="n"/>
      <c r="Q1567" s="30" t="n"/>
      <c r="R1567" s="32" t="n"/>
      <c r="S1567" s="30" t="n"/>
      <c r="T1567" s="30" t="n"/>
      <c r="U1567" s="30" t="n"/>
      <c r="V1567" s="30" t="n"/>
      <c r="W1567" s="29">
        <f>IF(H1567="","",IF(H1567="Kenya","Yes","No"))</f>
        <v/>
      </c>
      <c r="X1567" s="29">
        <f>IF(B1567="","",IF(COUNTIF($B$5:$B$3004,B1567)&gt;1,"DUPLICATE","OK"))</f>
        <v/>
      </c>
      <c r="Y1567" s="29">
        <f>IF(OR(U1567="",V1567="",V1567="Excluded"),"",IF(COUNTIFS($U$5:$U$3004,U1567,$V$5:$V$3004,"&lt;&gt;"&amp;V1567,$V$5:$V$3004,"&lt;&gt;",$V$5:$V$3004,"&lt;&gt;Excluded")&gt;0,"LEAK RISK","OK"))</f>
        <v/>
      </c>
      <c r="Z1567" s="30" t="n"/>
    </row>
    <row r="1568">
      <c r="A1568" s="30" t="n"/>
      <c r="B1568" s="30" t="n"/>
      <c r="C1568" s="30" t="n"/>
      <c r="D1568" s="30" t="n"/>
      <c r="E1568" s="30" t="n"/>
      <c r="F1568" s="30" t="n"/>
      <c r="G1568" s="30" t="n"/>
      <c r="H1568" s="30" t="n"/>
      <c r="I1568" s="31" t="n"/>
      <c r="J1568" s="30" t="n"/>
      <c r="K1568" s="30" t="n"/>
      <c r="L1568" s="30" t="n"/>
      <c r="M1568" s="30" t="n"/>
      <c r="N1568" s="32" t="n"/>
      <c r="O1568" s="30" t="n"/>
      <c r="P1568" s="32" t="n"/>
      <c r="Q1568" s="30" t="n"/>
      <c r="R1568" s="32" t="n"/>
      <c r="S1568" s="30" t="n"/>
      <c r="T1568" s="30" t="n"/>
      <c r="U1568" s="30" t="n"/>
      <c r="V1568" s="30" t="n"/>
      <c r="W1568" s="29">
        <f>IF(H1568="","",IF(H1568="Kenya","Yes","No"))</f>
        <v/>
      </c>
      <c r="X1568" s="29">
        <f>IF(B1568="","",IF(COUNTIF($B$5:$B$3004,B1568)&gt;1,"DUPLICATE","OK"))</f>
        <v/>
      </c>
      <c r="Y1568" s="29">
        <f>IF(OR(U1568="",V1568="",V1568="Excluded"),"",IF(COUNTIFS($U$5:$U$3004,U1568,$V$5:$V$3004,"&lt;&gt;"&amp;V1568,$V$5:$V$3004,"&lt;&gt;",$V$5:$V$3004,"&lt;&gt;Excluded")&gt;0,"LEAK RISK","OK"))</f>
        <v/>
      </c>
      <c r="Z1568" s="30" t="n"/>
    </row>
    <row r="1569">
      <c r="A1569" s="30" t="n"/>
      <c r="B1569" s="30" t="n"/>
      <c r="C1569" s="30" t="n"/>
      <c r="D1569" s="30" t="n"/>
      <c r="E1569" s="30" t="n"/>
      <c r="F1569" s="30" t="n"/>
      <c r="G1569" s="30" t="n"/>
      <c r="H1569" s="30" t="n"/>
      <c r="I1569" s="31" t="n"/>
      <c r="J1569" s="30" t="n"/>
      <c r="K1569" s="30" t="n"/>
      <c r="L1569" s="30" t="n"/>
      <c r="M1569" s="30" t="n"/>
      <c r="N1569" s="32" t="n"/>
      <c r="O1569" s="30" t="n"/>
      <c r="P1569" s="32" t="n"/>
      <c r="Q1569" s="30" t="n"/>
      <c r="R1569" s="32" t="n"/>
      <c r="S1569" s="30" t="n"/>
      <c r="T1569" s="30" t="n"/>
      <c r="U1569" s="30" t="n"/>
      <c r="V1569" s="30" t="n"/>
      <c r="W1569" s="29">
        <f>IF(H1569="","",IF(H1569="Kenya","Yes","No"))</f>
        <v/>
      </c>
      <c r="X1569" s="29">
        <f>IF(B1569="","",IF(COUNTIF($B$5:$B$3004,B1569)&gt;1,"DUPLICATE","OK"))</f>
        <v/>
      </c>
      <c r="Y1569" s="29">
        <f>IF(OR(U1569="",V1569="",V1569="Excluded"),"",IF(COUNTIFS($U$5:$U$3004,U1569,$V$5:$V$3004,"&lt;&gt;"&amp;V1569,$V$5:$V$3004,"&lt;&gt;",$V$5:$V$3004,"&lt;&gt;Excluded")&gt;0,"LEAK RISK","OK"))</f>
        <v/>
      </c>
      <c r="Z1569" s="30" t="n"/>
    </row>
    <row r="1570">
      <c r="A1570" s="30" t="n"/>
      <c r="B1570" s="30" t="n"/>
      <c r="C1570" s="30" t="n"/>
      <c r="D1570" s="30" t="n"/>
      <c r="E1570" s="30" t="n"/>
      <c r="F1570" s="30" t="n"/>
      <c r="G1570" s="30" t="n"/>
      <c r="H1570" s="30" t="n"/>
      <c r="I1570" s="31" t="n"/>
      <c r="J1570" s="30" t="n"/>
      <c r="K1570" s="30" t="n"/>
      <c r="L1570" s="30" t="n"/>
      <c r="M1570" s="30" t="n"/>
      <c r="N1570" s="32" t="n"/>
      <c r="O1570" s="30" t="n"/>
      <c r="P1570" s="32" t="n"/>
      <c r="Q1570" s="30" t="n"/>
      <c r="R1570" s="32" t="n"/>
      <c r="S1570" s="30" t="n"/>
      <c r="T1570" s="30" t="n"/>
      <c r="U1570" s="30" t="n"/>
      <c r="V1570" s="30" t="n"/>
      <c r="W1570" s="29">
        <f>IF(H1570="","",IF(H1570="Kenya","Yes","No"))</f>
        <v/>
      </c>
      <c r="X1570" s="29">
        <f>IF(B1570="","",IF(COUNTIF($B$5:$B$3004,B1570)&gt;1,"DUPLICATE","OK"))</f>
        <v/>
      </c>
      <c r="Y1570" s="29">
        <f>IF(OR(U1570="",V1570="",V1570="Excluded"),"",IF(COUNTIFS($U$5:$U$3004,U1570,$V$5:$V$3004,"&lt;&gt;"&amp;V1570,$V$5:$V$3004,"&lt;&gt;",$V$5:$V$3004,"&lt;&gt;Excluded")&gt;0,"LEAK RISK","OK"))</f>
        <v/>
      </c>
      <c r="Z1570" s="30" t="n"/>
    </row>
    <row r="1571">
      <c r="A1571" s="30" t="n"/>
      <c r="B1571" s="30" t="n"/>
      <c r="C1571" s="30" t="n"/>
      <c r="D1571" s="30" t="n"/>
      <c r="E1571" s="30" t="n"/>
      <c r="F1571" s="30" t="n"/>
      <c r="G1571" s="30" t="n"/>
      <c r="H1571" s="30" t="n"/>
      <c r="I1571" s="31" t="n"/>
      <c r="J1571" s="30" t="n"/>
      <c r="K1571" s="30" t="n"/>
      <c r="L1571" s="30" t="n"/>
      <c r="M1571" s="30" t="n"/>
      <c r="N1571" s="32" t="n"/>
      <c r="O1571" s="30" t="n"/>
      <c r="P1571" s="32" t="n"/>
      <c r="Q1571" s="30" t="n"/>
      <c r="R1571" s="32" t="n"/>
      <c r="S1571" s="30" t="n"/>
      <c r="T1571" s="30" t="n"/>
      <c r="U1571" s="30" t="n"/>
      <c r="V1571" s="30" t="n"/>
      <c r="W1571" s="29">
        <f>IF(H1571="","",IF(H1571="Kenya","Yes","No"))</f>
        <v/>
      </c>
      <c r="X1571" s="29">
        <f>IF(B1571="","",IF(COUNTIF($B$5:$B$3004,B1571)&gt;1,"DUPLICATE","OK"))</f>
        <v/>
      </c>
      <c r="Y1571" s="29">
        <f>IF(OR(U1571="",V1571="",V1571="Excluded"),"",IF(COUNTIFS($U$5:$U$3004,U1571,$V$5:$V$3004,"&lt;&gt;"&amp;V1571,$V$5:$V$3004,"&lt;&gt;",$V$5:$V$3004,"&lt;&gt;Excluded")&gt;0,"LEAK RISK","OK"))</f>
        <v/>
      </c>
      <c r="Z1571" s="30" t="n"/>
    </row>
    <row r="1572">
      <c r="A1572" s="30" t="n"/>
      <c r="B1572" s="30" t="n"/>
      <c r="C1572" s="30" t="n"/>
      <c r="D1572" s="30" t="n"/>
      <c r="E1572" s="30" t="n"/>
      <c r="F1572" s="30" t="n"/>
      <c r="G1572" s="30" t="n"/>
      <c r="H1572" s="30" t="n"/>
      <c r="I1572" s="31" t="n"/>
      <c r="J1572" s="30" t="n"/>
      <c r="K1572" s="30" t="n"/>
      <c r="L1572" s="30" t="n"/>
      <c r="M1572" s="30" t="n"/>
      <c r="N1572" s="32" t="n"/>
      <c r="O1572" s="30" t="n"/>
      <c r="P1572" s="32" t="n"/>
      <c r="Q1572" s="30" t="n"/>
      <c r="R1572" s="32" t="n"/>
      <c r="S1572" s="30" t="n"/>
      <c r="T1572" s="30" t="n"/>
      <c r="U1572" s="30" t="n"/>
      <c r="V1572" s="30" t="n"/>
      <c r="W1572" s="29">
        <f>IF(H1572="","",IF(H1572="Kenya","Yes","No"))</f>
        <v/>
      </c>
      <c r="X1572" s="29">
        <f>IF(B1572="","",IF(COUNTIF($B$5:$B$3004,B1572)&gt;1,"DUPLICATE","OK"))</f>
        <v/>
      </c>
      <c r="Y1572" s="29">
        <f>IF(OR(U1572="",V1572="",V1572="Excluded"),"",IF(COUNTIFS($U$5:$U$3004,U1572,$V$5:$V$3004,"&lt;&gt;"&amp;V1572,$V$5:$V$3004,"&lt;&gt;",$V$5:$V$3004,"&lt;&gt;Excluded")&gt;0,"LEAK RISK","OK"))</f>
        <v/>
      </c>
      <c r="Z1572" s="30" t="n"/>
    </row>
    <row r="1573">
      <c r="A1573" s="30" t="n"/>
      <c r="B1573" s="30" t="n"/>
      <c r="C1573" s="30" t="n"/>
      <c r="D1573" s="30" t="n"/>
      <c r="E1573" s="30" t="n"/>
      <c r="F1573" s="30" t="n"/>
      <c r="G1573" s="30" t="n"/>
      <c r="H1573" s="30" t="n"/>
      <c r="I1573" s="31" t="n"/>
      <c r="J1573" s="30" t="n"/>
      <c r="K1573" s="30" t="n"/>
      <c r="L1573" s="30" t="n"/>
      <c r="M1573" s="30" t="n"/>
      <c r="N1573" s="32" t="n"/>
      <c r="O1573" s="30" t="n"/>
      <c r="P1573" s="32" t="n"/>
      <c r="Q1573" s="30" t="n"/>
      <c r="R1573" s="32" t="n"/>
      <c r="S1573" s="30" t="n"/>
      <c r="T1573" s="30" t="n"/>
      <c r="U1573" s="30" t="n"/>
      <c r="V1573" s="30" t="n"/>
      <c r="W1573" s="29">
        <f>IF(H1573="","",IF(H1573="Kenya","Yes","No"))</f>
        <v/>
      </c>
      <c r="X1573" s="29">
        <f>IF(B1573="","",IF(COUNTIF($B$5:$B$3004,B1573)&gt;1,"DUPLICATE","OK"))</f>
        <v/>
      </c>
      <c r="Y1573" s="29">
        <f>IF(OR(U1573="",V1573="",V1573="Excluded"),"",IF(COUNTIFS($U$5:$U$3004,U1573,$V$5:$V$3004,"&lt;&gt;"&amp;V1573,$V$5:$V$3004,"&lt;&gt;",$V$5:$V$3004,"&lt;&gt;Excluded")&gt;0,"LEAK RISK","OK"))</f>
        <v/>
      </c>
      <c r="Z1573" s="30" t="n"/>
    </row>
    <row r="1574">
      <c r="A1574" s="30" t="n"/>
      <c r="B1574" s="30" t="n"/>
      <c r="C1574" s="30" t="n"/>
      <c r="D1574" s="30" t="n"/>
      <c r="E1574" s="30" t="n"/>
      <c r="F1574" s="30" t="n"/>
      <c r="G1574" s="30" t="n"/>
      <c r="H1574" s="30" t="n"/>
      <c r="I1574" s="31" t="n"/>
      <c r="J1574" s="30" t="n"/>
      <c r="K1574" s="30" t="n"/>
      <c r="L1574" s="30" t="n"/>
      <c r="M1574" s="30" t="n"/>
      <c r="N1574" s="32" t="n"/>
      <c r="O1574" s="30" t="n"/>
      <c r="P1574" s="32" t="n"/>
      <c r="Q1574" s="30" t="n"/>
      <c r="R1574" s="32" t="n"/>
      <c r="S1574" s="30" t="n"/>
      <c r="T1574" s="30" t="n"/>
      <c r="U1574" s="30" t="n"/>
      <c r="V1574" s="30" t="n"/>
      <c r="W1574" s="29">
        <f>IF(H1574="","",IF(H1574="Kenya","Yes","No"))</f>
        <v/>
      </c>
      <c r="X1574" s="29">
        <f>IF(B1574="","",IF(COUNTIF($B$5:$B$3004,B1574)&gt;1,"DUPLICATE","OK"))</f>
        <v/>
      </c>
      <c r="Y1574" s="29">
        <f>IF(OR(U1574="",V1574="",V1574="Excluded"),"",IF(COUNTIFS($U$5:$U$3004,U1574,$V$5:$V$3004,"&lt;&gt;"&amp;V1574,$V$5:$V$3004,"&lt;&gt;",$V$5:$V$3004,"&lt;&gt;Excluded")&gt;0,"LEAK RISK","OK"))</f>
        <v/>
      </c>
      <c r="Z1574" s="30" t="n"/>
    </row>
    <row r="1575">
      <c r="A1575" s="30" t="n"/>
      <c r="B1575" s="30" t="n"/>
      <c r="C1575" s="30" t="n"/>
      <c r="D1575" s="30" t="n"/>
      <c r="E1575" s="30" t="n"/>
      <c r="F1575" s="30" t="n"/>
      <c r="G1575" s="30" t="n"/>
      <c r="H1575" s="30" t="n"/>
      <c r="I1575" s="31" t="n"/>
      <c r="J1575" s="30" t="n"/>
      <c r="K1575" s="30" t="n"/>
      <c r="L1575" s="30" t="n"/>
      <c r="M1575" s="30" t="n"/>
      <c r="N1575" s="32" t="n"/>
      <c r="O1575" s="30" t="n"/>
      <c r="P1575" s="32" t="n"/>
      <c r="Q1575" s="30" t="n"/>
      <c r="R1575" s="32" t="n"/>
      <c r="S1575" s="30" t="n"/>
      <c r="T1575" s="30" t="n"/>
      <c r="U1575" s="30" t="n"/>
      <c r="V1575" s="30" t="n"/>
      <c r="W1575" s="29">
        <f>IF(H1575="","",IF(H1575="Kenya","Yes","No"))</f>
        <v/>
      </c>
      <c r="X1575" s="29">
        <f>IF(B1575="","",IF(COUNTIF($B$5:$B$3004,B1575)&gt;1,"DUPLICATE","OK"))</f>
        <v/>
      </c>
      <c r="Y1575" s="29">
        <f>IF(OR(U1575="",V1575="",V1575="Excluded"),"",IF(COUNTIFS($U$5:$U$3004,U1575,$V$5:$V$3004,"&lt;&gt;"&amp;V1575,$V$5:$V$3004,"&lt;&gt;",$V$5:$V$3004,"&lt;&gt;Excluded")&gt;0,"LEAK RISK","OK"))</f>
        <v/>
      </c>
      <c r="Z1575" s="30" t="n"/>
    </row>
    <row r="1576">
      <c r="A1576" s="30" t="n"/>
      <c r="B1576" s="30" t="n"/>
      <c r="C1576" s="30" t="n"/>
      <c r="D1576" s="30" t="n"/>
      <c r="E1576" s="30" t="n"/>
      <c r="F1576" s="30" t="n"/>
      <c r="G1576" s="30" t="n"/>
      <c r="H1576" s="30" t="n"/>
      <c r="I1576" s="31" t="n"/>
      <c r="J1576" s="30" t="n"/>
      <c r="K1576" s="30" t="n"/>
      <c r="L1576" s="30" t="n"/>
      <c r="M1576" s="30" t="n"/>
      <c r="N1576" s="32" t="n"/>
      <c r="O1576" s="30" t="n"/>
      <c r="P1576" s="32" t="n"/>
      <c r="Q1576" s="30" t="n"/>
      <c r="R1576" s="32" t="n"/>
      <c r="S1576" s="30" t="n"/>
      <c r="T1576" s="30" t="n"/>
      <c r="U1576" s="30" t="n"/>
      <c r="V1576" s="30" t="n"/>
      <c r="W1576" s="29">
        <f>IF(H1576="","",IF(H1576="Kenya","Yes","No"))</f>
        <v/>
      </c>
      <c r="X1576" s="29">
        <f>IF(B1576="","",IF(COUNTIF($B$5:$B$3004,B1576)&gt;1,"DUPLICATE","OK"))</f>
        <v/>
      </c>
      <c r="Y1576" s="29">
        <f>IF(OR(U1576="",V1576="",V1576="Excluded"),"",IF(COUNTIFS($U$5:$U$3004,U1576,$V$5:$V$3004,"&lt;&gt;"&amp;V1576,$V$5:$V$3004,"&lt;&gt;",$V$5:$V$3004,"&lt;&gt;Excluded")&gt;0,"LEAK RISK","OK"))</f>
        <v/>
      </c>
      <c r="Z1576" s="30" t="n"/>
    </row>
    <row r="1577">
      <c r="A1577" s="30" t="n"/>
      <c r="B1577" s="30" t="n"/>
      <c r="C1577" s="30" t="n"/>
      <c r="D1577" s="30" t="n"/>
      <c r="E1577" s="30" t="n"/>
      <c r="F1577" s="30" t="n"/>
      <c r="G1577" s="30" t="n"/>
      <c r="H1577" s="30" t="n"/>
      <c r="I1577" s="31" t="n"/>
      <c r="J1577" s="30" t="n"/>
      <c r="K1577" s="30" t="n"/>
      <c r="L1577" s="30" t="n"/>
      <c r="M1577" s="30" t="n"/>
      <c r="N1577" s="32" t="n"/>
      <c r="O1577" s="30" t="n"/>
      <c r="P1577" s="32" t="n"/>
      <c r="Q1577" s="30" t="n"/>
      <c r="R1577" s="32" t="n"/>
      <c r="S1577" s="30" t="n"/>
      <c r="T1577" s="30" t="n"/>
      <c r="U1577" s="30" t="n"/>
      <c r="V1577" s="30" t="n"/>
      <c r="W1577" s="29">
        <f>IF(H1577="","",IF(H1577="Kenya","Yes","No"))</f>
        <v/>
      </c>
      <c r="X1577" s="29">
        <f>IF(B1577="","",IF(COUNTIF($B$5:$B$3004,B1577)&gt;1,"DUPLICATE","OK"))</f>
        <v/>
      </c>
      <c r="Y1577" s="29">
        <f>IF(OR(U1577="",V1577="",V1577="Excluded"),"",IF(COUNTIFS($U$5:$U$3004,U1577,$V$5:$V$3004,"&lt;&gt;"&amp;V1577,$V$5:$V$3004,"&lt;&gt;",$V$5:$V$3004,"&lt;&gt;Excluded")&gt;0,"LEAK RISK","OK"))</f>
        <v/>
      </c>
      <c r="Z1577" s="30" t="n"/>
    </row>
    <row r="1578">
      <c r="A1578" s="30" t="n"/>
      <c r="B1578" s="30" t="n"/>
      <c r="C1578" s="30" t="n"/>
      <c r="D1578" s="30" t="n"/>
      <c r="E1578" s="30" t="n"/>
      <c r="F1578" s="30" t="n"/>
      <c r="G1578" s="30" t="n"/>
      <c r="H1578" s="30" t="n"/>
      <c r="I1578" s="31" t="n"/>
      <c r="J1578" s="30" t="n"/>
      <c r="K1578" s="30" t="n"/>
      <c r="L1578" s="30" t="n"/>
      <c r="M1578" s="30" t="n"/>
      <c r="N1578" s="32" t="n"/>
      <c r="O1578" s="30" t="n"/>
      <c r="P1578" s="32" t="n"/>
      <c r="Q1578" s="30" t="n"/>
      <c r="R1578" s="32" t="n"/>
      <c r="S1578" s="30" t="n"/>
      <c r="T1578" s="30" t="n"/>
      <c r="U1578" s="30" t="n"/>
      <c r="V1578" s="30" t="n"/>
      <c r="W1578" s="29">
        <f>IF(H1578="","",IF(H1578="Kenya","Yes","No"))</f>
        <v/>
      </c>
      <c r="X1578" s="29">
        <f>IF(B1578="","",IF(COUNTIF($B$5:$B$3004,B1578)&gt;1,"DUPLICATE","OK"))</f>
        <v/>
      </c>
      <c r="Y1578" s="29">
        <f>IF(OR(U1578="",V1578="",V1578="Excluded"),"",IF(COUNTIFS($U$5:$U$3004,U1578,$V$5:$V$3004,"&lt;&gt;"&amp;V1578,$V$5:$V$3004,"&lt;&gt;",$V$5:$V$3004,"&lt;&gt;Excluded")&gt;0,"LEAK RISK","OK"))</f>
        <v/>
      </c>
      <c r="Z1578" s="30" t="n"/>
    </row>
    <row r="1579">
      <c r="A1579" s="30" t="n"/>
      <c r="B1579" s="30" t="n"/>
      <c r="C1579" s="30" t="n"/>
      <c r="D1579" s="30" t="n"/>
      <c r="E1579" s="30" t="n"/>
      <c r="F1579" s="30" t="n"/>
      <c r="G1579" s="30" t="n"/>
      <c r="H1579" s="30" t="n"/>
      <c r="I1579" s="31" t="n"/>
      <c r="J1579" s="30" t="n"/>
      <c r="K1579" s="30" t="n"/>
      <c r="L1579" s="30" t="n"/>
      <c r="M1579" s="30" t="n"/>
      <c r="N1579" s="32" t="n"/>
      <c r="O1579" s="30" t="n"/>
      <c r="P1579" s="32" t="n"/>
      <c r="Q1579" s="30" t="n"/>
      <c r="R1579" s="32" t="n"/>
      <c r="S1579" s="30" t="n"/>
      <c r="T1579" s="30" t="n"/>
      <c r="U1579" s="30" t="n"/>
      <c r="V1579" s="30" t="n"/>
      <c r="W1579" s="29">
        <f>IF(H1579="","",IF(H1579="Kenya","Yes","No"))</f>
        <v/>
      </c>
      <c r="X1579" s="29">
        <f>IF(B1579="","",IF(COUNTIF($B$5:$B$3004,B1579)&gt;1,"DUPLICATE","OK"))</f>
        <v/>
      </c>
      <c r="Y1579" s="29">
        <f>IF(OR(U1579="",V1579="",V1579="Excluded"),"",IF(COUNTIFS($U$5:$U$3004,U1579,$V$5:$V$3004,"&lt;&gt;"&amp;V1579,$V$5:$V$3004,"&lt;&gt;",$V$5:$V$3004,"&lt;&gt;Excluded")&gt;0,"LEAK RISK","OK"))</f>
        <v/>
      </c>
      <c r="Z1579" s="30" t="n"/>
    </row>
    <row r="1580">
      <c r="A1580" s="30" t="n"/>
      <c r="B1580" s="30" t="n"/>
      <c r="C1580" s="30" t="n"/>
      <c r="D1580" s="30" t="n"/>
      <c r="E1580" s="30" t="n"/>
      <c r="F1580" s="30" t="n"/>
      <c r="G1580" s="30" t="n"/>
      <c r="H1580" s="30" t="n"/>
      <c r="I1580" s="31" t="n"/>
      <c r="J1580" s="30" t="n"/>
      <c r="K1580" s="30" t="n"/>
      <c r="L1580" s="30" t="n"/>
      <c r="M1580" s="30" t="n"/>
      <c r="N1580" s="32" t="n"/>
      <c r="O1580" s="30" t="n"/>
      <c r="P1580" s="32" t="n"/>
      <c r="Q1580" s="30" t="n"/>
      <c r="R1580" s="32" t="n"/>
      <c r="S1580" s="30" t="n"/>
      <c r="T1580" s="30" t="n"/>
      <c r="U1580" s="30" t="n"/>
      <c r="V1580" s="30" t="n"/>
      <c r="W1580" s="29">
        <f>IF(H1580="","",IF(H1580="Kenya","Yes","No"))</f>
        <v/>
      </c>
      <c r="X1580" s="29">
        <f>IF(B1580="","",IF(COUNTIF($B$5:$B$3004,B1580)&gt;1,"DUPLICATE","OK"))</f>
        <v/>
      </c>
      <c r="Y1580" s="29">
        <f>IF(OR(U1580="",V1580="",V1580="Excluded"),"",IF(COUNTIFS($U$5:$U$3004,U1580,$V$5:$V$3004,"&lt;&gt;"&amp;V1580,$V$5:$V$3004,"&lt;&gt;",$V$5:$V$3004,"&lt;&gt;Excluded")&gt;0,"LEAK RISK","OK"))</f>
        <v/>
      </c>
      <c r="Z1580" s="30" t="n"/>
    </row>
    <row r="1581">
      <c r="A1581" s="30" t="n"/>
      <c r="B1581" s="30" t="n"/>
      <c r="C1581" s="30" t="n"/>
      <c r="D1581" s="30" t="n"/>
      <c r="E1581" s="30" t="n"/>
      <c r="F1581" s="30" t="n"/>
      <c r="G1581" s="30" t="n"/>
      <c r="H1581" s="30" t="n"/>
      <c r="I1581" s="31" t="n"/>
      <c r="J1581" s="30" t="n"/>
      <c r="K1581" s="30" t="n"/>
      <c r="L1581" s="30" t="n"/>
      <c r="M1581" s="30" t="n"/>
      <c r="N1581" s="32" t="n"/>
      <c r="O1581" s="30" t="n"/>
      <c r="P1581" s="32" t="n"/>
      <c r="Q1581" s="30" t="n"/>
      <c r="R1581" s="32" t="n"/>
      <c r="S1581" s="30" t="n"/>
      <c r="T1581" s="30" t="n"/>
      <c r="U1581" s="30" t="n"/>
      <c r="V1581" s="30" t="n"/>
      <c r="W1581" s="29">
        <f>IF(H1581="","",IF(H1581="Kenya","Yes","No"))</f>
        <v/>
      </c>
      <c r="X1581" s="29">
        <f>IF(B1581="","",IF(COUNTIF($B$5:$B$3004,B1581)&gt;1,"DUPLICATE","OK"))</f>
        <v/>
      </c>
      <c r="Y1581" s="29">
        <f>IF(OR(U1581="",V1581="",V1581="Excluded"),"",IF(COUNTIFS($U$5:$U$3004,U1581,$V$5:$V$3004,"&lt;&gt;"&amp;V1581,$V$5:$V$3004,"&lt;&gt;",$V$5:$V$3004,"&lt;&gt;Excluded")&gt;0,"LEAK RISK","OK"))</f>
        <v/>
      </c>
      <c r="Z1581" s="30" t="n"/>
    </row>
    <row r="1582">
      <c r="A1582" s="30" t="n"/>
      <c r="B1582" s="30" t="n"/>
      <c r="C1582" s="30" t="n"/>
      <c r="D1582" s="30" t="n"/>
      <c r="E1582" s="30" t="n"/>
      <c r="F1582" s="30" t="n"/>
      <c r="G1582" s="30" t="n"/>
      <c r="H1582" s="30" t="n"/>
      <c r="I1582" s="31" t="n"/>
      <c r="J1582" s="30" t="n"/>
      <c r="K1582" s="30" t="n"/>
      <c r="L1582" s="30" t="n"/>
      <c r="M1582" s="30" t="n"/>
      <c r="N1582" s="32" t="n"/>
      <c r="O1582" s="30" t="n"/>
      <c r="P1582" s="32" t="n"/>
      <c r="Q1582" s="30" t="n"/>
      <c r="R1582" s="32" t="n"/>
      <c r="S1582" s="30" t="n"/>
      <c r="T1582" s="30" t="n"/>
      <c r="U1582" s="30" t="n"/>
      <c r="V1582" s="30" t="n"/>
      <c r="W1582" s="29">
        <f>IF(H1582="","",IF(H1582="Kenya","Yes","No"))</f>
        <v/>
      </c>
      <c r="X1582" s="29">
        <f>IF(B1582="","",IF(COUNTIF($B$5:$B$3004,B1582)&gt;1,"DUPLICATE","OK"))</f>
        <v/>
      </c>
      <c r="Y1582" s="29">
        <f>IF(OR(U1582="",V1582="",V1582="Excluded"),"",IF(COUNTIFS($U$5:$U$3004,U1582,$V$5:$V$3004,"&lt;&gt;"&amp;V1582,$V$5:$V$3004,"&lt;&gt;",$V$5:$V$3004,"&lt;&gt;Excluded")&gt;0,"LEAK RISK","OK"))</f>
        <v/>
      </c>
      <c r="Z1582" s="30" t="n"/>
    </row>
    <row r="1583">
      <c r="A1583" s="30" t="n"/>
      <c r="B1583" s="30" t="n"/>
      <c r="C1583" s="30" t="n"/>
      <c r="D1583" s="30" t="n"/>
      <c r="E1583" s="30" t="n"/>
      <c r="F1583" s="30" t="n"/>
      <c r="G1583" s="30" t="n"/>
      <c r="H1583" s="30" t="n"/>
      <c r="I1583" s="31" t="n"/>
      <c r="J1583" s="30" t="n"/>
      <c r="K1583" s="30" t="n"/>
      <c r="L1583" s="30" t="n"/>
      <c r="M1583" s="30" t="n"/>
      <c r="N1583" s="32" t="n"/>
      <c r="O1583" s="30" t="n"/>
      <c r="P1583" s="32" t="n"/>
      <c r="Q1583" s="30" t="n"/>
      <c r="R1583" s="32" t="n"/>
      <c r="S1583" s="30" t="n"/>
      <c r="T1583" s="30" t="n"/>
      <c r="U1583" s="30" t="n"/>
      <c r="V1583" s="30" t="n"/>
      <c r="W1583" s="29">
        <f>IF(H1583="","",IF(H1583="Kenya","Yes","No"))</f>
        <v/>
      </c>
      <c r="X1583" s="29">
        <f>IF(B1583="","",IF(COUNTIF($B$5:$B$3004,B1583)&gt;1,"DUPLICATE","OK"))</f>
        <v/>
      </c>
      <c r="Y1583" s="29">
        <f>IF(OR(U1583="",V1583="",V1583="Excluded"),"",IF(COUNTIFS($U$5:$U$3004,U1583,$V$5:$V$3004,"&lt;&gt;"&amp;V1583,$V$5:$V$3004,"&lt;&gt;",$V$5:$V$3004,"&lt;&gt;Excluded")&gt;0,"LEAK RISK","OK"))</f>
        <v/>
      </c>
      <c r="Z1583" s="30" t="n"/>
    </row>
    <row r="1584">
      <c r="A1584" s="30" t="n"/>
      <c r="B1584" s="30" t="n"/>
      <c r="C1584" s="30" t="n"/>
      <c r="D1584" s="30" t="n"/>
      <c r="E1584" s="30" t="n"/>
      <c r="F1584" s="30" t="n"/>
      <c r="G1584" s="30" t="n"/>
      <c r="H1584" s="30" t="n"/>
      <c r="I1584" s="31" t="n"/>
      <c r="J1584" s="30" t="n"/>
      <c r="K1584" s="30" t="n"/>
      <c r="L1584" s="30" t="n"/>
      <c r="M1584" s="30" t="n"/>
      <c r="N1584" s="32" t="n"/>
      <c r="O1584" s="30" t="n"/>
      <c r="P1584" s="32" t="n"/>
      <c r="Q1584" s="30" t="n"/>
      <c r="R1584" s="32" t="n"/>
      <c r="S1584" s="30" t="n"/>
      <c r="T1584" s="30" t="n"/>
      <c r="U1584" s="30" t="n"/>
      <c r="V1584" s="30" t="n"/>
      <c r="W1584" s="29">
        <f>IF(H1584="","",IF(H1584="Kenya","Yes","No"))</f>
        <v/>
      </c>
      <c r="X1584" s="29">
        <f>IF(B1584="","",IF(COUNTIF($B$5:$B$3004,B1584)&gt;1,"DUPLICATE","OK"))</f>
        <v/>
      </c>
      <c r="Y1584" s="29">
        <f>IF(OR(U1584="",V1584="",V1584="Excluded"),"",IF(COUNTIFS($U$5:$U$3004,U1584,$V$5:$V$3004,"&lt;&gt;"&amp;V1584,$V$5:$V$3004,"&lt;&gt;",$V$5:$V$3004,"&lt;&gt;Excluded")&gt;0,"LEAK RISK","OK"))</f>
        <v/>
      </c>
      <c r="Z1584" s="30" t="n"/>
    </row>
    <row r="1585">
      <c r="A1585" s="30" t="n"/>
      <c r="B1585" s="30" t="n"/>
      <c r="C1585" s="30" t="n"/>
      <c r="D1585" s="30" t="n"/>
      <c r="E1585" s="30" t="n"/>
      <c r="F1585" s="30" t="n"/>
      <c r="G1585" s="30" t="n"/>
      <c r="H1585" s="30" t="n"/>
      <c r="I1585" s="31" t="n"/>
      <c r="J1585" s="30" t="n"/>
      <c r="K1585" s="30" t="n"/>
      <c r="L1585" s="30" t="n"/>
      <c r="M1585" s="30" t="n"/>
      <c r="N1585" s="32" t="n"/>
      <c r="O1585" s="30" t="n"/>
      <c r="P1585" s="32" t="n"/>
      <c r="Q1585" s="30" t="n"/>
      <c r="R1585" s="32" t="n"/>
      <c r="S1585" s="30" t="n"/>
      <c r="T1585" s="30" t="n"/>
      <c r="U1585" s="30" t="n"/>
      <c r="V1585" s="30" t="n"/>
      <c r="W1585" s="29">
        <f>IF(H1585="","",IF(H1585="Kenya","Yes","No"))</f>
        <v/>
      </c>
      <c r="X1585" s="29">
        <f>IF(B1585="","",IF(COUNTIF($B$5:$B$3004,B1585)&gt;1,"DUPLICATE","OK"))</f>
        <v/>
      </c>
      <c r="Y1585" s="29">
        <f>IF(OR(U1585="",V1585="",V1585="Excluded"),"",IF(COUNTIFS($U$5:$U$3004,U1585,$V$5:$V$3004,"&lt;&gt;"&amp;V1585,$V$5:$V$3004,"&lt;&gt;",$V$5:$V$3004,"&lt;&gt;Excluded")&gt;0,"LEAK RISK","OK"))</f>
        <v/>
      </c>
      <c r="Z1585" s="30" t="n"/>
    </row>
    <row r="1586">
      <c r="A1586" s="30" t="n"/>
      <c r="B1586" s="30" t="n"/>
      <c r="C1586" s="30" t="n"/>
      <c r="D1586" s="30" t="n"/>
      <c r="E1586" s="30" t="n"/>
      <c r="F1586" s="30" t="n"/>
      <c r="G1586" s="30" t="n"/>
      <c r="H1586" s="30" t="n"/>
      <c r="I1586" s="31" t="n"/>
      <c r="J1586" s="30" t="n"/>
      <c r="K1586" s="30" t="n"/>
      <c r="L1586" s="30" t="n"/>
      <c r="M1586" s="30" t="n"/>
      <c r="N1586" s="32" t="n"/>
      <c r="O1586" s="30" t="n"/>
      <c r="P1586" s="32" t="n"/>
      <c r="Q1586" s="30" t="n"/>
      <c r="R1586" s="32" t="n"/>
      <c r="S1586" s="30" t="n"/>
      <c r="T1586" s="30" t="n"/>
      <c r="U1586" s="30" t="n"/>
      <c r="V1586" s="30" t="n"/>
      <c r="W1586" s="29">
        <f>IF(H1586="","",IF(H1586="Kenya","Yes","No"))</f>
        <v/>
      </c>
      <c r="X1586" s="29">
        <f>IF(B1586="","",IF(COUNTIF($B$5:$B$3004,B1586)&gt;1,"DUPLICATE","OK"))</f>
        <v/>
      </c>
      <c r="Y1586" s="29">
        <f>IF(OR(U1586="",V1586="",V1586="Excluded"),"",IF(COUNTIFS($U$5:$U$3004,U1586,$V$5:$V$3004,"&lt;&gt;"&amp;V1586,$V$5:$V$3004,"&lt;&gt;",$V$5:$V$3004,"&lt;&gt;Excluded")&gt;0,"LEAK RISK","OK"))</f>
        <v/>
      </c>
      <c r="Z1586" s="30" t="n"/>
    </row>
    <row r="1587">
      <c r="A1587" s="30" t="n"/>
      <c r="B1587" s="30" t="n"/>
      <c r="C1587" s="30" t="n"/>
      <c r="D1587" s="30" t="n"/>
      <c r="E1587" s="30" t="n"/>
      <c r="F1587" s="30" t="n"/>
      <c r="G1587" s="30" t="n"/>
      <c r="H1587" s="30" t="n"/>
      <c r="I1587" s="31" t="n"/>
      <c r="J1587" s="30" t="n"/>
      <c r="K1587" s="30" t="n"/>
      <c r="L1587" s="30" t="n"/>
      <c r="M1587" s="30" t="n"/>
      <c r="N1587" s="32" t="n"/>
      <c r="O1587" s="30" t="n"/>
      <c r="P1587" s="32" t="n"/>
      <c r="Q1587" s="30" t="n"/>
      <c r="R1587" s="32" t="n"/>
      <c r="S1587" s="30" t="n"/>
      <c r="T1587" s="30" t="n"/>
      <c r="U1587" s="30" t="n"/>
      <c r="V1587" s="30" t="n"/>
      <c r="W1587" s="29">
        <f>IF(H1587="","",IF(H1587="Kenya","Yes","No"))</f>
        <v/>
      </c>
      <c r="X1587" s="29">
        <f>IF(B1587="","",IF(COUNTIF($B$5:$B$3004,B1587)&gt;1,"DUPLICATE","OK"))</f>
        <v/>
      </c>
      <c r="Y1587" s="29">
        <f>IF(OR(U1587="",V1587="",V1587="Excluded"),"",IF(COUNTIFS($U$5:$U$3004,U1587,$V$5:$V$3004,"&lt;&gt;"&amp;V1587,$V$5:$V$3004,"&lt;&gt;",$V$5:$V$3004,"&lt;&gt;Excluded")&gt;0,"LEAK RISK","OK"))</f>
        <v/>
      </c>
      <c r="Z1587" s="30" t="n"/>
    </row>
    <row r="1588">
      <c r="A1588" s="30" t="n"/>
      <c r="B1588" s="30" t="n"/>
      <c r="C1588" s="30" t="n"/>
      <c r="D1588" s="30" t="n"/>
      <c r="E1588" s="30" t="n"/>
      <c r="F1588" s="30" t="n"/>
      <c r="G1588" s="30" t="n"/>
      <c r="H1588" s="30" t="n"/>
      <c r="I1588" s="31" t="n"/>
      <c r="J1588" s="30" t="n"/>
      <c r="K1588" s="30" t="n"/>
      <c r="L1588" s="30" t="n"/>
      <c r="M1588" s="30" t="n"/>
      <c r="N1588" s="32" t="n"/>
      <c r="O1588" s="30" t="n"/>
      <c r="P1588" s="32" t="n"/>
      <c r="Q1588" s="30" t="n"/>
      <c r="R1588" s="32" t="n"/>
      <c r="S1588" s="30" t="n"/>
      <c r="T1588" s="30" t="n"/>
      <c r="U1588" s="30" t="n"/>
      <c r="V1588" s="30" t="n"/>
      <c r="W1588" s="29">
        <f>IF(H1588="","",IF(H1588="Kenya","Yes","No"))</f>
        <v/>
      </c>
      <c r="X1588" s="29">
        <f>IF(B1588="","",IF(COUNTIF($B$5:$B$3004,B1588)&gt;1,"DUPLICATE","OK"))</f>
        <v/>
      </c>
      <c r="Y1588" s="29">
        <f>IF(OR(U1588="",V1588="",V1588="Excluded"),"",IF(COUNTIFS($U$5:$U$3004,U1588,$V$5:$V$3004,"&lt;&gt;"&amp;V1588,$V$5:$V$3004,"&lt;&gt;",$V$5:$V$3004,"&lt;&gt;Excluded")&gt;0,"LEAK RISK","OK"))</f>
        <v/>
      </c>
      <c r="Z1588" s="30" t="n"/>
    </row>
    <row r="1589">
      <c r="A1589" s="30" t="n"/>
      <c r="B1589" s="30" t="n"/>
      <c r="C1589" s="30" t="n"/>
      <c r="D1589" s="30" t="n"/>
      <c r="E1589" s="30" t="n"/>
      <c r="F1589" s="30" t="n"/>
      <c r="G1589" s="30" t="n"/>
      <c r="H1589" s="30" t="n"/>
      <c r="I1589" s="31" t="n"/>
      <c r="J1589" s="30" t="n"/>
      <c r="K1589" s="30" t="n"/>
      <c r="L1589" s="30" t="n"/>
      <c r="M1589" s="30" t="n"/>
      <c r="N1589" s="32" t="n"/>
      <c r="O1589" s="30" t="n"/>
      <c r="P1589" s="32" t="n"/>
      <c r="Q1589" s="30" t="n"/>
      <c r="R1589" s="32" t="n"/>
      <c r="S1589" s="30" t="n"/>
      <c r="T1589" s="30" t="n"/>
      <c r="U1589" s="30" t="n"/>
      <c r="V1589" s="30" t="n"/>
      <c r="W1589" s="29">
        <f>IF(H1589="","",IF(H1589="Kenya","Yes","No"))</f>
        <v/>
      </c>
      <c r="X1589" s="29">
        <f>IF(B1589="","",IF(COUNTIF($B$5:$B$3004,B1589)&gt;1,"DUPLICATE","OK"))</f>
        <v/>
      </c>
      <c r="Y1589" s="29">
        <f>IF(OR(U1589="",V1589="",V1589="Excluded"),"",IF(COUNTIFS($U$5:$U$3004,U1589,$V$5:$V$3004,"&lt;&gt;"&amp;V1589,$V$5:$V$3004,"&lt;&gt;",$V$5:$V$3004,"&lt;&gt;Excluded")&gt;0,"LEAK RISK","OK"))</f>
        <v/>
      </c>
      <c r="Z1589" s="30" t="n"/>
    </row>
    <row r="1590">
      <c r="A1590" s="30" t="n"/>
      <c r="B1590" s="30" t="n"/>
      <c r="C1590" s="30" t="n"/>
      <c r="D1590" s="30" t="n"/>
      <c r="E1590" s="30" t="n"/>
      <c r="F1590" s="30" t="n"/>
      <c r="G1590" s="30" t="n"/>
      <c r="H1590" s="30" t="n"/>
      <c r="I1590" s="31" t="n"/>
      <c r="J1590" s="30" t="n"/>
      <c r="K1590" s="30" t="n"/>
      <c r="L1590" s="30" t="n"/>
      <c r="M1590" s="30" t="n"/>
      <c r="N1590" s="32" t="n"/>
      <c r="O1590" s="30" t="n"/>
      <c r="P1590" s="32" t="n"/>
      <c r="Q1590" s="30" t="n"/>
      <c r="R1590" s="32" t="n"/>
      <c r="S1590" s="30" t="n"/>
      <c r="T1590" s="30" t="n"/>
      <c r="U1590" s="30" t="n"/>
      <c r="V1590" s="30" t="n"/>
      <c r="W1590" s="29">
        <f>IF(H1590="","",IF(H1590="Kenya","Yes","No"))</f>
        <v/>
      </c>
      <c r="X1590" s="29">
        <f>IF(B1590="","",IF(COUNTIF($B$5:$B$3004,B1590)&gt;1,"DUPLICATE","OK"))</f>
        <v/>
      </c>
      <c r="Y1590" s="29">
        <f>IF(OR(U1590="",V1590="",V1590="Excluded"),"",IF(COUNTIFS($U$5:$U$3004,U1590,$V$5:$V$3004,"&lt;&gt;"&amp;V1590,$V$5:$V$3004,"&lt;&gt;",$V$5:$V$3004,"&lt;&gt;Excluded")&gt;0,"LEAK RISK","OK"))</f>
        <v/>
      </c>
      <c r="Z1590" s="30" t="n"/>
    </row>
    <row r="1591">
      <c r="A1591" s="30" t="n"/>
      <c r="B1591" s="30" t="n"/>
      <c r="C1591" s="30" t="n"/>
      <c r="D1591" s="30" t="n"/>
      <c r="E1591" s="30" t="n"/>
      <c r="F1591" s="30" t="n"/>
      <c r="G1591" s="30" t="n"/>
      <c r="H1591" s="30" t="n"/>
      <c r="I1591" s="31" t="n"/>
      <c r="J1591" s="30" t="n"/>
      <c r="K1591" s="30" t="n"/>
      <c r="L1591" s="30" t="n"/>
      <c r="M1591" s="30" t="n"/>
      <c r="N1591" s="32" t="n"/>
      <c r="O1591" s="30" t="n"/>
      <c r="P1591" s="32" t="n"/>
      <c r="Q1591" s="30" t="n"/>
      <c r="R1591" s="32" t="n"/>
      <c r="S1591" s="30" t="n"/>
      <c r="T1591" s="30" t="n"/>
      <c r="U1591" s="30" t="n"/>
      <c r="V1591" s="30" t="n"/>
      <c r="W1591" s="29">
        <f>IF(H1591="","",IF(H1591="Kenya","Yes","No"))</f>
        <v/>
      </c>
      <c r="X1591" s="29">
        <f>IF(B1591="","",IF(COUNTIF($B$5:$B$3004,B1591)&gt;1,"DUPLICATE","OK"))</f>
        <v/>
      </c>
      <c r="Y1591" s="29">
        <f>IF(OR(U1591="",V1591="",V1591="Excluded"),"",IF(COUNTIFS($U$5:$U$3004,U1591,$V$5:$V$3004,"&lt;&gt;"&amp;V1591,$V$5:$V$3004,"&lt;&gt;",$V$5:$V$3004,"&lt;&gt;Excluded")&gt;0,"LEAK RISK","OK"))</f>
        <v/>
      </c>
      <c r="Z1591" s="30" t="n"/>
    </row>
    <row r="1592">
      <c r="A1592" s="30" t="n"/>
      <c r="B1592" s="30" t="n"/>
      <c r="C1592" s="30" t="n"/>
      <c r="D1592" s="30" t="n"/>
      <c r="E1592" s="30" t="n"/>
      <c r="F1592" s="30" t="n"/>
      <c r="G1592" s="30" t="n"/>
      <c r="H1592" s="30" t="n"/>
      <c r="I1592" s="31" t="n"/>
      <c r="J1592" s="30" t="n"/>
      <c r="K1592" s="30" t="n"/>
      <c r="L1592" s="30" t="n"/>
      <c r="M1592" s="30" t="n"/>
      <c r="N1592" s="32" t="n"/>
      <c r="O1592" s="30" t="n"/>
      <c r="P1592" s="32" t="n"/>
      <c r="Q1592" s="30" t="n"/>
      <c r="R1592" s="32" t="n"/>
      <c r="S1592" s="30" t="n"/>
      <c r="T1592" s="30" t="n"/>
      <c r="U1592" s="30" t="n"/>
      <c r="V1592" s="30" t="n"/>
      <c r="W1592" s="29">
        <f>IF(H1592="","",IF(H1592="Kenya","Yes","No"))</f>
        <v/>
      </c>
      <c r="X1592" s="29">
        <f>IF(B1592="","",IF(COUNTIF($B$5:$B$3004,B1592)&gt;1,"DUPLICATE","OK"))</f>
        <v/>
      </c>
      <c r="Y1592" s="29">
        <f>IF(OR(U1592="",V1592="",V1592="Excluded"),"",IF(COUNTIFS($U$5:$U$3004,U1592,$V$5:$V$3004,"&lt;&gt;"&amp;V1592,$V$5:$V$3004,"&lt;&gt;",$V$5:$V$3004,"&lt;&gt;Excluded")&gt;0,"LEAK RISK","OK"))</f>
        <v/>
      </c>
      <c r="Z1592" s="30" t="n"/>
    </row>
    <row r="1593">
      <c r="A1593" s="30" t="n"/>
      <c r="B1593" s="30" t="n"/>
      <c r="C1593" s="30" t="n"/>
      <c r="D1593" s="30" t="n"/>
      <c r="E1593" s="30" t="n"/>
      <c r="F1593" s="30" t="n"/>
      <c r="G1593" s="30" t="n"/>
      <c r="H1593" s="30" t="n"/>
      <c r="I1593" s="31" t="n"/>
      <c r="J1593" s="30" t="n"/>
      <c r="K1593" s="30" t="n"/>
      <c r="L1593" s="30" t="n"/>
      <c r="M1593" s="30" t="n"/>
      <c r="N1593" s="32" t="n"/>
      <c r="O1593" s="30" t="n"/>
      <c r="P1593" s="32" t="n"/>
      <c r="Q1593" s="30" t="n"/>
      <c r="R1593" s="32" t="n"/>
      <c r="S1593" s="30" t="n"/>
      <c r="T1593" s="30" t="n"/>
      <c r="U1593" s="30" t="n"/>
      <c r="V1593" s="30" t="n"/>
      <c r="W1593" s="29">
        <f>IF(H1593="","",IF(H1593="Kenya","Yes","No"))</f>
        <v/>
      </c>
      <c r="X1593" s="29">
        <f>IF(B1593="","",IF(COUNTIF($B$5:$B$3004,B1593)&gt;1,"DUPLICATE","OK"))</f>
        <v/>
      </c>
      <c r="Y1593" s="29">
        <f>IF(OR(U1593="",V1593="",V1593="Excluded"),"",IF(COUNTIFS($U$5:$U$3004,U1593,$V$5:$V$3004,"&lt;&gt;"&amp;V1593,$V$5:$V$3004,"&lt;&gt;",$V$5:$V$3004,"&lt;&gt;Excluded")&gt;0,"LEAK RISK","OK"))</f>
        <v/>
      </c>
      <c r="Z1593" s="30" t="n"/>
    </row>
    <row r="1594">
      <c r="A1594" s="30" t="n"/>
      <c r="B1594" s="30" t="n"/>
      <c r="C1594" s="30" t="n"/>
      <c r="D1594" s="30" t="n"/>
      <c r="E1594" s="30" t="n"/>
      <c r="F1594" s="30" t="n"/>
      <c r="G1594" s="30" t="n"/>
      <c r="H1594" s="30" t="n"/>
      <c r="I1594" s="31" t="n"/>
      <c r="J1594" s="30" t="n"/>
      <c r="K1594" s="30" t="n"/>
      <c r="L1594" s="30" t="n"/>
      <c r="M1594" s="30" t="n"/>
      <c r="N1594" s="32" t="n"/>
      <c r="O1594" s="30" t="n"/>
      <c r="P1594" s="32" t="n"/>
      <c r="Q1594" s="30" t="n"/>
      <c r="R1594" s="32" t="n"/>
      <c r="S1594" s="30" t="n"/>
      <c r="T1594" s="30" t="n"/>
      <c r="U1594" s="30" t="n"/>
      <c r="V1594" s="30" t="n"/>
      <c r="W1594" s="29">
        <f>IF(H1594="","",IF(H1594="Kenya","Yes","No"))</f>
        <v/>
      </c>
      <c r="X1594" s="29">
        <f>IF(B1594="","",IF(COUNTIF($B$5:$B$3004,B1594)&gt;1,"DUPLICATE","OK"))</f>
        <v/>
      </c>
      <c r="Y1594" s="29">
        <f>IF(OR(U1594="",V1594="",V1594="Excluded"),"",IF(COUNTIFS($U$5:$U$3004,U1594,$V$5:$V$3004,"&lt;&gt;"&amp;V1594,$V$5:$V$3004,"&lt;&gt;",$V$5:$V$3004,"&lt;&gt;Excluded")&gt;0,"LEAK RISK","OK"))</f>
        <v/>
      </c>
      <c r="Z1594" s="30" t="n"/>
    </row>
    <row r="1595">
      <c r="A1595" s="30" t="n"/>
      <c r="B1595" s="30" t="n"/>
      <c r="C1595" s="30" t="n"/>
      <c r="D1595" s="30" t="n"/>
      <c r="E1595" s="30" t="n"/>
      <c r="F1595" s="30" t="n"/>
      <c r="G1595" s="30" t="n"/>
      <c r="H1595" s="30" t="n"/>
      <c r="I1595" s="31" t="n"/>
      <c r="J1595" s="30" t="n"/>
      <c r="K1595" s="30" t="n"/>
      <c r="L1595" s="30" t="n"/>
      <c r="M1595" s="30" t="n"/>
      <c r="N1595" s="32" t="n"/>
      <c r="O1595" s="30" t="n"/>
      <c r="P1595" s="32" t="n"/>
      <c r="Q1595" s="30" t="n"/>
      <c r="R1595" s="32" t="n"/>
      <c r="S1595" s="30" t="n"/>
      <c r="T1595" s="30" t="n"/>
      <c r="U1595" s="30" t="n"/>
      <c r="V1595" s="30" t="n"/>
      <c r="W1595" s="29">
        <f>IF(H1595="","",IF(H1595="Kenya","Yes","No"))</f>
        <v/>
      </c>
      <c r="X1595" s="29">
        <f>IF(B1595="","",IF(COUNTIF($B$5:$B$3004,B1595)&gt;1,"DUPLICATE","OK"))</f>
        <v/>
      </c>
      <c r="Y1595" s="29">
        <f>IF(OR(U1595="",V1595="",V1595="Excluded"),"",IF(COUNTIFS($U$5:$U$3004,U1595,$V$5:$V$3004,"&lt;&gt;"&amp;V1595,$V$5:$V$3004,"&lt;&gt;",$V$5:$V$3004,"&lt;&gt;Excluded")&gt;0,"LEAK RISK","OK"))</f>
        <v/>
      </c>
      <c r="Z1595" s="30" t="n"/>
    </row>
    <row r="1596">
      <c r="A1596" s="30" t="n"/>
      <c r="B1596" s="30" t="n"/>
      <c r="C1596" s="30" t="n"/>
      <c r="D1596" s="30" t="n"/>
      <c r="E1596" s="30" t="n"/>
      <c r="F1596" s="30" t="n"/>
      <c r="G1596" s="30" t="n"/>
      <c r="H1596" s="30" t="n"/>
      <c r="I1596" s="31" t="n"/>
      <c r="J1596" s="30" t="n"/>
      <c r="K1596" s="30" t="n"/>
      <c r="L1596" s="30" t="n"/>
      <c r="M1596" s="30" t="n"/>
      <c r="N1596" s="32" t="n"/>
      <c r="O1596" s="30" t="n"/>
      <c r="P1596" s="32" t="n"/>
      <c r="Q1596" s="30" t="n"/>
      <c r="R1596" s="32" t="n"/>
      <c r="S1596" s="30" t="n"/>
      <c r="T1596" s="30" t="n"/>
      <c r="U1596" s="30" t="n"/>
      <c r="V1596" s="30" t="n"/>
      <c r="W1596" s="29">
        <f>IF(H1596="","",IF(H1596="Kenya","Yes","No"))</f>
        <v/>
      </c>
      <c r="X1596" s="29">
        <f>IF(B1596="","",IF(COUNTIF($B$5:$B$3004,B1596)&gt;1,"DUPLICATE","OK"))</f>
        <v/>
      </c>
      <c r="Y1596" s="29">
        <f>IF(OR(U1596="",V1596="",V1596="Excluded"),"",IF(COUNTIFS($U$5:$U$3004,U1596,$V$5:$V$3004,"&lt;&gt;"&amp;V1596,$V$5:$V$3004,"&lt;&gt;",$V$5:$V$3004,"&lt;&gt;Excluded")&gt;0,"LEAK RISK","OK"))</f>
        <v/>
      </c>
      <c r="Z1596" s="30" t="n"/>
    </row>
    <row r="1597">
      <c r="A1597" s="30" t="n"/>
      <c r="B1597" s="30" t="n"/>
      <c r="C1597" s="30" t="n"/>
      <c r="D1597" s="30" t="n"/>
      <c r="E1597" s="30" t="n"/>
      <c r="F1597" s="30" t="n"/>
      <c r="G1597" s="30" t="n"/>
      <c r="H1597" s="30" t="n"/>
      <c r="I1597" s="31" t="n"/>
      <c r="J1597" s="30" t="n"/>
      <c r="K1597" s="30" t="n"/>
      <c r="L1597" s="30" t="n"/>
      <c r="M1597" s="30" t="n"/>
      <c r="N1597" s="32" t="n"/>
      <c r="O1597" s="30" t="n"/>
      <c r="P1597" s="32" t="n"/>
      <c r="Q1597" s="30" t="n"/>
      <c r="R1597" s="32" t="n"/>
      <c r="S1597" s="30" t="n"/>
      <c r="T1597" s="30" t="n"/>
      <c r="U1597" s="30" t="n"/>
      <c r="V1597" s="30" t="n"/>
      <c r="W1597" s="29">
        <f>IF(H1597="","",IF(H1597="Kenya","Yes","No"))</f>
        <v/>
      </c>
      <c r="X1597" s="29">
        <f>IF(B1597="","",IF(COUNTIF($B$5:$B$3004,B1597)&gt;1,"DUPLICATE","OK"))</f>
        <v/>
      </c>
      <c r="Y1597" s="29">
        <f>IF(OR(U1597="",V1597="",V1597="Excluded"),"",IF(COUNTIFS($U$5:$U$3004,U1597,$V$5:$V$3004,"&lt;&gt;"&amp;V1597,$V$5:$V$3004,"&lt;&gt;",$V$5:$V$3004,"&lt;&gt;Excluded")&gt;0,"LEAK RISK","OK"))</f>
        <v/>
      </c>
      <c r="Z1597" s="30" t="n"/>
    </row>
    <row r="1598">
      <c r="A1598" s="30" t="n"/>
      <c r="B1598" s="30" t="n"/>
      <c r="C1598" s="30" t="n"/>
      <c r="D1598" s="30" t="n"/>
      <c r="E1598" s="30" t="n"/>
      <c r="F1598" s="30" t="n"/>
      <c r="G1598" s="30" t="n"/>
      <c r="H1598" s="30" t="n"/>
      <c r="I1598" s="31" t="n"/>
      <c r="J1598" s="30" t="n"/>
      <c r="K1598" s="30" t="n"/>
      <c r="L1598" s="30" t="n"/>
      <c r="M1598" s="30" t="n"/>
      <c r="N1598" s="32" t="n"/>
      <c r="O1598" s="30" t="n"/>
      <c r="P1598" s="32" t="n"/>
      <c r="Q1598" s="30" t="n"/>
      <c r="R1598" s="32" t="n"/>
      <c r="S1598" s="30" t="n"/>
      <c r="T1598" s="30" t="n"/>
      <c r="U1598" s="30" t="n"/>
      <c r="V1598" s="30" t="n"/>
      <c r="W1598" s="29">
        <f>IF(H1598="","",IF(H1598="Kenya","Yes","No"))</f>
        <v/>
      </c>
      <c r="X1598" s="29">
        <f>IF(B1598="","",IF(COUNTIF($B$5:$B$3004,B1598)&gt;1,"DUPLICATE","OK"))</f>
        <v/>
      </c>
      <c r="Y1598" s="29">
        <f>IF(OR(U1598="",V1598="",V1598="Excluded"),"",IF(COUNTIFS($U$5:$U$3004,U1598,$V$5:$V$3004,"&lt;&gt;"&amp;V1598,$V$5:$V$3004,"&lt;&gt;",$V$5:$V$3004,"&lt;&gt;Excluded")&gt;0,"LEAK RISK","OK"))</f>
        <v/>
      </c>
      <c r="Z1598" s="30" t="n"/>
    </row>
    <row r="1599">
      <c r="A1599" s="30" t="n"/>
      <c r="B1599" s="30" t="n"/>
      <c r="C1599" s="30" t="n"/>
      <c r="D1599" s="30" t="n"/>
      <c r="E1599" s="30" t="n"/>
      <c r="F1599" s="30" t="n"/>
      <c r="G1599" s="30" t="n"/>
      <c r="H1599" s="30" t="n"/>
      <c r="I1599" s="31" t="n"/>
      <c r="J1599" s="30" t="n"/>
      <c r="K1599" s="30" t="n"/>
      <c r="L1599" s="30" t="n"/>
      <c r="M1599" s="30" t="n"/>
      <c r="N1599" s="32" t="n"/>
      <c r="O1599" s="30" t="n"/>
      <c r="P1599" s="32" t="n"/>
      <c r="Q1599" s="30" t="n"/>
      <c r="R1599" s="32" t="n"/>
      <c r="S1599" s="30" t="n"/>
      <c r="T1599" s="30" t="n"/>
      <c r="U1599" s="30" t="n"/>
      <c r="V1599" s="30" t="n"/>
      <c r="W1599" s="29">
        <f>IF(H1599="","",IF(H1599="Kenya","Yes","No"))</f>
        <v/>
      </c>
      <c r="X1599" s="29">
        <f>IF(B1599="","",IF(COUNTIF($B$5:$B$3004,B1599)&gt;1,"DUPLICATE","OK"))</f>
        <v/>
      </c>
      <c r="Y1599" s="29">
        <f>IF(OR(U1599="",V1599="",V1599="Excluded"),"",IF(COUNTIFS($U$5:$U$3004,U1599,$V$5:$V$3004,"&lt;&gt;"&amp;V1599,$V$5:$V$3004,"&lt;&gt;",$V$5:$V$3004,"&lt;&gt;Excluded")&gt;0,"LEAK RISK","OK"))</f>
        <v/>
      </c>
      <c r="Z1599" s="30" t="n"/>
    </row>
    <row r="1600">
      <c r="A1600" s="30" t="n"/>
      <c r="B1600" s="30" t="n"/>
      <c r="C1600" s="30" t="n"/>
      <c r="D1600" s="30" t="n"/>
      <c r="E1600" s="30" t="n"/>
      <c r="F1600" s="30" t="n"/>
      <c r="G1600" s="30" t="n"/>
      <c r="H1600" s="30" t="n"/>
      <c r="I1600" s="31" t="n"/>
      <c r="J1600" s="30" t="n"/>
      <c r="K1600" s="30" t="n"/>
      <c r="L1600" s="30" t="n"/>
      <c r="M1600" s="30" t="n"/>
      <c r="N1600" s="32" t="n"/>
      <c r="O1600" s="30" t="n"/>
      <c r="P1600" s="32" t="n"/>
      <c r="Q1600" s="30" t="n"/>
      <c r="R1600" s="32" t="n"/>
      <c r="S1600" s="30" t="n"/>
      <c r="T1600" s="30" t="n"/>
      <c r="U1600" s="30" t="n"/>
      <c r="V1600" s="30" t="n"/>
      <c r="W1600" s="29">
        <f>IF(H1600="","",IF(H1600="Kenya","Yes","No"))</f>
        <v/>
      </c>
      <c r="X1600" s="29">
        <f>IF(B1600="","",IF(COUNTIF($B$5:$B$3004,B1600)&gt;1,"DUPLICATE","OK"))</f>
        <v/>
      </c>
      <c r="Y1600" s="29">
        <f>IF(OR(U1600="",V1600="",V1600="Excluded"),"",IF(COUNTIFS($U$5:$U$3004,U1600,$V$5:$V$3004,"&lt;&gt;"&amp;V1600,$V$5:$V$3004,"&lt;&gt;",$V$5:$V$3004,"&lt;&gt;Excluded")&gt;0,"LEAK RISK","OK"))</f>
        <v/>
      </c>
      <c r="Z1600" s="30" t="n"/>
    </row>
    <row r="1601">
      <c r="A1601" s="30" t="n"/>
      <c r="B1601" s="30" t="n"/>
      <c r="C1601" s="30" t="n"/>
      <c r="D1601" s="30" t="n"/>
      <c r="E1601" s="30" t="n"/>
      <c r="F1601" s="30" t="n"/>
      <c r="G1601" s="30" t="n"/>
      <c r="H1601" s="30" t="n"/>
      <c r="I1601" s="31" t="n"/>
      <c r="J1601" s="30" t="n"/>
      <c r="K1601" s="30" t="n"/>
      <c r="L1601" s="30" t="n"/>
      <c r="M1601" s="30" t="n"/>
      <c r="N1601" s="32" t="n"/>
      <c r="O1601" s="30" t="n"/>
      <c r="P1601" s="32" t="n"/>
      <c r="Q1601" s="30" t="n"/>
      <c r="R1601" s="32" t="n"/>
      <c r="S1601" s="30" t="n"/>
      <c r="T1601" s="30" t="n"/>
      <c r="U1601" s="30" t="n"/>
      <c r="V1601" s="30" t="n"/>
      <c r="W1601" s="29">
        <f>IF(H1601="","",IF(H1601="Kenya","Yes","No"))</f>
        <v/>
      </c>
      <c r="X1601" s="29">
        <f>IF(B1601="","",IF(COUNTIF($B$5:$B$3004,B1601)&gt;1,"DUPLICATE","OK"))</f>
        <v/>
      </c>
      <c r="Y1601" s="29">
        <f>IF(OR(U1601="",V1601="",V1601="Excluded"),"",IF(COUNTIFS($U$5:$U$3004,U1601,$V$5:$V$3004,"&lt;&gt;"&amp;V1601,$V$5:$V$3004,"&lt;&gt;",$V$5:$V$3004,"&lt;&gt;Excluded")&gt;0,"LEAK RISK","OK"))</f>
        <v/>
      </c>
      <c r="Z1601" s="30" t="n"/>
    </row>
    <row r="1602">
      <c r="A1602" s="30" t="n"/>
      <c r="B1602" s="30" t="n"/>
      <c r="C1602" s="30" t="n"/>
      <c r="D1602" s="30" t="n"/>
      <c r="E1602" s="30" t="n"/>
      <c r="F1602" s="30" t="n"/>
      <c r="G1602" s="30" t="n"/>
      <c r="H1602" s="30" t="n"/>
      <c r="I1602" s="31" t="n"/>
      <c r="J1602" s="30" t="n"/>
      <c r="K1602" s="30" t="n"/>
      <c r="L1602" s="30" t="n"/>
      <c r="M1602" s="30" t="n"/>
      <c r="N1602" s="32" t="n"/>
      <c r="O1602" s="30" t="n"/>
      <c r="P1602" s="32" t="n"/>
      <c r="Q1602" s="30" t="n"/>
      <c r="R1602" s="32" t="n"/>
      <c r="S1602" s="30" t="n"/>
      <c r="T1602" s="30" t="n"/>
      <c r="U1602" s="30" t="n"/>
      <c r="V1602" s="30" t="n"/>
      <c r="W1602" s="29">
        <f>IF(H1602="","",IF(H1602="Kenya","Yes","No"))</f>
        <v/>
      </c>
      <c r="X1602" s="29">
        <f>IF(B1602="","",IF(COUNTIF($B$5:$B$3004,B1602)&gt;1,"DUPLICATE","OK"))</f>
        <v/>
      </c>
      <c r="Y1602" s="29">
        <f>IF(OR(U1602="",V1602="",V1602="Excluded"),"",IF(COUNTIFS($U$5:$U$3004,U1602,$V$5:$V$3004,"&lt;&gt;"&amp;V1602,$V$5:$V$3004,"&lt;&gt;",$V$5:$V$3004,"&lt;&gt;Excluded")&gt;0,"LEAK RISK","OK"))</f>
        <v/>
      </c>
      <c r="Z1602" s="30" t="n"/>
    </row>
    <row r="1603">
      <c r="A1603" s="30" t="n"/>
      <c r="B1603" s="30" t="n"/>
      <c r="C1603" s="30" t="n"/>
      <c r="D1603" s="30" t="n"/>
      <c r="E1603" s="30" t="n"/>
      <c r="F1603" s="30" t="n"/>
      <c r="G1603" s="30" t="n"/>
      <c r="H1603" s="30" t="n"/>
      <c r="I1603" s="31" t="n"/>
      <c r="J1603" s="30" t="n"/>
      <c r="K1603" s="30" t="n"/>
      <c r="L1603" s="30" t="n"/>
      <c r="M1603" s="30" t="n"/>
      <c r="N1603" s="32" t="n"/>
      <c r="O1603" s="30" t="n"/>
      <c r="P1603" s="32" t="n"/>
      <c r="Q1603" s="30" t="n"/>
      <c r="R1603" s="32" t="n"/>
      <c r="S1603" s="30" t="n"/>
      <c r="T1603" s="30" t="n"/>
      <c r="U1603" s="30" t="n"/>
      <c r="V1603" s="30" t="n"/>
      <c r="W1603" s="29">
        <f>IF(H1603="","",IF(H1603="Kenya","Yes","No"))</f>
        <v/>
      </c>
      <c r="X1603" s="29">
        <f>IF(B1603="","",IF(COUNTIF($B$5:$B$3004,B1603)&gt;1,"DUPLICATE","OK"))</f>
        <v/>
      </c>
      <c r="Y1603" s="29">
        <f>IF(OR(U1603="",V1603="",V1603="Excluded"),"",IF(COUNTIFS($U$5:$U$3004,U1603,$V$5:$V$3004,"&lt;&gt;"&amp;V1603,$V$5:$V$3004,"&lt;&gt;",$V$5:$V$3004,"&lt;&gt;Excluded")&gt;0,"LEAK RISK","OK"))</f>
        <v/>
      </c>
      <c r="Z1603" s="30" t="n"/>
    </row>
    <row r="1604">
      <c r="A1604" s="30" t="n"/>
      <c r="B1604" s="30" t="n"/>
      <c r="C1604" s="30" t="n"/>
      <c r="D1604" s="30" t="n"/>
      <c r="E1604" s="30" t="n"/>
      <c r="F1604" s="30" t="n"/>
      <c r="G1604" s="30" t="n"/>
      <c r="H1604" s="30" t="n"/>
      <c r="I1604" s="31" t="n"/>
      <c r="J1604" s="30" t="n"/>
      <c r="K1604" s="30" t="n"/>
      <c r="L1604" s="30" t="n"/>
      <c r="M1604" s="30" t="n"/>
      <c r="N1604" s="32" t="n"/>
      <c r="O1604" s="30" t="n"/>
      <c r="P1604" s="32" t="n"/>
      <c r="Q1604" s="30" t="n"/>
      <c r="R1604" s="32" t="n"/>
      <c r="S1604" s="30" t="n"/>
      <c r="T1604" s="30" t="n"/>
      <c r="U1604" s="30" t="n"/>
      <c r="V1604" s="30" t="n"/>
      <c r="W1604" s="29">
        <f>IF(H1604="","",IF(H1604="Kenya","Yes","No"))</f>
        <v/>
      </c>
      <c r="X1604" s="29">
        <f>IF(B1604="","",IF(COUNTIF($B$5:$B$3004,B1604)&gt;1,"DUPLICATE","OK"))</f>
        <v/>
      </c>
      <c r="Y1604" s="29">
        <f>IF(OR(U1604="",V1604="",V1604="Excluded"),"",IF(COUNTIFS($U$5:$U$3004,U1604,$V$5:$V$3004,"&lt;&gt;"&amp;V1604,$V$5:$V$3004,"&lt;&gt;",$V$5:$V$3004,"&lt;&gt;Excluded")&gt;0,"LEAK RISK","OK"))</f>
        <v/>
      </c>
      <c r="Z1604" s="30" t="n"/>
    </row>
    <row r="1605">
      <c r="A1605" s="30" t="n"/>
      <c r="B1605" s="30" t="n"/>
      <c r="C1605" s="30" t="n"/>
      <c r="D1605" s="30" t="n"/>
      <c r="E1605" s="30" t="n"/>
      <c r="F1605" s="30" t="n"/>
      <c r="G1605" s="30" t="n"/>
      <c r="H1605" s="30" t="n"/>
      <c r="I1605" s="31" t="n"/>
      <c r="J1605" s="30" t="n"/>
      <c r="K1605" s="30" t="n"/>
      <c r="L1605" s="30" t="n"/>
      <c r="M1605" s="30" t="n"/>
      <c r="N1605" s="32" t="n"/>
      <c r="O1605" s="30" t="n"/>
      <c r="P1605" s="32" t="n"/>
      <c r="Q1605" s="30" t="n"/>
      <c r="R1605" s="32" t="n"/>
      <c r="S1605" s="30" t="n"/>
      <c r="T1605" s="30" t="n"/>
      <c r="U1605" s="30" t="n"/>
      <c r="V1605" s="30" t="n"/>
      <c r="W1605" s="29">
        <f>IF(H1605="","",IF(H1605="Kenya","Yes","No"))</f>
        <v/>
      </c>
      <c r="X1605" s="29">
        <f>IF(B1605="","",IF(COUNTIF($B$5:$B$3004,B1605)&gt;1,"DUPLICATE","OK"))</f>
        <v/>
      </c>
      <c r="Y1605" s="29">
        <f>IF(OR(U1605="",V1605="",V1605="Excluded"),"",IF(COUNTIFS($U$5:$U$3004,U1605,$V$5:$V$3004,"&lt;&gt;"&amp;V1605,$V$5:$V$3004,"&lt;&gt;",$V$5:$V$3004,"&lt;&gt;Excluded")&gt;0,"LEAK RISK","OK"))</f>
        <v/>
      </c>
      <c r="Z1605" s="30" t="n"/>
    </row>
    <row r="1606">
      <c r="A1606" s="30" t="n"/>
      <c r="B1606" s="30" t="n"/>
      <c r="C1606" s="30" t="n"/>
      <c r="D1606" s="30" t="n"/>
      <c r="E1606" s="30" t="n"/>
      <c r="F1606" s="30" t="n"/>
      <c r="G1606" s="30" t="n"/>
      <c r="H1606" s="30" t="n"/>
      <c r="I1606" s="31" t="n"/>
      <c r="J1606" s="30" t="n"/>
      <c r="K1606" s="30" t="n"/>
      <c r="L1606" s="30" t="n"/>
      <c r="M1606" s="30" t="n"/>
      <c r="N1606" s="32" t="n"/>
      <c r="O1606" s="30" t="n"/>
      <c r="P1606" s="32" t="n"/>
      <c r="Q1606" s="30" t="n"/>
      <c r="R1606" s="32" t="n"/>
      <c r="S1606" s="30" t="n"/>
      <c r="T1606" s="30" t="n"/>
      <c r="U1606" s="30" t="n"/>
      <c r="V1606" s="30" t="n"/>
      <c r="W1606" s="29">
        <f>IF(H1606="","",IF(H1606="Kenya","Yes","No"))</f>
        <v/>
      </c>
      <c r="X1606" s="29">
        <f>IF(B1606="","",IF(COUNTIF($B$5:$B$3004,B1606)&gt;1,"DUPLICATE","OK"))</f>
        <v/>
      </c>
      <c r="Y1606" s="29">
        <f>IF(OR(U1606="",V1606="",V1606="Excluded"),"",IF(COUNTIFS($U$5:$U$3004,U1606,$V$5:$V$3004,"&lt;&gt;"&amp;V1606,$V$5:$V$3004,"&lt;&gt;",$V$5:$V$3004,"&lt;&gt;Excluded")&gt;0,"LEAK RISK","OK"))</f>
        <v/>
      </c>
      <c r="Z1606" s="30" t="n"/>
    </row>
    <row r="1607">
      <c r="A1607" s="30" t="n"/>
      <c r="B1607" s="30" t="n"/>
      <c r="C1607" s="30" t="n"/>
      <c r="D1607" s="30" t="n"/>
      <c r="E1607" s="30" t="n"/>
      <c r="F1607" s="30" t="n"/>
      <c r="G1607" s="30" t="n"/>
      <c r="H1607" s="30" t="n"/>
      <c r="I1607" s="31" t="n"/>
      <c r="J1607" s="30" t="n"/>
      <c r="K1607" s="30" t="n"/>
      <c r="L1607" s="30" t="n"/>
      <c r="M1607" s="30" t="n"/>
      <c r="N1607" s="32" t="n"/>
      <c r="O1607" s="30" t="n"/>
      <c r="P1607" s="32" t="n"/>
      <c r="Q1607" s="30" t="n"/>
      <c r="R1607" s="32" t="n"/>
      <c r="S1607" s="30" t="n"/>
      <c r="T1607" s="30" t="n"/>
      <c r="U1607" s="30" t="n"/>
      <c r="V1607" s="30" t="n"/>
      <c r="W1607" s="29">
        <f>IF(H1607="","",IF(H1607="Kenya","Yes","No"))</f>
        <v/>
      </c>
      <c r="X1607" s="29">
        <f>IF(B1607="","",IF(COUNTIF($B$5:$B$3004,B1607)&gt;1,"DUPLICATE","OK"))</f>
        <v/>
      </c>
      <c r="Y1607" s="29">
        <f>IF(OR(U1607="",V1607="",V1607="Excluded"),"",IF(COUNTIFS($U$5:$U$3004,U1607,$V$5:$V$3004,"&lt;&gt;"&amp;V1607,$V$5:$V$3004,"&lt;&gt;",$V$5:$V$3004,"&lt;&gt;Excluded")&gt;0,"LEAK RISK","OK"))</f>
        <v/>
      </c>
      <c r="Z1607" s="30" t="n"/>
    </row>
    <row r="1608">
      <c r="A1608" s="30" t="n"/>
      <c r="B1608" s="30" t="n"/>
      <c r="C1608" s="30" t="n"/>
      <c r="D1608" s="30" t="n"/>
      <c r="E1608" s="30" t="n"/>
      <c r="F1608" s="30" t="n"/>
      <c r="G1608" s="30" t="n"/>
      <c r="H1608" s="30" t="n"/>
      <c r="I1608" s="31" t="n"/>
      <c r="J1608" s="30" t="n"/>
      <c r="K1608" s="30" t="n"/>
      <c r="L1608" s="30" t="n"/>
      <c r="M1608" s="30" t="n"/>
      <c r="N1608" s="32" t="n"/>
      <c r="O1608" s="30" t="n"/>
      <c r="P1608" s="32" t="n"/>
      <c r="Q1608" s="30" t="n"/>
      <c r="R1608" s="32" t="n"/>
      <c r="S1608" s="30" t="n"/>
      <c r="T1608" s="30" t="n"/>
      <c r="U1608" s="30" t="n"/>
      <c r="V1608" s="30" t="n"/>
      <c r="W1608" s="29">
        <f>IF(H1608="","",IF(H1608="Kenya","Yes","No"))</f>
        <v/>
      </c>
      <c r="X1608" s="29">
        <f>IF(B1608="","",IF(COUNTIF($B$5:$B$3004,B1608)&gt;1,"DUPLICATE","OK"))</f>
        <v/>
      </c>
      <c r="Y1608" s="29">
        <f>IF(OR(U1608="",V1608="",V1608="Excluded"),"",IF(COUNTIFS($U$5:$U$3004,U1608,$V$5:$V$3004,"&lt;&gt;"&amp;V1608,$V$5:$V$3004,"&lt;&gt;",$V$5:$V$3004,"&lt;&gt;Excluded")&gt;0,"LEAK RISK","OK"))</f>
        <v/>
      </c>
      <c r="Z1608" s="30" t="n"/>
    </row>
    <row r="1609">
      <c r="A1609" s="30" t="n"/>
      <c r="B1609" s="30" t="n"/>
      <c r="C1609" s="30" t="n"/>
      <c r="D1609" s="30" t="n"/>
      <c r="E1609" s="30" t="n"/>
      <c r="F1609" s="30" t="n"/>
      <c r="G1609" s="30" t="n"/>
      <c r="H1609" s="30" t="n"/>
      <c r="I1609" s="31" t="n"/>
      <c r="J1609" s="30" t="n"/>
      <c r="K1609" s="30" t="n"/>
      <c r="L1609" s="30" t="n"/>
      <c r="M1609" s="30" t="n"/>
      <c r="N1609" s="32" t="n"/>
      <c r="O1609" s="30" t="n"/>
      <c r="P1609" s="32" t="n"/>
      <c r="Q1609" s="30" t="n"/>
      <c r="R1609" s="32" t="n"/>
      <c r="S1609" s="30" t="n"/>
      <c r="T1609" s="30" t="n"/>
      <c r="U1609" s="30" t="n"/>
      <c r="V1609" s="30" t="n"/>
      <c r="W1609" s="29">
        <f>IF(H1609="","",IF(H1609="Kenya","Yes","No"))</f>
        <v/>
      </c>
      <c r="X1609" s="29">
        <f>IF(B1609="","",IF(COUNTIF($B$5:$B$3004,B1609)&gt;1,"DUPLICATE","OK"))</f>
        <v/>
      </c>
      <c r="Y1609" s="29">
        <f>IF(OR(U1609="",V1609="",V1609="Excluded"),"",IF(COUNTIFS($U$5:$U$3004,U1609,$V$5:$V$3004,"&lt;&gt;"&amp;V1609,$V$5:$V$3004,"&lt;&gt;",$V$5:$V$3004,"&lt;&gt;Excluded")&gt;0,"LEAK RISK","OK"))</f>
        <v/>
      </c>
      <c r="Z1609" s="30" t="n"/>
    </row>
    <row r="1610">
      <c r="A1610" s="30" t="n"/>
      <c r="B1610" s="30" t="n"/>
      <c r="C1610" s="30" t="n"/>
      <c r="D1610" s="30" t="n"/>
      <c r="E1610" s="30" t="n"/>
      <c r="F1610" s="30" t="n"/>
      <c r="G1610" s="30" t="n"/>
      <c r="H1610" s="30" t="n"/>
      <c r="I1610" s="31" t="n"/>
      <c r="J1610" s="30" t="n"/>
      <c r="K1610" s="30" t="n"/>
      <c r="L1610" s="30" t="n"/>
      <c r="M1610" s="30" t="n"/>
      <c r="N1610" s="32" t="n"/>
      <c r="O1610" s="30" t="n"/>
      <c r="P1610" s="32" t="n"/>
      <c r="Q1610" s="30" t="n"/>
      <c r="R1610" s="32" t="n"/>
      <c r="S1610" s="30" t="n"/>
      <c r="T1610" s="30" t="n"/>
      <c r="U1610" s="30" t="n"/>
      <c r="V1610" s="30" t="n"/>
      <c r="W1610" s="29">
        <f>IF(H1610="","",IF(H1610="Kenya","Yes","No"))</f>
        <v/>
      </c>
      <c r="X1610" s="29">
        <f>IF(B1610="","",IF(COUNTIF($B$5:$B$3004,B1610)&gt;1,"DUPLICATE","OK"))</f>
        <v/>
      </c>
      <c r="Y1610" s="29">
        <f>IF(OR(U1610="",V1610="",V1610="Excluded"),"",IF(COUNTIFS($U$5:$U$3004,U1610,$V$5:$V$3004,"&lt;&gt;"&amp;V1610,$V$5:$V$3004,"&lt;&gt;",$V$5:$V$3004,"&lt;&gt;Excluded")&gt;0,"LEAK RISK","OK"))</f>
        <v/>
      </c>
      <c r="Z1610" s="30" t="n"/>
    </row>
    <row r="1611">
      <c r="A1611" s="30" t="n"/>
      <c r="B1611" s="30" t="n"/>
      <c r="C1611" s="30" t="n"/>
      <c r="D1611" s="30" t="n"/>
      <c r="E1611" s="30" t="n"/>
      <c r="F1611" s="30" t="n"/>
      <c r="G1611" s="30" t="n"/>
      <c r="H1611" s="30" t="n"/>
      <c r="I1611" s="31" t="n"/>
      <c r="J1611" s="30" t="n"/>
      <c r="K1611" s="30" t="n"/>
      <c r="L1611" s="30" t="n"/>
      <c r="M1611" s="30" t="n"/>
      <c r="N1611" s="32" t="n"/>
      <c r="O1611" s="30" t="n"/>
      <c r="P1611" s="32" t="n"/>
      <c r="Q1611" s="30" t="n"/>
      <c r="R1611" s="32" t="n"/>
      <c r="S1611" s="30" t="n"/>
      <c r="T1611" s="30" t="n"/>
      <c r="U1611" s="30" t="n"/>
      <c r="V1611" s="30" t="n"/>
      <c r="W1611" s="29">
        <f>IF(H1611="","",IF(H1611="Kenya","Yes","No"))</f>
        <v/>
      </c>
      <c r="X1611" s="29">
        <f>IF(B1611="","",IF(COUNTIF($B$5:$B$3004,B1611)&gt;1,"DUPLICATE","OK"))</f>
        <v/>
      </c>
      <c r="Y1611" s="29">
        <f>IF(OR(U1611="",V1611="",V1611="Excluded"),"",IF(COUNTIFS($U$5:$U$3004,U1611,$V$5:$V$3004,"&lt;&gt;"&amp;V1611,$V$5:$V$3004,"&lt;&gt;",$V$5:$V$3004,"&lt;&gt;Excluded")&gt;0,"LEAK RISK","OK"))</f>
        <v/>
      </c>
      <c r="Z1611" s="30" t="n"/>
    </row>
    <row r="1612">
      <c r="A1612" s="30" t="n"/>
      <c r="B1612" s="30" t="n"/>
      <c r="C1612" s="30" t="n"/>
      <c r="D1612" s="30" t="n"/>
      <c r="E1612" s="30" t="n"/>
      <c r="F1612" s="30" t="n"/>
      <c r="G1612" s="30" t="n"/>
      <c r="H1612" s="30" t="n"/>
      <c r="I1612" s="31" t="n"/>
      <c r="J1612" s="30" t="n"/>
      <c r="K1612" s="30" t="n"/>
      <c r="L1612" s="30" t="n"/>
      <c r="M1612" s="30" t="n"/>
      <c r="N1612" s="32" t="n"/>
      <c r="O1612" s="30" t="n"/>
      <c r="P1612" s="32" t="n"/>
      <c r="Q1612" s="30" t="n"/>
      <c r="R1612" s="32" t="n"/>
      <c r="S1612" s="30" t="n"/>
      <c r="T1612" s="30" t="n"/>
      <c r="U1612" s="30" t="n"/>
      <c r="V1612" s="30" t="n"/>
      <c r="W1612" s="29">
        <f>IF(H1612="","",IF(H1612="Kenya","Yes","No"))</f>
        <v/>
      </c>
      <c r="X1612" s="29">
        <f>IF(B1612="","",IF(COUNTIF($B$5:$B$3004,B1612)&gt;1,"DUPLICATE","OK"))</f>
        <v/>
      </c>
      <c r="Y1612" s="29">
        <f>IF(OR(U1612="",V1612="",V1612="Excluded"),"",IF(COUNTIFS($U$5:$U$3004,U1612,$V$5:$V$3004,"&lt;&gt;"&amp;V1612,$V$5:$V$3004,"&lt;&gt;",$V$5:$V$3004,"&lt;&gt;Excluded")&gt;0,"LEAK RISK","OK"))</f>
        <v/>
      </c>
      <c r="Z1612" s="30" t="n"/>
    </row>
    <row r="1613">
      <c r="A1613" s="30" t="n"/>
      <c r="B1613" s="30" t="n"/>
      <c r="C1613" s="30" t="n"/>
      <c r="D1613" s="30" t="n"/>
      <c r="E1613" s="30" t="n"/>
      <c r="F1613" s="30" t="n"/>
      <c r="G1613" s="30" t="n"/>
      <c r="H1613" s="30" t="n"/>
      <c r="I1613" s="31" t="n"/>
      <c r="J1613" s="30" t="n"/>
      <c r="K1613" s="30" t="n"/>
      <c r="L1613" s="30" t="n"/>
      <c r="M1613" s="30" t="n"/>
      <c r="N1613" s="32" t="n"/>
      <c r="O1613" s="30" t="n"/>
      <c r="P1613" s="32" t="n"/>
      <c r="Q1613" s="30" t="n"/>
      <c r="R1613" s="32" t="n"/>
      <c r="S1613" s="30" t="n"/>
      <c r="T1613" s="30" t="n"/>
      <c r="U1613" s="30" t="n"/>
      <c r="V1613" s="30" t="n"/>
      <c r="W1613" s="29">
        <f>IF(H1613="","",IF(H1613="Kenya","Yes","No"))</f>
        <v/>
      </c>
      <c r="X1613" s="29">
        <f>IF(B1613="","",IF(COUNTIF($B$5:$B$3004,B1613)&gt;1,"DUPLICATE","OK"))</f>
        <v/>
      </c>
      <c r="Y1613" s="29">
        <f>IF(OR(U1613="",V1613="",V1613="Excluded"),"",IF(COUNTIFS($U$5:$U$3004,U1613,$V$5:$V$3004,"&lt;&gt;"&amp;V1613,$V$5:$V$3004,"&lt;&gt;",$V$5:$V$3004,"&lt;&gt;Excluded")&gt;0,"LEAK RISK","OK"))</f>
        <v/>
      </c>
      <c r="Z1613" s="30" t="n"/>
    </row>
    <row r="1614">
      <c r="A1614" s="30" t="n"/>
      <c r="B1614" s="30" t="n"/>
      <c r="C1614" s="30" t="n"/>
      <c r="D1614" s="30" t="n"/>
      <c r="E1614" s="30" t="n"/>
      <c r="F1614" s="30" t="n"/>
      <c r="G1614" s="30" t="n"/>
      <c r="H1614" s="30" t="n"/>
      <c r="I1614" s="31" t="n"/>
      <c r="J1614" s="30" t="n"/>
      <c r="K1614" s="30" t="n"/>
      <c r="L1614" s="30" t="n"/>
      <c r="M1614" s="30" t="n"/>
      <c r="N1614" s="32" t="n"/>
      <c r="O1614" s="30" t="n"/>
      <c r="P1614" s="32" t="n"/>
      <c r="Q1614" s="30" t="n"/>
      <c r="R1614" s="32" t="n"/>
      <c r="S1614" s="30" t="n"/>
      <c r="T1614" s="30" t="n"/>
      <c r="U1614" s="30" t="n"/>
      <c r="V1614" s="30" t="n"/>
      <c r="W1614" s="29">
        <f>IF(H1614="","",IF(H1614="Kenya","Yes","No"))</f>
        <v/>
      </c>
      <c r="X1614" s="29">
        <f>IF(B1614="","",IF(COUNTIF($B$5:$B$3004,B1614)&gt;1,"DUPLICATE","OK"))</f>
        <v/>
      </c>
      <c r="Y1614" s="29">
        <f>IF(OR(U1614="",V1614="",V1614="Excluded"),"",IF(COUNTIFS($U$5:$U$3004,U1614,$V$5:$V$3004,"&lt;&gt;"&amp;V1614,$V$5:$V$3004,"&lt;&gt;",$V$5:$V$3004,"&lt;&gt;Excluded")&gt;0,"LEAK RISK","OK"))</f>
        <v/>
      </c>
      <c r="Z1614" s="30" t="n"/>
    </row>
    <row r="1615">
      <c r="A1615" s="30" t="n"/>
      <c r="B1615" s="30" t="n"/>
      <c r="C1615" s="30" t="n"/>
      <c r="D1615" s="30" t="n"/>
      <c r="E1615" s="30" t="n"/>
      <c r="F1615" s="30" t="n"/>
      <c r="G1615" s="30" t="n"/>
      <c r="H1615" s="30" t="n"/>
      <c r="I1615" s="31" t="n"/>
      <c r="J1615" s="30" t="n"/>
      <c r="K1615" s="30" t="n"/>
      <c r="L1615" s="30" t="n"/>
      <c r="M1615" s="30" t="n"/>
      <c r="N1615" s="32" t="n"/>
      <c r="O1615" s="30" t="n"/>
      <c r="P1615" s="32" t="n"/>
      <c r="Q1615" s="30" t="n"/>
      <c r="R1615" s="32" t="n"/>
      <c r="S1615" s="30" t="n"/>
      <c r="T1615" s="30" t="n"/>
      <c r="U1615" s="30" t="n"/>
      <c r="V1615" s="30" t="n"/>
      <c r="W1615" s="29">
        <f>IF(H1615="","",IF(H1615="Kenya","Yes","No"))</f>
        <v/>
      </c>
      <c r="X1615" s="29">
        <f>IF(B1615="","",IF(COUNTIF($B$5:$B$3004,B1615)&gt;1,"DUPLICATE","OK"))</f>
        <v/>
      </c>
      <c r="Y1615" s="29">
        <f>IF(OR(U1615="",V1615="",V1615="Excluded"),"",IF(COUNTIFS($U$5:$U$3004,U1615,$V$5:$V$3004,"&lt;&gt;"&amp;V1615,$V$5:$V$3004,"&lt;&gt;",$V$5:$V$3004,"&lt;&gt;Excluded")&gt;0,"LEAK RISK","OK"))</f>
        <v/>
      </c>
      <c r="Z1615" s="30" t="n"/>
    </row>
    <row r="1616">
      <c r="A1616" s="30" t="n"/>
      <c r="B1616" s="30" t="n"/>
      <c r="C1616" s="30" t="n"/>
      <c r="D1616" s="30" t="n"/>
      <c r="E1616" s="30" t="n"/>
      <c r="F1616" s="30" t="n"/>
      <c r="G1616" s="30" t="n"/>
      <c r="H1616" s="30" t="n"/>
      <c r="I1616" s="31" t="n"/>
      <c r="J1616" s="30" t="n"/>
      <c r="K1616" s="30" t="n"/>
      <c r="L1616" s="30" t="n"/>
      <c r="M1616" s="30" t="n"/>
      <c r="N1616" s="32" t="n"/>
      <c r="O1616" s="30" t="n"/>
      <c r="P1616" s="32" t="n"/>
      <c r="Q1616" s="30" t="n"/>
      <c r="R1616" s="32" t="n"/>
      <c r="S1616" s="30" t="n"/>
      <c r="T1616" s="30" t="n"/>
      <c r="U1616" s="30" t="n"/>
      <c r="V1616" s="30" t="n"/>
      <c r="W1616" s="29">
        <f>IF(H1616="","",IF(H1616="Kenya","Yes","No"))</f>
        <v/>
      </c>
      <c r="X1616" s="29">
        <f>IF(B1616="","",IF(COUNTIF($B$5:$B$3004,B1616)&gt;1,"DUPLICATE","OK"))</f>
        <v/>
      </c>
      <c r="Y1616" s="29">
        <f>IF(OR(U1616="",V1616="",V1616="Excluded"),"",IF(COUNTIFS($U$5:$U$3004,U1616,$V$5:$V$3004,"&lt;&gt;"&amp;V1616,$V$5:$V$3004,"&lt;&gt;",$V$5:$V$3004,"&lt;&gt;Excluded")&gt;0,"LEAK RISK","OK"))</f>
        <v/>
      </c>
      <c r="Z1616" s="30" t="n"/>
    </row>
    <row r="1617">
      <c r="A1617" s="30" t="n"/>
      <c r="B1617" s="30" t="n"/>
      <c r="C1617" s="30" t="n"/>
      <c r="D1617" s="30" t="n"/>
      <c r="E1617" s="30" t="n"/>
      <c r="F1617" s="30" t="n"/>
      <c r="G1617" s="30" t="n"/>
      <c r="H1617" s="30" t="n"/>
      <c r="I1617" s="31" t="n"/>
      <c r="J1617" s="30" t="n"/>
      <c r="K1617" s="30" t="n"/>
      <c r="L1617" s="30" t="n"/>
      <c r="M1617" s="30" t="n"/>
      <c r="N1617" s="32" t="n"/>
      <c r="O1617" s="30" t="n"/>
      <c r="P1617" s="32" t="n"/>
      <c r="Q1617" s="30" t="n"/>
      <c r="R1617" s="32" t="n"/>
      <c r="S1617" s="30" t="n"/>
      <c r="T1617" s="30" t="n"/>
      <c r="U1617" s="30" t="n"/>
      <c r="V1617" s="30" t="n"/>
      <c r="W1617" s="29">
        <f>IF(H1617="","",IF(H1617="Kenya","Yes","No"))</f>
        <v/>
      </c>
      <c r="X1617" s="29">
        <f>IF(B1617="","",IF(COUNTIF($B$5:$B$3004,B1617)&gt;1,"DUPLICATE","OK"))</f>
        <v/>
      </c>
      <c r="Y1617" s="29">
        <f>IF(OR(U1617="",V1617="",V1617="Excluded"),"",IF(COUNTIFS($U$5:$U$3004,U1617,$V$5:$V$3004,"&lt;&gt;"&amp;V1617,$V$5:$V$3004,"&lt;&gt;",$V$5:$V$3004,"&lt;&gt;Excluded")&gt;0,"LEAK RISK","OK"))</f>
        <v/>
      </c>
      <c r="Z1617" s="30" t="n"/>
    </row>
    <row r="1618">
      <c r="A1618" s="30" t="n"/>
      <c r="B1618" s="30" t="n"/>
      <c r="C1618" s="30" t="n"/>
      <c r="D1618" s="30" t="n"/>
      <c r="E1618" s="30" t="n"/>
      <c r="F1618" s="30" t="n"/>
      <c r="G1618" s="30" t="n"/>
      <c r="H1618" s="30" t="n"/>
      <c r="I1618" s="31" t="n"/>
      <c r="J1618" s="30" t="n"/>
      <c r="K1618" s="30" t="n"/>
      <c r="L1618" s="30" t="n"/>
      <c r="M1618" s="30" t="n"/>
      <c r="N1618" s="32" t="n"/>
      <c r="O1618" s="30" t="n"/>
      <c r="P1618" s="32" t="n"/>
      <c r="Q1618" s="30" t="n"/>
      <c r="R1618" s="32" t="n"/>
      <c r="S1618" s="30" t="n"/>
      <c r="T1618" s="30" t="n"/>
      <c r="U1618" s="30" t="n"/>
      <c r="V1618" s="30" t="n"/>
      <c r="W1618" s="29">
        <f>IF(H1618="","",IF(H1618="Kenya","Yes","No"))</f>
        <v/>
      </c>
      <c r="X1618" s="29">
        <f>IF(B1618="","",IF(COUNTIF($B$5:$B$3004,B1618)&gt;1,"DUPLICATE","OK"))</f>
        <v/>
      </c>
      <c r="Y1618" s="29">
        <f>IF(OR(U1618="",V1618="",V1618="Excluded"),"",IF(COUNTIFS($U$5:$U$3004,U1618,$V$5:$V$3004,"&lt;&gt;"&amp;V1618,$V$5:$V$3004,"&lt;&gt;",$V$5:$V$3004,"&lt;&gt;Excluded")&gt;0,"LEAK RISK","OK"))</f>
        <v/>
      </c>
      <c r="Z1618" s="30" t="n"/>
    </row>
    <row r="1619">
      <c r="A1619" s="30" t="n"/>
      <c r="B1619" s="30" t="n"/>
      <c r="C1619" s="30" t="n"/>
      <c r="D1619" s="30" t="n"/>
      <c r="E1619" s="30" t="n"/>
      <c r="F1619" s="30" t="n"/>
      <c r="G1619" s="30" t="n"/>
      <c r="H1619" s="30" t="n"/>
      <c r="I1619" s="31" t="n"/>
      <c r="J1619" s="30" t="n"/>
      <c r="K1619" s="30" t="n"/>
      <c r="L1619" s="30" t="n"/>
      <c r="M1619" s="30" t="n"/>
      <c r="N1619" s="32" t="n"/>
      <c r="O1619" s="30" t="n"/>
      <c r="P1619" s="32" t="n"/>
      <c r="Q1619" s="30" t="n"/>
      <c r="R1619" s="32" t="n"/>
      <c r="S1619" s="30" t="n"/>
      <c r="T1619" s="30" t="n"/>
      <c r="U1619" s="30" t="n"/>
      <c r="V1619" s="30" t="n"/>
      <c r="W1619" s="29">
        <f>IF(H1619="","",IF(H1619="Kenya","Yes","No"))</f>
        <v/>
      </c>
      <c r="X1619" s="29">
        <f>IF(B1619="","",IF(COUNTIF($B$5:$B$3004,B1619)&gt;1,"DUPLICATE","OK"))</f>
        <v/>
      </c>
      <c r="Y1619" s="29">
        <f>IF(OR(U1619="",V1619="",V1619="Excluded"),"",IF(COUNTIFS($U$5:$U$3004,U1619,$V$5:$V$3004,"&lt;&gt;"&amp;V1619,$V$5:$V$3004,"&lt;&gt;",$V$5:$V$3004,"&lt;&gt;Excluded")&gt;0,"LEAK RISK","OK"))</f>
        <v/>
      </c>
      <c r="Z1619" s="30" t="n"/>
    </row>
    <row r="1620">
      <c r="A1620" s="30" t="n"/>
      <c r="B1620" s="30" t="n"/>
      <c r="C1620" s="30" t="n"/>
      <c r="D1620" s="30" t="n"/>
      <c r="E1620" s="30" t="n"/>
      <c r="F1620" s="30" t="n"/>
      <c r="G1620" s="30" t="n"/>
      <c r="H1620" s="30" t="n"/>
      <c r="I1620" s="31" t="n"/>
      <c r="J1620" s="30" t="n"/>
      <c r="K1620" s="30" t="n"/>
      <c r="L1620" s="30" t="n"/>
      <c r="M1620" s="30" t="n"/>
      <c r="N1620" s="32" t="n"/>
      <c r="O1620" s="30" t="n"/>
      <c r="P1620" s="32" t="n"/>
      <c r="Q1620" s="30" t="n"/>
      <c r="R1620" s="32" t="n"/>
      <c r="S1620" s="30" t="n"/>
      <c r="T1620" s="30" t="n"/>
      <c r="U1620" s="30" t="n"/>
      <c r="V1620" s="30" t="n"/>
      <c r="W1620" s="29">
        <f>IF(H1620="","",IF(H1620="Kenya","Yes","No"))</f>
        <v/>
      </c>
      <c r="X1620" s="29">
        <f>IF(B1620="","",IF(COUNTIF($B$5:$B$3004,B1620)&gt;1,"DUPLICATE","OK"))</f>
        <v/>
      </c>
      <c r="Y1620" s="29">
        <f>IF(OR(U1620="",V1620="",V1620="Excluded"),"",IF(COUNTIFS($U$5:$U$3004,U1620,$V$5:$V$3004,"&lt;&gt;"&amp;V1620,$V$5:$V$3004,"&lt;&gt;",$V$5:$V$3004,"&lt;&gt;Excluded")&gt;0,"LEAK RISK","OK"))</f>
        <v/>
      </c>
      <c r="Z1620" s="30" t="n"/>
    </row>
    <row r="1621">
      <c r="A1621" s="30" t="n"/>
      <c r="B1621" s="30" t="n"/>
      <c r="C1621" s="30" t="n"/>
      <c r="D1621" s="30" t="n"/>
      <c r="E1621" s="30" t="n"/>
      <c r="F1621" s="30" t="n"/>
      <c r="G1621" s="30" t="n"/>
      <c r="H1621" s="30" t="n"/>
      <c r="I1621" s="31" t="n"/>
      <c r="J1621" s="30" t="n"/>
      <c r="K1621" s="30" t="n"/>
      <c r="L1621" s="30" t="n"/>
      <c r="M1621" s="30" t="n"/>
      <c r="N1621" s="32" t="n"/>
      <c r="O1621" s="30" t="n"/>
      <c r="P1621" s="32" t="n"/>
      <c r="Q1621" s="30" t="n"/>
      <c r="R1621" s="32" t="n"/>
      <c r="S1621" s="30" t="n"/>
      <c r="T1621" s="30" t="n"/>
      <c r="U1621" s="30" t="n"/>
      <c r="V1621" s="30" t="n"/>
      <c r="W1621" s="29">
        <f>IF(H1621="","",IF(H1621="Kenya","Yes","No"))</f>
        <v/>
      </c>
      <c r="X1621" s="29">
        <f>IF(B1621="","",IF(COUNTIF($B$5:$B$3004,B1621)&gt;1,"DUPLICATE","OK"))</f>
        <v/>
      </c>
      <c r="Y1621" s="29">
        <f>IF(OR(U1621="",V1621="",V1621="Excluded"),"",IF(COUNTIFS($U$5:$U$3004,U1621,$V$5:$V$3004,"&lt;&gt;"&amp;V1621,$V$5:$V$3004,"&lt;&gt;",$V$5:$V$3004,"&lt;&gt;Excluded")&gt;0,"LEAK RISK","OK"))</f>
        <v/>
      </c>
      <c r="Z1621" s="30" t="n"/>
    </row>
    <row r="1622">
      <c r="A1622" s="30" t="n"/>
      <c r="B1622" s="30" t="n"/>
      <c r="C1622" s="30" t="n"/>
      <c r="D1622" s="30" t="n"/>
      <c r="E1622" s="30" t="n"/>
      <c r="F1622" s="30" t="n"/>
      <c r="G1622" s="30" t="n"/>
      <c r="H1622" s="30" t="n"/>
      <c r="I1622" s="31" t="n"/>
      <c r="J1622" s="30" t="n"/>
      <c r="K1622" s="30" t="n"/>
      <c r="L1622" s="30" t="n"/>
      <c r="M1622" s="30" t="n"/>
      <c r="N1622" s="32" t="n"/>
      <c r="O1622" s="30" t="n"/>
      <c r="P1622" s="32" t="n"/>
      <c r="Q1622" s="30" t="n"/>
      <c r="R1622" s="32" t="n"/>
      <c r="S1622" s="30" t="n"/>
      <c r="T1622" s="30" t="n"/>
      <c r="U1622" s="30" t="n"/>
      <c r="V1622" s="30" t="n"/>
      <c r="W1622" s="29">
        <f>IF(H1622="","",IF(H1622="Kenya","Yes","No"))</f>
        <v/>
      </c>
      <c r="X1622" s="29">
        <f>IF(B1622="","",IF(COUNTIF($B$5:$B$3004,B1622)&gt;1,"DUPLICATE","OK"))</f>
        <v/>
      </c>
      <c r="Y1622" s="29">
        <f>IF(OR(U1622="",V1622="",V1622="Excluded"),"",IF(COUNTIFS($U$5:$U$3004,U1622,$V$5:$V$3004,"&lt;&gt;"&amp;V1622,$V$5:$V$3004,"&lt;&gt;",$V$5:$V$3004,"&lt;&gt;Excluded")&gt;0,"LEAK RISK","OK"))</f>
        <v/>
      </c>
      <c r="Z1622" s="30" t="n"/>
    </row>
    <row r="1623">
      <c r="A1623" s="30" t="n"/>
      <c r="B1623" s="30" t="n"/>
      <c r="C1623" s="30" t="n"/>
      <c r="D1623" s="30" t="n"/>
      <c r="E1623" s="30" t="n"/>
      <c r="F1623" s="30" t="n"/>
      <c r="G1623" s="30" t="n"/>
      <c r="H1623" s="30" t="n"/>
      <c r="I1623" s="31" t="n"/>
      <c r="J1623" s="30" t="n"/>
      <c r="K1623" s="30" t="n"/>
      <c r="L1623" s="30" t="n"/>
      <c r="M1623" s="30" t="n"/>
      <c r="N1623" s="32" t="n"/>
      <c r="O1623" s="30" t="n"/>
      <c r="P1623" s="32" t="n"/>
      <c r="Q1623" s="30" t="n"/>
      <c r="R1623" s="32" t="n"/>
      <c r="S1623" s="30" t="n"/>
      <c r="T1623" s="30" t="n"/>
      <c r="U1623" s="30" t="n"/>
      <c r="V1623" s="30" t="n"/>
      <c r="W1623" s="29">
        <f>IF(H1623="","",IF(H1623="Kenya","Yes","No"))</f>
        <v/>
      </c>
      <c r="X1623" s="29">
        <f>IF(B1623="","",IF(COUNTIF($B$5:$B$3004,B1623)&gt;1,"DUPLICATE","OK"))</f>
        <v/>
      </c>
      <c r="Y1623" s="29">
        <f>IF(OR(U1623="",V1623="",V1623="Excluded"),"",IF(COUNTIFS($U$5:$U$3004,U1623,$V$5:$V$3004,"&lt;&gt;"&amp;V1623,$V$5:$V$3004,"&lt;&gt;",$V$5:$V$3004,"&lt;&gt;Excluded")&gt;0,"LEAK RISK","OK"))</f>
        <v/>
      </c>
      <c r="Z1623" s="30" t="n"/>
    </row>
    <row r="1624">
      <c r="A1624" s="30" t="n"/>
      <c r="B1624" s="30" t="n"/>
      <c r="C1624" s="30" t="n"/>
      <c r="D1624" s="30" t="n"/>
      <c r="E1624" s="30" t="n"/>
      <c r="F1624" s="30" t="n"/>
      <c r="G1624" s="30" t="n"/>
      <c r="H1624" s="30" t="n"/>
      <c r="I1624" s="31" t="n"/>
      <c r="J1624" s="30" t="n"/>
      <c r="K1624" s="30" t="n"/>
      <c r="L1624" s="30" t="n"/>
      <c r="M1624" s="30" t="n"/>
      <c r="N1624" s="32" t="n"/>
      <c r="O1624" s="30" t="n"/>
      <c r="P1624" s="32" t="n"/>
      <c r="Q1624" s="30" t="n"/>
      <c r="R1624" s="32" t="n"/>
      <c r="S1624" s="30" t="n"/>
      <c r="T1624" s="30" t="n"/>
      <c r="U1624" s="30" t="n"/>
      <c r="V1624" s="30" t="n"/>
      <c r="W1624" s="29">
        <f>IF(H1624="","",IF(H1624="Kenya","Yes","No"))</f>
        <v/>
      </c>
      <c r="X1624" s="29">
        <f>IF(B1624="","",IF(COUNTIF($B$5:$B$3004,B1624)&gt;1,"DUPLICATE","OK"))</f>
        <v/>
      </c>
      <c r="Y1624" s="29">
        <f>IF(OR(U1624="",V1624="",V1624="Excluded"),"",IF(COUNTIFS($U$5:$U$3004,U1624,$V$5:$V$3004,"&lt;&gt;"&amp;V1624,$V$5:$V$3004,"&lt;&gt;",$V$5:$V$3004,"&lt;&gt;Excluded")&gt;0,"LEAK RISK","OK"))</f>
        <v/>
      </c>
      <c r="Z1624" s="30" t="n"/>
    </row>
    <row r="1625">
      <c r="A1625" s="30" t="n"/>
      <c r="B1625" s="30" t="n"/>
      <c r="C1625" s="30" t="n"/>
      <c r="D1625" s="30" t="n"/>
      <c r="E1625" s="30" t="n"/>
      <c r="F1625" s="30" t="n"/>
      <c r="G1625" s="30" t="n"/>
      <c r="H1625" s="30" t="n"/>
      <c r="I1625" s="31" t="n"/>
      <c r="J1625" s="30" t="n"/>
      <c r="K1625" s="30" t="n"/>
      <c r="L1625" s="30" t="n"/>
      <c r="M1625" s="30" t="n"/>
      <c r="N1625" s="32" t="n"/>
      <c r="O1625" s="30" t="n"/>
      <c r="P1625" s="32" t="n"/>
      <c r="Q1625" s="30" t="n"/>
      <c r="R1625" s="32" t="n"/>
      <c r="S1625" s="30" t="n"/>
      <c r="T1625" s="30" t="n"/>
      <c r="U1625" s="30" t="n"/>
      <c r="V1625" s="30" t="n"/>
      <c r="W1625" s="29">
        <f>IF(H1625="","",IF(H1625="Kenya","Yes","No"))</f>
        <v/>
      </c>
      <c r="X1625" s="29">
        <f>IF(B1625="","",IF(COUNTIF($B$5:$B$3004,B1625)&gt;1,"DUPLICATE","OK"))</f>
        <v/>
      </c>
      <c r="Y1625" s="29">
        <f>IF(OR(U1625="",V1625="",V1625="Excluded"),"",IF(COUNTIFS($U$5:$U$3004,U1625,$V$5:$V$3004,"&lt;&gt;"&amp;V1625,$V$5:$V$3004,"&lt;&gt;",$V$5:$V$3004,"&lt;&gt;Excluded")&gt;0,"LEAK RISK","OK"))</f>
        <v/>
      </c>
      <c r="Z1625" s="30" t="n"/>
    </row>
    <row r="1626">
      <c r="A1626" s="30" t="n"/>
      <c r="B1626" s="30" t="n"/>
      <c r="C1626" s="30" t="n"/>
      <c r="D1626" s="30" t="n"/>
      <c r="E1626" s="30" t="n"/>
      <c r="F1626" s="30" t="n"/>
      <c r="G1626" s="30" t="n"/>
      <c r="H1626" s="30" t="n"/>
      <c r="I1626" s="31" t="n"/>
      <c r="J1626" s="30" t="n"/>
      <c r="K1626" s="30" t="n"/>
      <c r="L1626" s="30" t="n"/>
      <c r="M1626" s="30" t="n"/>
      <c r="N1626" s="32" t="n"/>
      <c r="O1626" s="30" t="n"/>
      <c r="P1626" s="32" t="n"/>
      <c r="Q1626" s="30" t="n"/>
      <c r="R1626" s="32" t="n"/>
      <c r="S1626" s="30" t="n"/>
      <c r="T1626" s="30" t="n"/>
      <c r="U1626" s="30" t="n"/>
      <c r="V1626" s="30" t="n"/>
      <c r="W1626" s="29">
        <f>IF(H1626="","",IF(H1626="Kenya","Yes","No"))</f>
        <v/>
      </c>
      <c r="X1626" s="29">
        <f>IF(B1626="","",IF(COUNTIF($B$5:$B$3004,B1626)&gt;1,"DUPLICATE","OK"))</f>
        <v/>
      </c>
      <c r="Y1626" s="29">
        <f>IF(OR(U1626="",V1626="",V1626="Excluded"),"",IF(COUNTIFS($U$5:$U$3004,U1626,$V$5:$V$3004,"&lt;&gt;"&amp;V1626,$V$5:$V$3004,"&lt;&gt;",$V$5:$V$3004,"&lt;&gt;Excluded")&gt;0,"LEAK RISK","OK"))</f>
        <v/>
      </c>
      <c r="Z1626" s="30" t="n"/>
    </row>
    <row r="1627">
      <c r="A1627" s="30" t="n"/>
      <c r="B1627" s="30" t="n"/>
      <c r="C1627" s="30" t="n"/>
      <c r="D1627" s="30" t="n"/>
      <c r="E1627" s="30" t="n"/>
      <c r="F1627" s="30" t="n"/>
      <c r="G1627" s="30" t="n"/>
      <c r="H1627" s="30" t="n"/>
      <c r="I1627" s="31" t="n"/>
      <c r="J1627" s="30" t="n"/>
      <c r="K1627" s="30" t="n"/>
      <c r="L1627" s="30" t="n"/>
      <c r="M1627" s="30" t="n"/>
      <c r="N1627" s="32" t="n"/>
      <c r="O1627" s="30" t="n"/>
      <c r="P1627" s="32" t="n"/>
      <c r="Q1627" s="30" t="n"/>
      <c r="R1627" s="32" t="n"/>
      <c r="S1627" s="30" t="n"/>
      <c r="T1627" s="30" t="n"/>
      <c r="U1627" s="30" t="n"/>
      <c r="V1627" s="30" t="n"/>
      <c r="W1627" s="29">
        <f>IF(H1627="","",IF(H1627="Kenya","Yes","No"))</f>
        <v/>
      </c>
      <c r="X1627" s="29">
        <f>IF(B1627="","",IF(COUNTIF($B$5:$B$3004,B1627)&gt;1,"DUPLICATE","OK"))</f>
        <v/>
      </c>
      <c r="Y1627" s="29">
        <f>IF(OR(U1627="",V1627="",V1627="Excluded"),"",IF(COUNTIFS($U$5:$U$3004,U1627,$V$5:$V$3004,"&lt;&gt;"&amp;V1627,$V$5:$V$3004,"&lt;&gt;",$V$5:$V$3004,"&lt;&gt;Excluded")&gt;0,"LEAK RISK","OK"))</f>
        <v/>
      </c>
      <c r="Z1627" s="30" t="n"/>
    </row>
    <row r="1628">
      <c r="A1628" s="30" t="n"/>
      <c r="B1628" s="30" t="n"/>
      <c r="C1628" s="30" t="n"/>
      <c r="D1628" s="30" t="n"/>
      <c r="E1628" s="30" t="n"/>
      <c r="F1628" s="30" t="n"/>
      <c r="G1628" s="30" t="n"/>
      <c r="H1628" s="30" t="n"/>
      <c r="I1628" s="31" t="n"/>
      <c r="J1628" s="30" t="n"/>
      <c r="K1628" s="30" t="n"/>
      <c r="L1628" s="30" t="n"/>
      <c r="M1628" s="30" t="n"/>
      <c r="N1628" s="32" t="n"/>
      <c r="O1628" s="30" t="n"/>
      <c r="P1628" s="32" t="n"/>
      <c r="Q1628" s="30" t="n"/>
      <c r="R1628" s="32" t="n"/>
      <c r="S1628" s="30" t="n"/>
      <c r="T1628" s="30" t="n"/>
      <c r="U1628" s="30" t="n"/>
      <c r="V1628" s="30" t="n"/>
      <c r="W1628" s="29">
        <f>IF(H1628="","",IF(H1628="Kenya","Yes","No"))</f>
        <v/>
      </c>
      <c r="X1628" s="29">
        <f>IF(B1628="","",IF(COUNTIF($B$5:$B$3004,B1628)&gt;1,"DUPLICATE","OK"))</f>
        <v/>
      </c>
      <c r="Y1628" s="29">
        <f>IF(OR(U1628="",V1628="",V1628="Excluded"),"",IF(COUNTIFS($U$5:$U$3004,U1628,$V$5:$V$3004,"&lt;&gt;"&amp;V1628,$V$5:$V$3004,"&lt;&gt;",$V$5:$V$3004,"&lt;&gt;Excluded")&gt;0,"LEAK RISK","OK"))</f>
        <v/>
      </c>
      <c r="Z1628" s="30" t="n"/>
    </row>
    <row r="1629">
      <c r="A1629" s="30" t="n"/>
      <c r="B1629" s="30" t="n"/>
      <c r="C1629" s="30" t="n"/>
      <c r="D1629" s="30" t="n"/>
      <c r="E1629" s="30" t="n"/>
      <c r="F1629" s="30" t="n"/>
      <c r="G1629" s="30" t="n"/>
      <c r="H1629" s="30" t="n"/>
      <c r="I1629" s="31" t="n"/>
      <c r="J1629" s="30" t="n"/>
      <c r="K1629" s="30" t="n"/>
      <c r="L1629" s="30" t="n"/>
      <c r="M1629" s="30" t="n"/>
      <c r="N1629" s="32" t="n"/>
      <c r="O1629" s="30" t="n"/>
      <c r="P1629" s="32" t="n"/>
      <c r="Q1629" s="30" t="n"/>
      <c r="R1629" s="32" t="n"/>
      <c r="S1629" s="30" t="n"/>
      <c r="T1629" s="30" t="n"/>
      <c r="U1629" s="30" t="n"/>
      <c r="V1629" s="30" t="n"/>
      <c r="W1629" s="29">
        <f>IF(H1629="","",IF(H1629="Kenya","Yes","No"))</f>
        <v/>
      </c>
      <c r="X1629" s="29">
        <f>IF(B1629="","",IF(COUNTIF($B$5:$B$3004,B1629)&gt;1,"DUPLICATE","OK"))</f>
        <v/>
      </c>
      <c r="Y1629" s="29">
        <f>IF(OR(U1629="",V1629="",V1629="Excluded"),"",IF(COUNTIFS($U$5:$U$3004,U1629,$V$5:$V$3004,"&lt;&gt;"&amp;V1629,$V$5:$V$3004,"&lt;&gt;",$V$5:$V$3004,"&lt;&gt;Excluded")&gt;0,"LEAK RISK","OK"))</f>
        <v/>
      </c>
      <c r="Z1629" s="30" t="n"/>
    </row>
    <row r="1630">
      <c r="A1630" s="30" t="n"/>
      <c r="B1630" s="30" t="n"/>
      <c r="C1630" s="30" t="n"/>
      <c r="D1630" s="30" t="n"/>
      <c r="E1630" s="30" t="n"/>
      <c r="F1630" s="30" t="n"/>
      <c r="G1630" s="30" t="n"/>
      <c r="H1630" s="30" t="n"/>
      <c r="I1630" s="31" t="n"/>
      <c r="J1630" s="30" t="n"/>
      <c r="K1630" s="30" t="n"/>
      <c r="L1630" s="30" t="n"/>
      <c r="M1630" s="30" t="n"/>
      <c r="N1630" s="32" t="n"/>
      <c r="O1630" s="30" t="n"/>
      <c r="P1630" s="32" t="n"/>
      <c r="Q1630" s="30" t="n"/>
      <c r="R1630" s="32" t="n"/>
      <c r="S1630" s="30" t="n"/>
      <c r="T1630" s="30" t="n"/>
      <c r="U1630" s="30" t="n"/>
      <c r="V1630" s="30" t="n"/>
      <c r="W1630" s="29">
        <f>IF(H1630="","",IF(H1630="Kenya","Yes","No"))</f>
        <v/>
      </c>
      <c r="X1630" s="29">
        <f>IF(B1630="","",IF(COUNTIF($B$5:$B$3004,B1630)&gt;1,"DUPLICATE","OK"))</f>
        <v/>
      </c>
      <c r="Y1630" s="29">
        <f>IF(OR(U1630="",V1630="",V1630="Excluded"),"",IF(COUNTIFS($U$5:$U$3004,U1630,$V$5:$V$3004,"&lt;&gt;"&amp;V1630,$V$5:$V$3004,"&lt;&gt;",$V$5:$V$3004,"&lt;&gt;Excluded")&gt;0,"LEAK RISK","OK"))</f>
        <v/>
      </c>
      <c r="Z1630" s="30" t="n"/>
    </row>
    <row r="1631">
      <c r="A1631" s="30" t="n"/>
      <c r="B1631" s="30" t="n"/>
      <c r="C1631" s="30" t="n"/>
      <c r="D1631" s="30" t="n"/>
      <c r="E1631" s="30" t="n"/>
      <c r="F1631" s="30" t="n"/>
      <c r="G1631" s="30" t="n"/>
      <c r="H1631" s="30" t="n"/>
      <c r="I1631" s="31" t="n"/>
      <c r="J1631" s="30" t="n"/>
      <c r="K1631" s="30" t="n"/>
      <c r="L1631" s="30" t="n"/>
      <c r="M1631" s="30" t="n"/>
      <c r="N1631" s="32" t="n"/>
      <c r="O1631" s="30" t="n"/>
      <c r="P1631" s="32" t="n"/>
      <c r="Q1631" s="30" t="n"/>
      <c r="R1631" s="32" t="n"/>
      <c r="S1631" s="30" t="n"/>
      <c r="T1631" s="30" t="n"/>
      <c r="U1631" s="30" t="n"/>
      <c r="V1631" s="30" t="n"/>
      <c r="W1631" s="29">
        <f>IF(H1631="","",IF(H1631="Kenya","Yes","No"))</f>
        <v/>
      </c>
      <c r="X1631" s="29">
        <f>IF(B1631="","",IF(COUNTIF($B$5:$B$3004,B1631)&gt;1,"DUPLICATE","OK"))</f>
        <v/>
      </c>
      <c r="Y1631" s="29">
        <f>IF(OR(U1631="",V1631="",V1631="Excluded"),"",IF(COUNTIFS($U$5:$U$3004,U1631,$V$5:$V$3004,"&lt;&gt;"&amp;V1631,$V$5:$V$3004,"&lt;&gt;",$V$5:$V$3004,"&lt;&gt;Excluded")&gt;0,"LEAK RISK","OK"))</f>
        <v/>
      </c>
      <c r="Z1631" s="30" t="n"/>
    </row>
    <row r="1632">
      <c r="A1632" s="30" t="n"/>
      <c r="B1632" s="30" t="n"/>
      <c r="C1632" s="30" t="n"/>
      <c r="D1632" s="30" t="n"/>
      <c r="E1632" s="30" t="n"/>
      <c r="F1632" s="30" t="n"/>
      <c r="G1632" s="30" t="n"/>
      <c r="H1632" s="30" t="n"/>
      <c r="I1632" s="31" t="n"/>
      <c r="J1632" s="30" t="n"/>
      <c r="K1632" s="30" t="n"/>
      <c r="L1632" s="30" t="n"/>
      <c r="M1632" s="30" t="n"/>
      <c r="N1632" s="32" t="n"/>
      <c r="O1632" s="30" t="n"/>
      <c r="P1632" s="32" t="n"/>
      <c r="Q1632" s="30" t="n"/>
      <c r="R1632" s="32" t="n"/>
      <c r="S1632" s="30" t="n"/>
      <c r="T1632" s="30" t="n"/>
      <c r="U1632" s="30" t="n"/>
      <c r="V1632" s="30" t="n"/>
      <c r="W1632" s="29">
        <f>IF(H1632="","",IF(H1632="Kenya","Yes","No"))</f>
        <v/>
      </c>
      <c r="X1632" s="29">
        <f>IF(B1632="","",IF(COUNTIF($B$5:$B$3004,B1632)&gt;1,"DUPLICATE","OK"))</f>
        <v/>
      </c>
      <c r="Y1632" s="29">
        <f>IF(OR(U1632="",V1632="",V1632="Excluded"),"",IF(COUNTIFS($U$5:$U$3004,U1632,$V$5:$V$3004,"&lt;&gt;"&amp;V1632,$V$5:$V$3004,"&lt;&gt;",$V$5:$V$3004,"&lt;&gt;Excluded")&gt;0,"LEAK RISK","OK"))</f>
        <v/>
      </c>
      <c r="Z1632" s="30" t="n"/>
    </row>
    <row r="1633">
      <c r="A1633" s="30" t="n"/>
      <c r="B1633" s="30" t="n"/>
      <c r="C1633" s="30" t="n"/>
      <c r="D1633" s="30" t="n"/>
      <c r="E1633" s="30" t="n"/>
      <c r="F1633" s="30" t="n"/>
      <c r="G1633" s="30" t="n"/>
      <c r="H1633" s="30" t="n"/>
      <c r="I1633" s="31" t="n"/>
      <c r="J1633" s="30" t="n"/>
      <c r="K1633" s="30" t="n"/>
      <c r="L1633" s="30" t="n"/>
      <c r="M1633" s="30" t="n"/>
      <c r="N1633" s="32" t="n"/>
      <c r="O1633" s="30" t="n"/>
      <c r="P1633" s="32" t="n"/>
      <c r="Q1633" s="30" t="n"/>
      <c r="R1633" s="32" t="n"/>
      <c r="S1633" s="30" t="n"/>
      <c r="T1633" s="30" t="n"/>
      <c r="U1633" s="30" t="n"/>
      <c r="V1633" s="30" t="n"/>
      <c r="W1633" s="29">
        <f>IF(H1633="","",IF(H1633="Kenya","Yes","No"))</f>
        <v/>
      </c>
      <c r="X1633" s="29">
        <f>IF(B1633="","",IF(COUNTIF($B$5:$B$3004,B1633)&gt;1,"DUPLICATE","OK"))</f>
        <v/>
      </c>
      <c r="Y1633" s="29">
        <f>IF(OR(U1633="",V1633="",V1633="Excluded"),"",IF(COUNTIFS($U$5:$U$3004,U1633,$V$5:$V$3004,"&lt;&gt;"&amp;V1633,$V$5:$V$3004,"&lt;&gt;",$V$5:$V$3004,"&lt;&gt;Excluded")&gt;0,"LEAK RISK","OK"))</f>
        <v/>
      </c>
      <c r="Z1633" s="30" t="n"/>
    </row>
    <row r="1634">
      <c r="A1634" s="30" t="n"/>
      <c r="B1634" s="30" t="n"/>
      <c r="C1634" s="30" t="n"/>
      <c r="D1634" s="30" t="n"/>
      <c r="E1634" s="30" t="n"/>
      <c r="F1634" s="30" t="n"/>
      <c r="G1634" s="30" t="n"/>
      <c r="H1634" s="30" t="n"/>
      <c r="I1634" s="31" t="n"/>
      <c r="J1634" s="30" t="n"/>
      <c r="K1634" s="30" t="n"/>
      <c r="L1634" s="30" t="n"/>
      <c r="M1634" s="30" t="n"/>
      <c r="N1634" s="32" t="n"/>
      <c r="O1634" s="30" t="n"/>
      <c r="P1634" s="32" t="n"/>
      <c r="Q1634" s="30" t="n"/>
      <c r="R1634" s="32" t="n"/>
      <c r="S1634" s="30" t="n"/>
      <c r="T1634" s="30" t="n"/>
      <c r="U1634" s="30" t="n"/>
      <c r="V1634" s="30" t="n"/>
      <c r="W1634" s="29">
        <f>IF(H1634="","",IF(H1634="Kenya","Yes","No"))</f>
        <v/>
      </c>
      <c r="X1634" s="29">
        <f>IF(B1634="","",IF(COUNTIF($B$5:$B$3004,B1634)&gt;1,"DUPLICATE","OK"))</f>
        <v/>
      </c>
      <c r="Y1634" s="29">
        <f>IF(OR(U1634="",V1634="",V1634="Excluded"),"",IF(COUNTIFS($U$5:$U$3004,U1634,$V$5:$V$3004,"&lt;&gt;"&amp;V1634,$V$5:$V$3004,"&lt;&gt;",$V$5:$V$3004,"&lt;&gt;Excluded")&gt;0,"LEAK RISK","OK"))</f>
        <v/>
      </c>
      <c r="Z1634" s="30" t="n"/>
    </row>
    <row r="1635">
      <c r="A1635" s="30" t="n"/>
      <c r="B1635" s="30" t="n"/>
      <c r="C1635" s="30" t="n"/>
      <c r="D1635" s="30" t="n"/>
      <c r="E1635" s="30" t="n"/>
      <c r="F1635" s="30" t="n"/>
      <c r="G1635" s="30" t="n"/>
      <c r="H1635" s="30" t="n"/>
      <c r="I1635" s="31" t="n"/>
      <c r="J1635" s="30" t="n"/>
      <c r="K1635" s="30" t="n"/>
      <c r="L1635" s="30" t="n"/>
      <c r="M1635" s="30" t="n"/>
      <c r="N1635" s="32" t="n"/>
      <c r="O1635" s="30" t="n"/>
      <c r="P1635" s="32" t="n"/>
      <c r="Q1635" s="30" t="n"/>
      <c r="R1635" s="32" t="n"/>
      <c r="S1635" s="30" t="n"/>
      <c r="T1635" s="30" t="n"/>
      <c r="U1635" s="30" t="n"/>
      <c r="V1635" s="30" t="n"/>
      <c r="W1635" s="29">
        <f>IF(H1635="","",IF(H1635="Kenya","Yes","No"))</f>
        <v/>
      </c>
      <c r="X1635" s="29">
        <f>IF(B1635="","",IF(COUNTIF($B$5:$B$3004,B1635)&gt;1,"DUPLICATE","OK"))</f>
        <v/>
      </c>
      <c r="Y1635" s="29">
        <f>IF(OR(U1635="",V1635="",V1635="Excluded"),"",IF(COUNTIFS($U$5:$U$3004,U1635,$V$5:$V$3004,"&lt;&gt;"&amp;V1635,$V$5:$V$3004,"&lt;&gt;",$V$5:$V$3004,"&lt;&gt;Excluded")&gt;0,"LEAK RISK","OK"))</f>
        <v/>
      </c>
      <c r="Z1635" s="30" t="n"/>
    </row>
    <row r="1636">
      <c r="A1636" s="30" t="n"/>
      <c r="B1636" s="30" t="n"/>
      <c r="C1636" s="30" t="n"/>
      <c r="D1636" s="30" t="n"/>
      <c r="E1636" s="30" t="n"/>
      <c r="F1636" s="30" t="n"/>
      <c r="G1636" s="30" t="n"/>
      <c r="H1636" s="30" t="n"/>
      <c r="I1636" s="31" t="n"/>
      <c r="J1636" s="30" t="n"/>
      <c r="K1636" s="30" t="n"/>
      <c r="L1636" s="30" t="n"/>
      <c r="M1636" s="30" t="n"/>
      <c r="N1636" s="32" t="n"/>
      <c r="O1636" s="30" t="n"/>
      <c r="P1636" s="32" t="n"/>
      <c r="Q1636" s="30" t="n"/>
      <c r="R1636" s="32" t="n"/>
      <c r="S1636" s="30" t="n"/>
      <c r="T1636" s="30" t="n"/>
      <c r="U1636" s="30" t="n"/>
      <c r="V1636" s="30" t="n"/>
      <c r="W1636" s="29">
        <f>IF(H1636="","",IF(H1636="Kenya","Yes","No"))</f>
        <v/>
      </c>
      <c r="X1636" s="29">
        <f>IF(B1636="","",IF(COUNTIF($B$5:$B$3004,B1636)&gt;1,"DUPLICATE","OK"))</f>
        <v/>
      </c>
      <c r="Y1636" s="29">
        <f>IF(OR(U1636="",V1636="",V1636="Excluded"),"",IF(COUNTIFS($U$5:$U$3004,U1636,$V$5:$V$3004,"&lt;&gt;"&amp;V1636,$V$5:$V$3004,"&lt;&gt;",$V$5:$V$3004,"&lt;&gt;Excluded")&gt;0,"LEAK RISK","OK"))</f>
        <v/>
      </c>
      <c r="Z1636" s="30" t="n"/>
    </row>
    <row r="1637">
      <c r="A1637" s="30" t="n"/>
      <c r="B1637" s="30" t="n"/>
      <c r="C1637" s="30" t="n"/>
      <c r="D1637" s="30" t="n"/>
      <c r="E1637" s="30" t="n"/>
      <c r="F1637" s="30" t="n"/>
      <c r="G1637" s="30" t="n"/>
      <c r="H1637" s="30" t="n"/>
      <c r="I1637" s="31" t="n"/>
      <c r="J1637" s="30" t="n"/>
      <c r="K1637" s="30" t="n"/>
      <c r="L1637" s="30" t="n"/>
      <c r="M1637" s="30" t="n"/>
      <c r="N1637" s="32" t="n"/>
      <c r="O1637" s="30" t="n"/>
      <c r="P1637" s="32" t="n"/>
      <c r="Q1637" s="30" t="n"/>
      <c r="R1637" s="32" t="n"/>
      <c r="S1637" s="30" t="n"/>
      <c r="T1637" s="30" t="n"/>
      <c r="U1637" s="30" t="n"/>
      <c r="V1637" s="30" t="n"/>
      <c r="W1637" s="29">
        <f>IF(H1637="","",IF(H1637="Kenya","Yes","No"))</f>
        <v/>
      </c>
      <c r="X1637" s="29">
        <f>IF(B1637="","",IF(COUNTIF($B$5:$B$3004,B1637)&gt;1,"DUPLICATE","OK"))</f>
        <v/>
      </c>
      <c r="Y1637" s="29">
        <f>IF(OR(U1637="",V1637="",V1637="Excluded"),"",IF(COUNTIFS($U$5:$U$3004,U1637,$V$5:$V$3004,"&lt;&gt;"&amp;V1637,$V$5:$V$3004,"&lt;&gt;",$V$5:$V$3004,"&lt;&gt;Excluded")&gt;0,"LEAK RISK","OK"))</f>
        <v/>
      </c>
      <c r="Z1637" s="30" t="n"/>
    </row>
    <row r="1638">
      <c r="A1638" s="30" t="n"/>
      <c r="B1638" s="30" t="n"/>
      <c r="C1638" s="30" t="n"/>
      <c r="D1638" s="30" t="n"/>
      <c r="E1638" s="30" t="n"/>
      <c r="F1638" s="30" t="n"/>
      <c r="G1638" s="30" t="n"/>
      <c r="H1638" s="30" t="n"/>
      <c r="I1638" s="31" t="n"/>
      <c r="J1638" s="30" t="n"/>
      <c r="K1638" s="30" t="n"/>
      <c r="L1638" s="30" t="n"/>
      <c r="M1638" s="30" t="n"/>
      <c r="N1638" s="32" t="n"/>
      <c r="O1638" s="30" t="n"/>
      <c r="P1638" s="32" t="n"/>
      <c r="Q1638" s="30" t="n"/>
      <c r="R1638" s="32" t="n"/>
      <c r="S1638" s="30" t="n"/>
      <c r="T1638" s="30" t="n"/>
      <c r="U1638" s="30" t="n"/>
      <c r="V1638" s="30" t="n"/>
      <c r="W1638" s="29">
        <f>IF(H1638="","",IF(H1638="Kenya","Yes","No"))</f>
        <v/>
      </c>
      <c r="X1638" s="29">
        <f>IF(B1638="","",IF(COUNTIF($B$5:$B$3004,B1638)&gt;1,"DUPLICATE","OK"))</f>
        <v/>
      </c>
      <c r="Y1638" s="29">
        <f>IF(OR(U1638="",V1638="",V1638="Excluded"),"",IF(COUNTIFS($U$5:$U$3004,U1638,$V$5:$V$3004,"&lt;&gt;"&amp;V1638,$V$5:$V$3004,"&lt;&gt;",$V$5:$V$3004,"&lt;&gt;Excluded")&gt;0,"LEAK RISK","OK"))</f>
        <v/>
      </c>
      <c r="Z1638" s="30" t="n"/>
    </row>
    <row r="1639">
      <c r="A1639" s="30" t="n"/>
      <c r="B1639" s="30" t="n"/>
      <c r="C1639" s="30" t="n"/>
      <c r="D1639" s="30" t="n"/>
      <c r="E1639" s="30" t="n"/>
      <c r="F1639" s="30" t="n"/>
      <c r="G1639" s="30" t="n"/>
      <c r="H1639" s="30" t="n"/>
      <c r="I1639" s="31" t="n"/>
      <c r="J1639" s="30" t="n"/>
      <c r="K1639" s="30" t="n"/>
      <c r="L1639" s="30" t="n"/>
      <c r="M1639" s="30" t="n"/>
      <c r="N1639" s="32" t="n"/>
      <c r="O1639" s="30" t="n"/>
      <c r="P1639" s="32" t="n"/>
      <c r="Q1639" s="30" t="n"/>
      <c r="R1639" s="32" t="n"/>
      <c r="S1639" s="30" t="n"/>
      <c r="T1639" s="30" t="n"/>
      <c r="U1639" s="30" t="n"/>
      <c r="V1639" s="30" t="n"/>
      <c r="W1639" s="29">
        <f>IF(H1639="","",IF(H1639="Kenya","Yes","No"))</f>
        <v/>
      </c>
      <c r="X1639" s="29">
        <f>IF(B1639="","",IF(COUNTIF($B$5:$B$3004,B1639)&gt;1,"DUPLICATE","OK"))</f>
        <v/>
      </c>
      <c r="Y1639" s="29">
        <f>IF(OR(U1639="",V1639="",V1639="Excluded"),"",IF(COUNTIFS($U$5:$U$3004,U1639,$V$5:$V$3004,"&lt;&gt;"&amp;V1639,$V$5:$V$3004,"&lt;&gt;",$V$5:$V$3004,"&lt;&gt;Excluded")&gt;0,"LEAK RISK","OK"))</f>
        <v/>
      </c>
      <c r="Z1639" s="30" t="n"/>
    </row>
    <row r="1640">
      <c r="A1640" s="30" t="n"/>
      <c r="B1640" s="30" t="n"/>
      <c r="C1640" s="30" t="n"/>
      <c r="D1640" s="30" t="n"/>
      <c r="E1640" s="30" t="n"/>
      <c r="F1640" s="30" t="n"/>
      <c r="G1640" s="30" t="n"/>
      <c r="H1640" s="30" t="n"/>
      <c r="I1640" s="31" t="n"/>
      <c r="J1640" s="30" t="n"/>
      <c r="K1640" s="30" t="n"/>
      <c r="L1640" s="30" t="n"/>
      <c r="M1640" s="30" t="n"/>
      <c r="N1640" s="32" t="n"/>
      <c r="O1640" s="30" t="n"/>
      <c r="P1640" s="32" t="n"/>
      <c r="Q1640" s="30" t="n"/>
      <c r="R1640" s="32" t="n"/>
      <c r="S1640" s="30" t="n"/>
      <c r="T1640" s="30" t="n"/>
      <c r="U1640" s="30" t="n"/>
      <c r="V1640" s="30" t="n"/>
      <c r="W1640" s="29">
        <f>IF(H1640="","",IF(H1640="Kenya","Yes","No"))</f>
        <v/>
      </c>
      <c r="X1640" s="29">
        <f>IF(B1640="","",IF(COUNTIF($B$5:$B$3004,B1640)&gt;1,"DUPLICATE","OK"))</f>
        <v/>
      </c>
      <c r="Y1640" s="29">
        <f>IF(OR(U1640="",V1640="",V1640="Excluded"),"",IF(COUNTIFS($U$5:$U$3004,U1640,$V$5:$V$3004,"&lt;&gt;"&amp;V1640,$V$5:$V$3004,"&lt;&gt;",$V$5:$V$3004,"&lt;&gt;Excluded")&gt;0,"LEAK RISK","OK"))</f>
        <v/>
      </c>
      <c r="Z1640" s="30" t="n"/>
    </row>
    <row r="1641">
      <c r="A1641" s="30" t="n"/>
      <c r="B1641" s="30" t="n"/>
      <c r="C1641" s="30" t="n"/>
      <c r="D1641" s="30" t="n"/>
      <c r="E1641" s="30" t="n"/>
      <c r="F1641" s="30" t="n"/>
      <c r="G1641" s="30" t="n"/>
      <c r="H1641" s="30" t="n"/>
      <c r="I1641" s="31" t="n"/>
      <c r="J1641" s="30" t="n"/>
      <c r="K1641" s="30" t="n"/>
      <c r="L1641" s="30" t="n"/>
      <c r="M1641" s="30" t="n"/>
      <c r="N1641" s="32" t="n"/>
      <c r="O1641" s="30" t="n"/>
      <c r="P1641" s="32" t="n"/>
      <c r="Q1641" s="30" t="n"/>
      <c r="R1641" s="32" t="n"/>
      <c r="S1641" s="30" t="n"/>
      <c r="T1641" s="30" t="n"/>
      <c r="U1641" s="30" t="n"/>
      <c r="V1641" s="30" t="n"/>
      <c r="W1641" s="29">
        <f>IF(H1641="","",IF(H1641="Kenya","Yes","No"))</f>
        <v/>
      </c>
      <c r="X1641" s="29">
        <f>IF(B1641="","",IF(COUNTIF($B$5:$B$3004,B1641)&gt;1,"DUPLICATE","OK"))</f>
        <v/>
      </c>
      <c r="Y1641" s="29">
        <f>IF(OR(U1641="",V1641="",V1641="Excluded"),"",IF(COUNTIFS($U$5:$U$3004,U1641,$V$5:$V$3004,"&lt;&gt;"&amp;V1641,$V$5:$V$3004,"&lt;&gt;",$V$5:$V$3004,"&lt;&gt;Excluded")&gt;0,"LEAK RISK","OK"))</f>
        <v/>
      </c>
      <c r="Z1641" s="30" t="n"/>
    </row>
    <row r="1642">
      <c r="A1642" s="30" t="n"/>
      <c r="B1642" s="30" t="n"/>
      <c r="C1642" s="30" t="n"/>
      <c r="D1642" s="30" t="n"/>
      <c r="E1642" s="30" t="n"/>
      <c r="F1642" s="30" t="n"/>
      <c r="G1642" s="30" t="n"/>
      <c r="H1642" s="30" t="n"/>
      <c r="I1642" s="31" t="n"/>
      <c r="J1642" s="30" t="n"/>
      <c r="K1642" s="30" t="n"/>
      <c r="L1642" s="30" t="n"/>
      <c r="M1642" s="30" t="n"/>
      <c r="N1642" s="32" t="n"/>
      <c r="O1642" s="30" t="n"/>
      <c r="P1642" s="32" t="n"/>
      <c r="Q1642" s="30" t="n"/>
      <c r="R1642" s="32" t="n"/>
      <c r="S1642" s="30" t="n"/>
      <c r="T1642" s="30" t="n"/>
      <c r="U1642" s="30" t="n"/>
      <c r="V1642" s="30" t="n"/>
      <c r="W1642" s="29">
        <f>IF(H1642="","",IF(H1642="Kenya","Yes","No"))</f>
        <v/>
      </c>
      <c r="X1642" s="29">
        <f>IF(B1642="","",IF(COUNTIF($B$5:$B$3004,B1642)&gt;1,"DUPLICATE","OK"))</f>
        <v/>
      </c>
      <c r="Y1642" s="29">
        <f>IF(OR(U1642="",V1642="",V1642="Excluded"),"",IF(COUNTIFS($U$5:$U$3004,U1642,$V$5:$V$3004,"&lt;&gt;"&amp;V1642,$V$5:$V$3004,"&lt;&gt;",$V$5:$V$3004,"&lt;&gt;Excluded")&gt;0,"LEAK RISK","OK"))</f>
        <v/>
      </c>
      <c r="Z1642" s="30" t="n"/>
    </row>
    <row r="1643">
      <c r="A1643" s="30" t="n"/>
      <c r="B1643" s="30" t="n"/>
      <c r="C1643" s="30" t="n"/>
      <c r="D1643" s="30" t="n"/>
      <c r="E1643" s="30" t="n"/>
      <c r="F1643" s="30" t="n"/>
      <c r="G1643" s="30" t="n"/>
      <c r="H1643" s="30" t="n"/>
      <c r="I1643" s="31" t="n"/>
      <c r="J1643" s="30" t="n"/>
      <c r="K1643" s="30" t="n"/>
      <c r="L1643" s="30" t="n"/>
      <c r="M1643" s="30" t="n"/>
      <c r="N1643" s="32" t="n"/>
      <c r="O1643" s="30" t="n"/>
      <c r="P1643" s="32" t="n"/>
      <c r="Q1643" s="30" t="n"/>
      <c r="R1643" s="32" t="n"/>
      <c r="S1643" s="30" t="n"/>
      <c r="T1643" s="30" t="n"/>
      <c r="U1643" s="30" t="n"/>
      <c r="V1643" s="30" t="n"/>
      <c r="W1643" s="29">
        <f>IF(H1643="","",IF(H1643="Kenya","Yes","No"))</f>
        <v/>
      </c>
      <c r="X1643" s="29">
        <f>IF(B1643="","",IF(COUNTIF($B$5:$B$3004,B1643)&gt;1,"DUPLICATE","OK"))</f>
        <v/>
      </c>
      <c r="Y1643" s="29">
        <f>IF(OR(U1643="",V1643="",V1643="Excluded"),"",IF(COUNTIFS($U$5:$U$3004,U1643,$V$5:$V$3004,"&lt;&gt;"&amp;V1643,$V$5:$V$3004,"&lt;&gt;",$V$5:$V$3004,"&lt;&gt;Excluded")&gt;0,"LEAK RISK","OK"))</f>
        <v/>
      </c>
      <c r="Z1643" s="30" t="n"/>
    </row>
    <row r="1644">
      <c r="A1644" s="30" t="n"/>
      <c r="B1644" s="30" t="n"/>
      <c r="C1644" s="30" t="n"/>
      <c r="D1644" s="30" t="n"/>
      <c r="E1644" s="30" t="n"/>
      <c r="F1644" s="30" t="n"/>
      <c r="G1644" s="30" t="n"/>
      <c r="H1644" s="30" t="n"/>
      <c r="I1644" s="31" t="n"/>
      <c r="J1644" s="30" t="n"/>
      <c r="K1644" s="30" t="n"/>
      <c r="L1644" s="30" t="n"/>
      <c r="M1644" s="30" t="n"/>
      <c r="N1644" s="32" t="n"/>
      <c r="O1644" s="30" t="n"/>
      <c r="P1644" s="32" t="n"/>
      <c r="Q1644" s="30" t="n"/>
      <c r="R1644" s="32" t="n"/>
      <c r="S1644" s="30" t="n"/>
      <c r="T1644" s="30" t="n"/>
      <c r="U1644" s="30" t="n"/>
      <c r="V1644" s="30" t="n"/>
      <c r="W1644" s="29">
        <f>IF(H1644="","",IF(H1644="Kenya","Yes","No"))</f>
        <v/>
      </c>
      <c r="X1644" s="29">
        <f>IF(B1644="","",IF(COUNTIF($B$5:$B$3004,B1644)&gt;1,"DUPLICATE","OK"))</f>
        <v/>
      </c>
      <c r="Y1644" s="29">
        <f>IF(OR(U1644="",V1644="",V1644="Excluded"),"",IF(COUNTIFS($U$5:$U$3004,U1644,$V$5:$V$3004,"&lt;&gt;"&amp;V1644,$V$5:$V$3004,"&lt;&gt;",$V$5:$V$3004,"&lt;&gt;Excluded")&gt;0,"LEAK RISK","OK"))</f>
        <v/>
      </c>
      <c r="Z1644" s="30" t="n"/>
    </row>
    <row r="1645">
      <c r="A1645" s="30" t="n"/>
      <c r="B1645" s="30" t="n"/>
      <c r="C1645" s="30" t="n"/>
      <c r="D1645" s="30" t="n"/>
      <c r="E1645" s="30" t="n"/>
      <c r="F1645" s="30" t="n"/>
      <c r="G1645" s="30" t="n"/>
      <c r="H1645" s="30" t="n"/>
      <c r="I1645" s="31" t="n"/>
      <c r="J1645" s="30" t="n"/>
      <c r="K1645" s="30" t="n"/>
      <c r="L1645" s="30" t="n"/>
      <c r="M1645" s="30" t="n"/>
      <c r="N1645" s="32" t="n"/>
      <c r="O1645" s="30" t="n"/>
      <c r="P1645" s="32" t="n"/>
      <c r="Q1645" s="30" t="n"/>
      <c r="R1645" s="32" t="n"/>
      <c r="S1645" s="30" t="n"/>
      <c r="T1645" s="30" t="n"/>
      <c r="U1645" s="30" t="n"/>
      <c r="V1645" s="30" t="n"/>
      <c r="W1645" s="29">
        <f>IF(H1645="","",IF(H1645="Kenya","Yes","No"))</f>
        <v/>
      </c>
      <c r="X1645" s="29">
        <f>IF(B1645="","",IF(COUNTIF($B$5:$B$3004,B1645)&gt;1,"DUPLICATE","OK"))</f>
        <v/>
      </c>
      <c r="Y1645" s="29">
        <f>IF(OR(U1645="",V1645="",V1645="Excluded"),"",IF(COUNTIFS($U$5:$U$3004,U1645,$V$5:$V$3004,"&lt;&gt;"&amp;V1645,$V$5:$V$3004,"&lt;&gt;",$V$5:$V$3004,"&lt;&gt;Excluded")&gt;0,"LEAK RISK","OK"))</f>
        <v/>
      </c>
      <c r="Z1645" s="30" t="n"/>
    </row>
    <row r="1646">
      <c r="A1646" s="30" t="n"/>
      <c r="B1646" s="30" t="n"/>
      <c r="C1646" s="30" t="n"/>
      <c r="D1646" s="30" t="n"/>
      <c r="E1646" s="30" t="n"/>
      <c r="F1646" s="30" t="n"/>
      <c r="G1646" s="30" t="n"/>
      <c r="H1646" s="30" t="n"/>
      <c r="I1646" s="31" t="n"/>
      <c r="J1646" s="30" t="n"/>
      <c r="K1646" s="30" t="n"/>
      <c r="L1646" s="30" t="n"/>
      <c r="M1646" s="30" t="n"/>
      <c r="N1646" s="32" t="n"/>
      <c r="O1646" s="30" t="n"/>
      <c r="P1646" s="32" t="n"/>
      <c r="Q1646" s="30" t="n"/>
      <c r="R1646" s="32" t="n"/>
      <c r="S1646" s="30" t="n"/>
      <c r="T1646" s="30" t="n"/>
      <c r="U1646" s="30" t="n"/>
      <c r="V1646" s="30" t="n"/>
      <c r="W1646" s="29">
        <f>IF(H1646="","",IF(H1646="Kenya","Yes","No"))</f>
        <v/>
      </c>
      <c r="X1646" s="29">
        <f>IF(B1646="","",IF(COUNTIF($B$5:$B$3004,B1646)&gt;1,"DUPLICATE","OK"))</f>
        <v/>
      </c>
      <c r="Y1646" s="29">
        <f>IF(OR(U1646="",V1646="",V1646="Excluded"),"",IF(COUNTIFS($U$5:$U$3004,U1646,$V$5:$V$3004,"&lt;&gt;"&amp;V1646,$V$5:$V$3004,"&lt;&gt;",$V$5:$V$3004,"&lt;&gt;Excluded")&gt;0,"LEAK RISK","OK"))</f>
        <v/>
      </c>
      <c r="Z1646" s="30" t="n"/>
    </row>
    <row r="1647">
      <c r="A1647" s="30" t="n"/>
      <c r="B1647" s="30" t="n"/>
      <c r="C1647" s="30" t="n"/>
      <c r="D1647" s="30" t="n"/>
      <c r="E1647" s="30" t="n"/>
      <c r="F1647" s="30" t="n"/>
      <c r="G1647" s="30" t="n"/>
      <c r="H1647" s="30" t="n"/>
      <c r="I1647" s="31" t="n"/>
      <c r="J1647" s="30" t="n"/>
      <c r="K1647" s="30" t="n"/>
      <c r="L1647" s="30" t="n"/>
      <c r="M1647" s="30" t="n"/>
      <c r="N1647" s="32" t="n"/>
      <c r="O1647" s="30" t="n"/>
      <c r="P1647" s="32" t="n"/>
      <c r="Q1647" s="30" t="n"/>
      <c r="R1647" s="32" t="n"/>
      <c r="S1647" s="30" t="n"/>
      <c r="T1647" s="30" t="n"/>
      <c r="U1647" s="30" t="n"/>
      <c r="V1647" s="30" t="n"/>
      <c r="W1647" s="29">
        <f>IF(H1647="","",IF(H1647="Kenya","Yes","No"))</f>
        <v/>
      </c>
      <c r="X1647" s="29">
        <f>IF(B1647="","",IF(COUNTIF($B$5:$B$3004,B1647)&gt;1,"DUPLICATE","OK"))</f>
        <v/>
      </c>
      <c r="Y1647" s="29">
        <f>IF(OR(U1647="",V1647="",V1647="Excluded"),"",IF(COUNTIFS($U$5:$U$3004,U1647,$V$5:$V$3004,"&lt;&gt;"&amp;V1647,$V$5:$V$3004,"&lt;&gt;",$V$5:$V$3004,"&lt;&gt;Excluded")&gt;0,"LEAK RISK","OK"))</f>
        <v/>
      </c>
      <c r="Z1647" s="30" t="n"/>
    </row>
    <row r="1648">
      <c r="A1648" s="30" t="n"/>
      <c r="B1648" s="30" t="n"/>
      <c r="C1648" s="30" t="n"/>
      <c r="D1648" s="30" t="n"/>
      <c r="E1648" s="30" t="n"/>
      <c r="F1648" s="30" t="n"/>
      <c r="G1648" s="30" t="n"/>
      <c r="H1648" s="30" t="n"/>
      <c r="I1648" s="31" t="n"/>
      <c r="J1648" s="30" t="n"/>
      <c r="K1648" s="30" t="n"/>
      <c r="L1648" s="30" t="n"/>
      <c r="M1648" s="30" t="n"/>
      <c r="N1648" s="32" t="n"/>
      <c r="O1648" s="30" t="n"/>
      <c r="P1648" s="32" t="n"/>
      <c r="Q1648" s="30" t="n"/>
      <c r="R1648" s="32" t="n"/>
      <c r="S1648" s="30" t="n"/>
      <c r="T1648" s="30" t="n"/>
      <c r="U1648" s="30" t="n"/>
      <c r="V1648" s="30" t="n"/>
      <c r="W1648" s="29">
        <f>IF(H1648="","",IF(H1648="Kenya","Yes","No"))</f>
        <v/>
      </c>
      <c r="X1648" s="29">
        <f>IF(B1648="","",IF(COUNTIF($B$5:$B$3004,B1648)&gt;1,"DUPLICATE","OK"))</f>
        <v/>
      </c>
      <c r="Y1648" s="29">
        <f>IF(OR(U1648="",V1648="",V1648="Excluded"),"",IF(COUNTIFS($U$5:$U$3004,U1648,$V$5:$V$3004,"&lt;&gt;"&amp;V1648,$V$5:$V$3004,"&lt;&gt;",$V$5:$V$3004,"&lt;&gt;Excluded")&gt;0,"LEAK RISK","OK"))</f>
        <v/>
      </c>
      <c r="Z1648" s="30" t="n"/>
    </row>
    <row r="1649">
      <c r="A1649" s="30" t="n"/>
      <c r="B1649" s="30" t="n"/>
      <c r="C1649" s="30" t="n"/>
      <c r="D1649" s="30" t="n"/>
      <c r="E1649" s="30" t="n"/>
      <c r="F1649" s="30" t="n"/>
      <c r="G1649" s="30" t="n"/>
      <c r="H1649" s="30" t="n"/>
      <c r="I1649" s="31" t="n"/>
      <c r="J1649" s="30" t="n"/>
      <c r="K1649" s="30" t="n"/>
      <c r="L1649" s="30" t="n"/>
      <c r="M1649" s="30" t="n"/>
      <c r="N1649" s="32" t="n"/>
      <c r="O1649" s="30" t="n"/>
      <c r="P1649" s="32" t="n"/>
      <c r="Q1649" s="30" t="n"/>
      <c r="R1649" s="32" t="n"/>
      <c r="S1649" s="30" t="n"/>
      <c r="T1649" s="30" t="n"/>
      <c r="U1649" s="30" t="n"/>
      <c r="V1649" s="30" t="n"/>
      <c r="W1649" s="29">
        <f>IF(H1649="","",IF(H1649="Kenya","Yes","No"))</f>
        <v/>
      </c>
      <c r="X1649" s="29">
        <f>IF(B1649="","",IF(COUNTIF($B$5:$B$3004,B1649)&gt;1,"DUPLICATE","OK"))</f>
        <v/>
      </c>
      <c r="Y1649" s="29">
        <f>IF(OR(U1649="",V1649="",V1649="Excluded"),"",IF(COUNTIFS($U$5:$U$3004,U1649,$V$5:$V$3004,"&lt;&gt;"&amp;V1649,$V$5:$V$3004,"&lt;&gt;",$V$5:$V$3004,"&lt;&gt;Excluded")&gt;0,"LEAK RISK","OK"))</f>
        <v/>
      </c>
      <c r="Z1649" s="30" t="n"/>
    </row>
    <row r="1650">
      <c r="A1650" s="30" t="n"/>
      <c r="B1650" s="30" t="n"/>
      <c r="C1650" s="30" t="n"/>
      <c r="D1650" s="30" t="n"/>
      <c r="E1650" s="30" t="n"/>
      <c r="F1650" s="30" t="n"/>
      <c r="G1650" s="30" t="n"/>
      <c r="H1650" s="30" t="n"/>
      <c r="I1650" s="31" t="n"/>
      <c r="J1650" s="30" t="n"/>
      <c r="K1650" s="30" t="n"/>
      <c r="L1650" s="30" t="n"/>
      <c r="M1650" s="30" t="n"/>
      <c r="N1650" s="32" t="n"/>
      <c r="O1650" s="30" t="n"/>
      <c r="P1650" s="32" t="n"/>
      <c r="Q1650" s="30" t="n"/>
      <c r="R1650" s="32" t="n"/>
      <c r="S1650" s="30" t="n"/>
      <c r="T1650" s="30" t="n"/>
      <c r="U1650" s="30" t="n"/>
      <c r="V1650" s="30" t="n"/>
      <c r="W1650" s="29">
        <f>IF(H1650="","",IF(H1650="Kenya","Yes","No"))</f>
        <v/>
      </c>
      <c r="X1650" s="29">
        <f>IF(B1650="","",IF(COUNTIF($B$5:$B$3004,B1650)&gt;1,"DUPLICATE","OK"))</f>
        <v/>
      </c>
      <c r="Y1650" s="29">
        <f>IF(OR(U1650="",V1650="",V1650="Excluded"),"",IF(COUNTIFS($U$5:$U$3004,U1650,$V$5:$V$3004,"&lt;&gt;"&amp;V1650,$V$5:$V$3004,"&lt;&gt;",$V$5:$V$3004,"&lt;&gt;Excluded")&gt;0,"LEAK RISK","OK"))</f>
        <v/>
      </c>
      <c r="Z1650" s="30" t="n"/>
    </row>
    <row r="1651">
      <c r="A1651" s="30" t="n"/>
      <c r="B1651" s="30" t="n"/>
      <c r="C1651" s="30" t="n"/>
      <c r="D1651" s="30" t="n"/>
      <c r="E1651" s="30" t="n"/>
      <c r="F1651" s="30" t="n"/>
      <c r="G1651" s="30" t="n"/>
      <c r="H1651" s="30" t="n"/>
      <c r="I1651" s="31" t="n"/>
      <c r="J1651" s="30" t="n"/>
      <c r="K1651" s="30" t="n"/>
      <c r="L1651" s="30" t="n"/>
      <c r="M1651" s="30" t="n"/>
      <c r="N1651" s="32" t="n"/>
      <c r="O1651" s="30" t="n"/>
      <c r="P1651" s="32" t="n"/>
      <c r="Q1651" s="30" t="n"/>
      <c r="R1651" s="32" t="n"/>
      <c r="S1651" s="30" t="n"/>
      <c r="T1651" s="30" t="n"/>
      <c r="U1651" s="30" t="n"/>
      <c r="V1651" s="30" t="n"/>
      <c r="W1651" s="29">
        <f>IF(H1651="","",IF(H1651="Kenya","Yes","No"))</f>
        <v/>
      </c>
      <c r="X1651" s="29">
        <f>IF(B1651="","",IF(COUNTIF($B$5:$B$3004,B1651)&gt;1,"DUPLICATE","OK"))</f>
        <v/>
      </c>
      <c r="Y1651" s="29">
        <f>IF(OR(U1651="",V1651="",V1651="Excluded"),"",IF(COUNTIFS($U$5:$U$3004,U1651,$V$5:$V$3004,"&lt;&gt;"&amp;V1651,$V$5:$V$3004,"&lt;&gt;",$V$5:$V$3004,"&lt;&gt;Excluded")&gt;0,"LEAK RISK","OK"))</f>
        <v/>
      </c>
      <c r="Z1651" s="30" t="n"/>
    </row>
    <row r="1652">
      <c r="A1652" s="30" t="n"/>
      <c r="B1652" s="30" t="n"/>
      <c r="C1652" s="30" t="n"/>
      <c r="D1652" s="30" t="n"/>
      <c r="E1652" s="30" t="n"/>
      <c r="F1652" s="30" t="n"/>
      <c r="G1652" s="30" t="n"/>
      <c r="H1652" s="30" t="n"/>
      <c r="I1652" s="31" t="n"/>
      <c r="J1652" s="30" t="n"/>
      <c r="K1652" s="30" t="n"/>
      <c r="L1652" s="30" t="n"/>
      <c r="M1652" s="30" t="n"/>
      <c r="N1652" s="32" t="n"/>
      <c r="O1652" s="30" t="n"/>
      <c r="P1652" s="32" t="n"/>
      <c r="Q1652" s="30" t="n"/>
      <c r="R1652" s="32" t="n"/>
      <c r="S1652" s="30" t="n"/>
      <c r="T1652" s="30" t="n"/>
      <c r="U1652" s="30" t="n"/>
      <c r="V1652" s="30" t="n"/>
      <c r="W1652" s="29">
        <f>IF(H1652="","",IF(H1652="Kenya","Yes","No"))</f>
        <v/>
      </c>
      <c r="X1652" s="29">
        <f>IF(B1652="","",IF(COUNTIF($B$5:$B$3004,B1652)&gt;1,"DUPLICATE","OK"))</f>
        <v/>
      </c>
      <c r="Y1652" s="29">
        <f>IF(OR(U1652="",V1652="",V1652="Excluded"),"",IF(COUNTIFS($U$5:$U$3004,U1652,$V$5:$V$3004,"&lt;&gt;"&amp;V1652,$V$5:$V$3004,"&lt;&gt;",$V$5:$V$3004,"&lt;&gt;Excluded")&gt;0,"LEAK RISK","OK"))</f>
        <v/>
      </c>
      <c r="Z1652" s="30" t="n"/>
    </row>
    <row r="1653">
      <c r="A1653" s="30" t="n"/>
      <c r="B1653" s="30" t="n"/>
      <c r="C1653" s="30" t="n"/>
      <c r="D1653" s="30" t="n"/>
      <c r="E1653" s="30" t="n"/>
      <c r="F1653" s="30" t="n"/>
      <c r="G1653" s="30" t="n"/>
      <c r="H1653" s="30" t="n"/>
      <c r="I1653" s="31" t="n"/>
      <c r="J1653" s="30" t="n"/>
      <c r="K1653" s="30" t="n"/>
      <c r="L1653" s="30" t="n"/>
      <c r="M1653" s="30" t="n"/>
      <c r="N1653" s="32" t="n"/>
      <c r="O1653" s="30" t="n"/>
      <c r="P1653" s="32" t="n"/>
      <c r="Q1653" s="30" t="n"/>
      <c r="R1653" s="32" t="n"/>
      <c r="S1653" s="30" t="n"/>
      <c r="T1653" s="30" t="n"/>
      <c r="U1653" s="30" t="n"/>
      <c r="V1653" s="30" t="n"/>
      <c r="W1653" s="29">
        <f>IF(H1653="","",IF(H1653="Kenya","Yes","No"))</f>
        <v/>
      </c>
      <c r="X1653" s="29">
        <f>IF(B1653="","",IF(COUNTIF($B$5:$B$3004,B1653)&gt;1,"DUPLICATE","OK"))</f>
        <v/>
      </c>
      <c r="Y1653" s="29">
        <f>IF(OR(U1653="",V1653="",V1653="Excluded"),"",IF(COUNTIFS($U$5:$U$3004,U1653,$V$5:$V$3004,"&lt;&gt;"&amp;V1653,$V$5:$V$3004,"&lt;&gt;",$V$5:$V$3004,"&lt;&gt;Excluded")&gt;0,"LEAK RISK","OK"))</f>
        <v/>
      </c>
      <c r="Z1653" s="30" t="n"/>
    </row>
    <row r="1654">
      <c r="A1654" s="30" t="n"/>
      <c r="B1654" s="30" t="n"/>
      <c r="C1654" s="30" t="n"/>
      <c r="D1654" s="30" t="n"/>
      <c r="E1654" s="30" t="n"/>
      <c r="F1654" s="30" t="n"/>
      <c r="G1654" s="30" t="n"/>
      <c r="H1654" s="30" t="n"/>
      <c r="I1654" s="31" t="n"/>
      <c r="J1654" s="30" t="n"/>
      <c r="K1654" s="30" t="n"/>
      <c r="L1654" s="30" t="n"/>
      <c r="M1654" s="30" t="n"/>
      <c r="N1654" s="32" t="n"/>
      <c r="O1654" s="30" t="n"/>
      <c r="P1654" s="32" t="n"/>
      <c r="Q1654" s="30" t="n"/>
      <c r="R1654" s="32" t="n"/>
      <c r="S1654" s="30" t="n"/>
      <c r="T1654" s="30" t="n"/>
      <c r="U1654" s="30" t="n"/>
      <c r="V1654" s="30" t="n"/>
      <c r="W1654" s="29">
        <f>IF(H1654="","",IF(H1654="Kenya","Yes","No"))</f>
        <v/>
      </c>
      <c r="X1654" s="29">
        <f>IF(B1654="","",IF(COUNTIF($B$5:$B$3004,B1654)&gt;1,"DUPLICATE","OK"))</f>
        <v/>
      </c>
      <c r="Y1654" s="29">
        <f>IF(OR(U1654="",V1654="",V1654="Excluded"),"",IF(COUNTIFS($U$5:$U$3004,U1654,$V$5:$V$3004,"&lt;&gt;"&amp;V1654,$V$5:$V$3004,"&lt;&gt;",$V$5:$V$3004,"&lt;&gt;Excluded")&gt;0,"LEAK RISK","OK"))</f>
        <v/>
      </c>
      <c r="Z1654" s="30" t="n"/>
    </row>
    <row r="1655">
      <c r="A1655" s="30" t="n"/>
      <c r="B1655" s="30" t="n"/>
      <c r="C1655" s="30" t="n"/>
      <c r="D1655" s="30" t="n"/>
      <c r="E1655" s="30" t="n"/>
      <c r="F1655" s="30" t="n"/>
      <c r="G1655" s="30" t="n"/>
      <c r="H1655" s="30" t="n"/>
      <c r="I1655" s="31" t="n"/>
      <c r="J1655" s="30" t="n"/>
      <c r="K1655" s="30" t="n"/>
      <c r="L1655" s="30" t="n"/>
      <c r="M1655" s="30" t="n"/>
      <c r="N1655" s="32" t="n"/>
      <c r="O1655" s="30" t="n"/>
      <c r="P1655" s="32" t="n"/>
      <c r="Q1655" s="30" t="n"/>
      <c r="R1655" s="32" t="n"/>
      <c r="S1655" s="30" t="n"/>
      <c r="T1655" s="30" t="n"/>
      <c r="U1655" s="30" t="n"/>
      <c r="V1655" s="30" t="n"/>
      <c r="W1655" s="29">
        <f>IF(H1655="","",IF(H1655="Kenya","Yes","No"))</f>
        <v/>
      </c>
      <c r="X1655" s="29">
        <f>IF(B1655="","",IF(COUNTIF($B$5:$B$3004,B1655)&gt;1,"DUPLICATE","OK"))</f>
        <v/>
      </c>
      <c r="Y1655" s="29">
        <f>IF(OR(U1655="",V1655="",V1655="Excluded"),"",IF(COUNTIFS($U$5:$U$3004,U1655,$V$5:$V$3004,"&lt;&gt;"&amp;V1655,$V$5:$V$3004,"&lt;&gt;",$V$5:$V$3004,"&lt;&gt;Excluded")&gt;0,"LEAK RISK","OK"))</f>
        <v/>
      </c>
      <c r="Z1655" s="30" t="n"/>
    </row>
    <row r="1656">
      <c r="A1656" s="30" t="n"/>
      <c r="B1656" s="30" t="n"/>
      <c r="C1656" s="30" t="n"/>
      <c r="D1656" s="30" t="n"/>
      <c r="E1656" s="30" t="n"/>
      <c r="F1656" s="30" t="n"/>
      <c r="G1656" s="30" t="n"/>
      <c r="H1656" s="30" t="n"/>
      <c r="I1656" s="31" t="n"/>
      <c r="J1656" s="30" t="n"/>
      <c r="K1656" s="30" t="n"/>
      <c r="L1656" s="30" t="n"/>
      <c r="M1656" s="30" t="n"/>
      <c r="N1656" s="32" t="n"/>
      <c r="O1656" s="30" t="n"/>
      <c r="P1656" s="32" t="n"/>
      <c r="Q1656" s="30" t="n"/>
      <c r="R1656" s="32" t="n"/>
      <c r="S1656" s="30" t="n"/>
      <c r="T1656" s="30" t="n"/>
      <c r="U1656" s="30" t="n"/>
      <c r="V1656" s="30" t="n"/>
      <c r="W1656" s="29">
        <f>IF(H1656="","",IF(H1656="Kenya","Yes","No"))</f>
        <v/>
      </c>
      <c r="X1656" s="29">
        <f>IF(B1656="","",IF(COUNTIF($B$5:$B$3004,B1656)&gt;1,"DUPLICATE","OK"))</f>
        <v/>
      </c>
      <c r="Y1656" s="29">
        <f>IF(OR(U1656="",V1656="",V1656="Excluded"),"",IF(COUNTIFS($U$5:$U$3004,U1656,$V$5:$V$3004,"&lt;&gt;"&amp;V1656,$V$5:$V$3004,"&lt;&gt;",$V$5:$V$3004,"&lt;&gt;Excluded")&gt;0,"LEAK RISK","OK"))</f>
        <v/>
      </c>
      <c r="Z1656" s="30" t="n"/>
    </row>
    <row r="1657">
      <c r="A1657" s="30" t="n"/>
      <c r="B1657" s="30" t="n"/>
      <c r="C1657" s="30" t="n"/>
      <c r="D1657" s="30" t="n"/>
      <c r="E1657" s="30" t="n"/>
      <c r="F1657" s="30" t="n"/>
      <c r="G1657" s="30" t="n"/>
      <c r="H1657" s="30" t="n"/>
      <c r="I1657" s="31" t="n"/>
      <c r="J1657" s="30" t="n"/>
      <c r="K1657" s="30" t="n"/>
      <c r="L1657" s="30" t="n"/>
      <c r="M1657" s="30" t="n"/>
      <c r="N1657" s="32" t="n"/>
      <c r="O1657" s="30" t="n"/>
      <c r="P1657" s="32" t="n"/>
      <c r="Q1657" s="30" t="n"/>
      <c r="R1657" s="32" t="n"/>
      <c r="S1657" s="30" t="n"/>
      <c r="T1657" s="30" t="n"/>
      <c r="U1657" s="30" t="n"/>
      <c r="V1657" s="30" t="n"/>
      <c r="W1657" s="29">
        <f>IF(H1657="","",IF(H1657="Kenya","Yes","No"))</f>
        <v/>
      </c>
      <c r="X1657" s="29">
        <f>IF(B1657="","",IF(COUNTIF($B$5:$B$3004,B1657)&gt;1,"DUPLICATE","OK"))</f>
        <v/>
      </c>
      <c r="Y1657" s="29">
        <f>IF(OR(U1657="",V1657="",V1657="Excluded"),"",IF(COUNTIFS($U$5:$U$3004,U1657,$V$5:$V$3004,"&lt;&gt;"&amp;V1657,$V$5:$V$3004,"&lt;&gt;",$V$5:$V$3004,"&lt;&gt;Excluded")&gt;0,"LEAK RISK","OK"))</f>
        <v/>
      </c>
      <c r="Z1657" s="30" t="n"/>
    </row>
    <row r="1658">
      <c r="A1658" s="30" t="n"/>
      <c r="B1658" s="30" t="n"/>
      <c r="C1658" s="30" t="n"/>
      <c r="D1658" s="30" t="n"/>
      <c r="E1658" s="30" t="n"/>
      <c r="F1658" s="30" t="n"/>
      <c r="G1658" s="30" t="n"/>
      <c r="H1658" s="30" t="n"/>
      <c r="I1658" s="31" t="n"/>
      <c r="J1658" s="30" t="n"/>
      <c r="K1658" s="30" t="n"/>
      <c r="L1658" s="30" t="n"/>
      <c r="M1658" s="30" t="n"/>
      <c r="N1658" s="32" t="n"/>
      <c r="O1658" s="30" t="n"/>
      <c r="P1658" s="32" t="n"/>
      <c r="Q1658" s="30" t="n"/>
      <c r="R1658" s="32" t="n"/>
      <c r="S1658" s="30" t="n"/>
      <c r="T1658" s="30" t="n"/>
      <c r="U1658" s="30" t="n"/>
      <c r="V1658" s="30" t="n"/>
      <c r="W1658" s="29">
        <f>IF(H1658="","",IF(H1658="Kenya","Yes","No"))</f>
        <v/>
      </c>
      <c r="X1658" s="29">
        <f>IF(B1658="","",IF(COUNTIF($B$5:$B$3004,B1658)&gt;1,"DUPLICATE","OK"))</f>
        <v/>
      </c>
      <c r="Y1658" s="29">
        <f>IF(OR(U1658="",V1658="",V1658="Excluded"),"",IF(COUNTIFS($U$5:$U$3004,U1658,$V$5:$V$3004,"&lt;&gt;"&amp;V1658,$V$5:$V$3004,"&lt;&gt;",$V$5:$V$3004,"&lt;&gt;Excluded")&gt;0,"LEAK RISK","OK"))</f>
        <v/>
      </c>
      <c r="Z1658" s="30" t="n"/>
    </row>
    <row r="1659">
      <c r="A1659" s="30" t="n"/>
      <c r="B1659" s="30" t="n"/>
      <c r="C1659" s="30" t="n"/>
      <c r="D1659" s="30" t="n"/>
      <c r="E1659" s="30" t="n"/>
      <c r="F1659" s="30" t="n"/>
      <c r="G1659" s="30" t="n"/>
      <c r="H1659" s="30" t="n"/>
      <c r="I1659" s="31" t="n"/>
      <c r="J1659" s="30" t="n"/>
      <c r="K1659" s="30" t="n"/>
      <c r="L1659" s="30" t="n"/>
      <c r="M1659" s="30" t="n"/>
      <c r="N1659" s="32" t="n"/>
      <c r="O1659" s="30" t="n"/>
      <c r="P1659" s="32" t="n"/>
      <c r="Q1659" s="30" t="n"/>
      <c r="R1659" s="32" t="n"/>
      <c r="S1659" s="30" t="n"/>
      <c r="T1659" s="30" t="n"/>
      <c r="U1659" s="30" t="n"/>
      <c r="V1659" s="30" t="n"/>
      <c r="W1659" s="29">
        <f>IF(H1659="","",IF(H1659="Kenya","Yes","No"))</f>
        <v/>
      </c>
      <c r="X1659" s="29">
        <f>IF(B1659="","",IF(COUNTIF($B$5:$B$3004,B1659)&gt;1,"DUPLICATE","OK"))</f>
        <v/>
      </c>
      <c r="Y1659" s="29">
        <f>IF(OR(U1659="",V1659="",V1659="Excluded"),"",IF(COUNTIFS($U$5:$U$3004,U1659,$V$5:$V$3004,"&lt;&gt;"&amp;V1659,$V$5:$V$3004,"&lt;&gt;",$V$5:$V$3004,"&lt;&gt;Excluded")&gt;0,"LEAK RISK","OK"))</f>
        <v/>
      </c>
      <c r="Z1659" s="30" t="n"/>
    </row>
    <row r="1660">
      <c r="A1660" s="30" t="n"/>
      <c r="B1660" s="30" t="n"/>
      <c r="C1660" s="30" t="n"/>
      <c r="D1660" s="30" t="n"/>
      <c r="E1660" s="30" t="n"/>
      <c r="F1660" s="30" t="n"/>
      <c r="G1660" s="30" t="n"/>
      <c r="H1660" s="30" t="n"/>
      <c r="I1660" s="31" t="n"/>
      <c r="J1660" s="30" t="n"/>
      <c r="K1660" s="30" t="n"/>
      <c r="L1660" s="30" t="n"/>
      <c r="M1660" s="30" t="n"/>
      <c r="N1660" s="32" t="n"/>
      <c r="O1660" s="30" t="n"/>
      <c r="P1660" s="32" t="n"/>
      <c r="Q1660" s="30" t="n"/>
      <c r="R1660" s="32" t="n"/>
      <c r="S1660" s="30" t="n"/>
      <c r="T1660" s="30" t="n"/>
      <c r="U1660" s="30" t="n"/>
      <c r="V1660" s="30" t="n"/>
      <c r="W1660" s="29">
        <f>IF(H1660="","",IF(H1660="Kenya","Yes","No"))</f>
        <v/>
      </c>
      <c r="X1660" s="29">
        <f>IF(B1660="","",IF(COUNTIF($B$5:$B$3004,B1660)&gt;1,"DUPLICATE","OK"))</f>
        <v/>
      </c>
      <c r="Y1660" s="29">
        <f>IF(OR(U1660="",V1660="",V1660="Excluded"),"",IF(COUNTIFS($U$5:$U$3004,U1660,$V$5:$V$3004,"&lt;&gt;"&amp;V1660,$V$5:$V$3004,"&lt;&gt;",$V$5:$V$3004,"&lt;&gt;Excluded")&gt;0,"LEAK RISK","OK"))</f>
        <v/>
      </c>
      <c r="Z1660" s="30" t="n"/>
    </row>
    <row r="1661">
      <c r="A1661" s="30" t="n"/>
      <c r="B1661" s="30" t="n"/>
      <c r="C1661" s="30" t="n"/>
      <c r="D1661" s="30" t="n"/>
      <c r="E1661" s="30" t="n"/>
      <c r="F1661" s="30" t="n"/>
      <c r="G1661" s="30" t="n"/>
      <c r="H1661" s="30" t="n"/>
      <c r="I1661" s="31" t="n"/>
      <c r="J1661" s="30" t="n"/>
      <c r="K1661" s="30" t="n"/>
      <c r="L1661" s="30" t="n"/>
      <c r="M1661" s="30" t="n"/>
      <c r="N1661" s="32" t="n"/>
      <c r="O1661" s="30" t="n"/>
      <c r="P1661" s="32" t="n"/>
      <c r="Q1661" s="30" t="n"/>
      <c r="R1661" s="32" t="n"/>
      <c r="S1661" s="30" t="n"/>
      <c r="T1661" s="30" t="n"/>
      <c r="U1661" s="30" t="n"/>
      <c r="V1661" s="30" t="n"/>
      <c r="W1661" s="29">
        <f>IF(H1661="","",IF(H1661="Kenya","Yes","No"))</f>
        <v/>
      </c>
      <c r="X1661" s="29">
        <f>IF(B1661="","",IF(COUNTIF($B$5:$B$3004,B1661)&gt;1,"DUPLICATE","OK"))</f>
        <v/>
      </c>
      <c r="Y1661" s="29">
        <f>IF(OR(U1661="",V1661="",V1661="Excluded"),"",IF(COUNTIFS($U$5:$U$3004,U1661,$V$5:$V$3004,"&lt;&gt;"&amp;V1661,$V$5:$V$3004,"&lt;&gt;",$V$5:$V$3004,"&lt;&gt;Excluded")&gt;0,"LEAK RISK","OK"))</f>
        <v/>
      </c>
      <c r="Z1661" s="30" t="n"/>
    </row>
    <row r="1662">
      <c r="A1662" s="30" t="n"/>
      <c r="B1662" s="30" t="n"/>
      <c r="C1662" s="30" t="n"/>
      <c r="D1662" s="30" t="n"/>
      <c r="E1662" s="30" t="n"/>
      <c r="F1662" s="30" t="n"/>
      <c r="G1662" s="30" t="n"/>
      <c r="H1662" s="30" t="n"/>
      <c r="I1662" s="31" t="n"/>
      <c r="J1662" s="30" t="n"/>
      <c r="K1662" s="30" t="n"/>
      <c r="L1662" s="30" t="n"/>
      <c r="M1662" s="30" t="n"/>
      <c r="N1662" s="32" t="n"/>
      <c r="O1662" s="30" t="n"/>
      <c r="P1662" s="32" t="n"/>
      <c r="Q1662" s="30" t="n"/>
      <c r="R1662" s="32" t="n"/>
      <c r="S1662" s="30" t="n"/>
      <c r="T1662" s="30" t="n"/>
      <c r="U1662" s="30" t="n"/>
      <c r="V1662" s="30" t="n"/>
      <c r="W1662" s="29">
        <f>IF(H1662="","",IF(H1662="Kenya","Yes","No"))</f>
        <v/>
      </c>
      <c r="X1662" s="29">
        <f>IF(B1662="","",IF(COUNTIF($B$5:$B$3004,B1662)&gt;1,"DUPLICATE","OK"))</f>
        <v/>
      </c>
      <c r="Y1662" s="29">
        <f>IF(OR(U1662="",V1662="",V1662="Excluded"),"",IF(COUNTIFS($U$5:$U$3004,U1662,$V$5:$V$3004,"&lt;&gt;"&amp;V1662,$V$5:$V$3004,"&lt;&gt;",$V$5:$V$3004,"&lt;&gt;Excluded")&gt;0,"LEAK RISK","OK"))</f>
        <v/>
      </c>
      <c r="Z1662" s="30" t="n"/>
    </row>
    <row r="1663">
      <c r="A1663" s="30" t="n"/>
      <c r="B1663" s="30" t="n"/>
      <c r="C1663" s="30" t="n"/>
      <c r="D1663" s="30" t="n"/>
      <c r="E1663" s="30" t="n"/>
      <c r="F1663" s="30" t="n"/>
      <c r="G1663" s="30" t="n"/>
      <c r="H1663" s="30" t="n"/>
      <c r="I1663" s="31" t="n"/>
      <c r="J1663" s="30" t="n"/>
      <c r="K1663" s="30" t="n"/>
      <c r="L1663" s="30" t="n"/>
      <c r="M1663" s="30" t="n"/>
      <c r="N1663" s="32" t="n"/>
      <c r="O1663" s="30" t="n"/>
      <c r="P1663" s="32" t="n"/>
      <c r="Q1663" s="30" t="n"/>
      <c r="R1663" s="32" t="n"/>
      <c r="S1663" s="30" t="n"/>
      <c r="T1663" s="30" t="n"/>
      <c r="U1663" s="30" t="n"/>
      <c r="V1663" s="30" t="n"/>
      <c r="W1663" s="29">
        <f>IF(H1663="","",IF(H1663="Kenya","Yes","No"))</f>
        <v/>
      </c>
      <c r="X1663" s="29">
        <f>IF(B1663="","",IF(COUNTIF($B$5:$B$3004,B1663)&gt;1,"DUPLICATE","OK"))</f>
        <v/>
      </c>
      <c r="Y1663" s="29">
        <f>IF(OR(U1663="",V1663="",V1663="Excluded"),"",IF(COUNTIFS($U$5:$U$3004,U1663,$V$5:$V$3004,"&lt;&gt;"&amp;V1663,$V$5:$V$3004,"&lt;&gt;",$V$5:$V$3004,"&lt;&gt;Excluded")&gt;0,"LEAK RISK","OK"))</f>
        <v/>
      </c>
      <c r="Z1663" s="30" t="n"/>
    </row>
    <row r="1664">
      <c r="A1664" s="30" t="n"/>
      <c r="B1664" s="30" t="n"/>
      <c r="C1664" s="30" t="n"/>
      <c r="D1664" s="30" t="n"/>
      <c r="E1664" s="30" t="n"/>
      <c r="F1664" s="30" t="n"/>
      <c r="G1664" s="30" t="n"/>
      <c r="H1664" s="30" t="n"/>
      <c r="I1664" s="31" t="n"/>
      <c r="J1664" s="30" t="n"/>
      <c r="K1664" s="30" t="n"/>
      <c r="L1664" s="30" t="n"/>
      <c r="M1664" s="30" t="n"/>
      <c r="N1664" s="32" t="n"/>
      <c r="O1664" s="30" t="n"/>
      <c r="P1664" s="32" t="n"/>
      <c r="Q1664" s="30" t="n"/>
      <c r="R1664" s="32" t="n"/>
      <c r="S1664" s="30" t="n"/>
      <c r="T1664" s="30" t="n"/>
      <c r="U1664" s="30" t="n"/>
      <c r="V1664" s="30" t="n"/>
      <c r="W1664" s="29">
        <f>IF(H1664="","",IF(H1664="Kenya","Yes","No"))</f>
        <v/>
      </c>
      <c r="X1664" s="29">
        <f>IF(B1664="","",IF(COUNTIF($B$5:$B$3004,B1664)&gt;1,"DUPLICATE","OK"))</f>
        <v/>
      </c>
      <c r="Y1664" s="29">
        <f>IF(OR(U1664="",V1664="",V1664="Excluded"),"",IF(COUNTIFS($U$5:$U$3004,U1664,$V$5:$V$3004,"&lt;&gt;"&amp;V1664,$V$5:$V$3004,"&lt;&gt;",$V$5:$V$3004,"&lt;&gt;Excluded")&gt;0,"LEAK RISK","OK"))</f>
        <v/>
      </c>
      <c r="Z1664" s="30" t="n"/>
    </row>
    <row r="1665">
      <c r="A1665" s="30" t="n"/>
      <c r="B1665" s="30" t="n"/>
      <c r="C1665" s="30" t="n"/>
      <c r="D1665" s="30" t="n"/>
      <c r="E1665" s="30" t="n"/>
      <c r="F1665" s="30" t="n"/>
      <c r="G1665" s="30" t="n"/>
      <c r="H1665" s="30" t="n"/>
      <c r="I1665" s="31" t="n"/>
      <c r="J1665" s="30" t="n"/>
      <c r="K1665" s="30" t="n"/>
      <c r="L1665" s="30" t="n"/>
      <c r="M1665" s="30" t="n"/>
      <c r="N1665" s="32" t="n"/>
      <c r="O1665" s="30" t="n"/>
      <c r="P1665" s="32" t="n"/>
      <c r="Q1665" s="30" t="n"/>
      <c r="R1665" s="32" t="n"/>
      <c r="S1665" s="30" t="n"/>
      <c r="T1665" s="30" t="n"/>
      <c r="U1665" s="30" t="n"/>
      <c r="V1665" s="30" t="n"/>
      <c r="W1665" s="29">
        <f>IF(H1665="","",IF(H1665="Kenya","Yes","No"))</f>
        <v/>
      </c>
      <c r="X1665" s="29">
        <f>IF(B1665="","",IF(COUNTIF($B$5:$B$3004,B1665)&gt;1,"DUPLICATE","OK"))</f>
        <v/>
      </c>
      <c r="Y1665" s="29">
        <f>IF(OR(U1665="",V1665="",V1665="Excluded"),"",IF(COUNTIFS($U$5:$U$3004,U1665,$V$5:$V$3004,"&lt;&gt;"&amp;V1665,$V$5:$V$3004,"&lt;&gt;",$V$5:$V$3004,"&lt;&gt;Excluded")&gt;0,"LEAK RISK","OK"))</f>
        <v/>
      </c>
      <c r="Z1665" s="30" t="n"/>
    </row>
    <row r="1666">
      <c r="A1666" s="30" t="n"/>
      <c r="B1666" s="30" t="n"/>
      <c r="C1666" s="30" t="n"/>
      <c r="D1666" s="30" t="n"/>
      <c r="E1666" s="30" t="n"/>
      <c r="F1666" s="30" t="n"/>
      <c r="G1666" s="30" t="n"/>
      <c r="H1666" s="30" t="n"/>
      <c r="I1666" s="31" t="n"/>
      <c r="J1666" s="30" t="n"/>
      <c r="K1666" s="30" t="n"/>
      <c r="L1666" s="30" t="n"/>
      <c r="M1666" s="30" t="n"/>
      <c r="N1666" s="32" t="n"/>
      <c r="O1666" s="30" t="n"/>
      <c r="P1666" s="32" t="n"/>
      <c r="Q1666" s="30" t="n"/>
      <c r="R1666" s="32" t="n"/>
      <c r="S1666" s="30" t="n"/>
      <c r="T1666" s="30" t="n"/>
      <c r="U1666" s="30" t="n"/>
      <c r="V1666" s="30" t="n"/>
      <c r="W1666" s="29">
        <f>IF(H1666="","",IF(H1666="Kenya","Yes","No"))</f>
        <v/>
      </c>
      <c r="X1666" s="29">
        <f>IF(B1666="","",IF(COUNTIF($B$5:$B$3004,B1666)&gt;1,"DUPLICATE","OK"))</f>
        <v/>
      </c>
      <c r="Y1666" s="29">
        <f>IF(OR(U1666="",V1666="",V1666="Excluded"),"",IF(COUNTIFS($U$5:$U$3004,U1666,$V$5:$V$3004,"&lt;&gt;"&amp;V1666,$V$5:$V$3004,"&lt;&gt;",$V$5:$V$3004,"&lt;&gt;Excluded")&gt;0,"LEAK RISK","OK"))</f>
        <v/>
      </c>
      <c r="Z1666" s="30" t="n"/>
    </row>
    <row r="1667">
      <c r="A1667" s="30" t="n"/>
      <c r="B1667" s="30" t="n"/>
      <c r="C1667" s="30" t="n"/>
      <c r="D1667" s="30" t="n"/>
      <c r="E1667" s="30" t="n"/>
      <c r="F1667" s="30" t="n"/>
      <c r="G1667" s="30" t="n"/>
      <c r="H1667" s="30" t="n"/>
      <c r="I1667" s="31" t="n"/>
      <c r="J1667" s="30" t="n"/>
      <c r="K1667" s="30" t="n"/>
      <c r="L1667" s="30" t="n"/>
      <c r="M1667" s="30" t="n"/>
      <c r="N1667" s="32" t="n"/>
      <c r="O1667" s="30" t="n"/>
      <c r="P1667" s="32" t="n"/>
      <c r="Q1667" s="30" t="n"/>
      <c r="R1667" s="32" t="n"/>
      <c r="S1667" s="30" t="n"/>
      <c r="T1667" s="30" t="n"/>
      <c r="U1667" s="30" t="n"/>
      <c r="V1667" s="30" t="n"/>
      <c r="W1667" s="29">
        <f>IF(H1667="","",IF(H1667="Kenya","Yes","No"))</f>
        <v/>
      </c>
      <c r="X1667" s="29">
        <f>IF(B1667="","",IF(COUNTIF($B$5:$B$3004,B1667)&gt;1,"DUPLICATE","OK"))</f>
        <v/>
      </c>
      <c r="Y1667" s="29">
        <f>IF(OR(U1667="",V1667="",V1667="Excluded"),"",IF(COUNTIFS($U$5:$U$3004,U1667,$V$5:$V$3004,"&lt;&gt;"&amp;V1667,$V$5:$V$3004,"&lt;&gt;",$V$5:$V$3004,"&lt;&gt;Excluded")&gt;0,"LEAK RISK","OK"))</f>
        <v/>
      </c>
      <c r="Z1667" s="30" t="n"/>
    </row>
    <row r="1668">
      <c r="A1668" s="30" t="n"/>
      <c r="B1668" s="30" t="n"/>
      <c r="C1668" s="30" t="n"/>
      <c r="D1668" s="30" t="n"/>
      <c r="E1668" s="30" t="n"/>
      <c r="F1668" s="30" t="n"/>
      <c r="G1668" s="30" t="n"/>
      <c r="H1668" s="30" t="n"/>
      <c r="I1668" s="31" t="n"/>
      <c r="J1668" s="30" t="n"/>
      <c r="K1668" s="30" t="n"/>
      <c r="L1668" s="30" t="n"/>
      <c r="M1668" s="30" t="n"/>
      <c r="N1668" s="32" t="n"/>
      <c r="O1668" s="30" t="n"/>
      <c r="P1668" s="32" t="n"/>
      <c r="Q1668" s="30" t="n"/>
      <c r="R1668" s="32" t="n"/>
      <c r="S1668" s="30" t="n"/>
      <c r="T1668" s="30" t="n"/>
      <c r="U1668" s="30" t="n"/>
      <c r="V1668" s="30" t="n"/>
      <c r="W1668" s="29">
        <f>IF(H1668="","",IF(H1668="Kenya","Yes","No"))</f>
        <v/>
      </c>
      <c r="X1668" s="29">
        <f>IF(B1668="","",IF(COUNTIF($B$5:$B$3004,B1668)&gt;1,"DUPLICATE","OK"))</f>
        <v/>
      </c>
      <c r="Y1668" s="29">
        <f>IF(OR(U1668="",V1668="",V1668="Excluded"),"",IF(COUNTIFS($U$5:$U$3004,U1668,$V$5:$V$3004,"&lt;&gt;"&amp;V1668,$V$5:$V$3004,"&lt;&gt;",$V$5:$V$3004,"&lt;&gt;Excluded")&gt;0,"LEAK RISK","OK"))</f>
        <v/>
      </c>
      <c r="Z1668" s="30" t="n"/>
    </row>
    <row r="1669">
      <c r="A1669" s="30" t="n"/>
      <c r="B1669" s="30" t="n"/>
      <c r="C1669" s="30" t="n"/>
      <c r="D1669" s="30" t="n"/>
      <c r="E1669" s="30" t="n"/>
      <c r="F1669" s="30" t="n"/>
      <c r="G1669" s="30" t="n"/>
      <c r="H1669" s="30" t="n"/>
      <c r="I1669" s="31" t="n"/>
      <c r="J1669" s="30" t="n"/>
      <c r="K1669" s="30" t="n"/>
      <c r="L1669" s="30" t="n"/>
      <c r="M1669" s="30" t="n"/>
      <c r="N1669" s="32" t="n"/>
      <c r="O1669" s="30" t="n"/>
      <c r="P1669" s="32" t="n"/>
      <c r="Q1669" s="30" t="n"/>
      <c r="R1669" s="32" t="n"/>
      <c r="S1669" s="30" t="n"/>
      <c r="T1669" s="30" t="n"/>
      <c r="U1669" s="30" t="n"/>
      <c r="V1669" s="30" t="n"/>
      <c r="W1669" s="29">
        <f>IF(H1669="","",IF(H1669="Kenya","Yes","No"))</f>
        <v/>
      </c>
      <c r="X1669" s="29">
        <f>IF(B1669="","",IF(COUNTIF($B$5:$B$3004,B1669)&gt;1,"DUPLICATE","OK"))</f>
        <v/>
      </c>
      <c r="Y1669" s="29">
        <f>IF(OR(U1669="",V1669="",V1669="Excluded"),"",IF(COUNTIFS($U$5:$U$3004,U1669,$V$5:$V$3004,"&lt;&gt;"&amp;V1669,$V$5:$V$3004,"&lt;&gt;",$V$5:$V$3004,"&lt;&gt;Excluded")&gt;0,"LEAK RISK","OK"))</f>
        <v/>
      </c>
      <c r="Z1669" s="30" t="n"/>
    </row>
    <row r="1670">
      <c r="A1670" s="30" t="n"/>
      <c r="B1670" s="30" t="n"/>
      <c r="C1670" s="30" t="n"/>
      <c r="D1670" s="30" t="n"/>
      <c r="E1670" s="30" t="n"/>
      <c r="F1670" s="30" t="n"/>
      <c r="G1670" s="30" t="n"/>
      <c r="H1670" s="30" t="n"/>
      <c r="I1670" s="31" t="n"/>
      <c r="J1670" s="30" t="n"/>
      <c r="K1670" s="30" t="n"/>
      <c r="L1670" s="30" t="n"/>
      <c r="M1670" s="30" t="n"/>
      <c r="N1670" s="32" t="n"/>
      <c r="O1670" s="30" t="n"/>
      <c r="P1670" s="32" t="n"/>
      <c r="Q1670" s="30" t="n"/>
      <c r="R1670" s="32" t="n"/>
      <c r="S1670" s="30" t="n"/>
      <c r="T1670" s="30" t="n"/>
      <c r="U1670" s="30" t="n"/>
      <c r="V1670" s="30" t="n"/>
      <c r="W1670" s="29">
        <f>IF(H1670="","",IF(H1670="Kenya","Yes","No"))</f>
        <v/>
      </c>
      <c r="X1670" s="29">
        <f>IF(B1670="","",IF(COUNTIF($B$5:$B$3004,B1670)&gt;1,"DUPLICATE","OK"))</f>
        <v/>
      </c>
      <c r="Y1670" s="29">
        <f>IF(OR(U1670="",V1670="",V1670="Excluded"),"",IF(COUNTIFS($U$5:$U$3004,U1670,$V$5:$V$3004,"&lt;&gt;"&amp;V1670,$V$5:$V$3004,"&lt;&gt;",$V$5:$V$3004,"&lt;&gt;Excluded")&gt;0,"LEAK RISK","OK"))</f>
        <v/>
      </c>
      <c r="Z1670" s="30" t="n"/>
    </row>
    <row r="1671">
      <c r="A1671" s="30" t="n"/>
      <c r="B1671" s="30" t="n"/>
      <c r="C1671" s="30" t="n"/>
      <c r="D1671" s="30" t="n"/>
      <c r="E1671" s="30" t="n"/>
      <c r="F1671" s="30" t="n"/>
      <c r="G1671" s="30" t="n"/>
      <c r="H1671" s="30" t="n"/>
      <c r="I1671" s="31" t="n"/>
      <c r="J1671" s="30" t="n"/>
      <c r="K1671" s="30" t="n"/>
      <c r="L1671" s="30" t="n"/>
      <c r="M1671" s="30" t="n"/>
      <c r="N1671" s="32" t="n"/>
      <c r="O1671" s="30" t="n"/>
      <c r="P1671" s="32" t="n"/>
      <c r="Q1671" s="30" t="n"/>
      <c r="R1671" s="32" t="n"/>
      <c r="S1671" s="30" t="n"/>
      <c r="T1671" s="30" t="n"/>
      <c r="U1671" s="30" t="n"/>
      <c r="V1671" s="30" t="n"/>
      <c r="W1671" s="29">
        <f>IF(H1671="","",IF(H1671="Kenya","Yes","No"))</f>
        <v/>
      </c>
      <c r="X1671" s="29">
        <f>IF(B1671="","",IF(COUNTIF($B$5:$B$3004,B1671)&gt;1,"DUPLICATE","OK"))</f>
        <v/>
      </c>
      <c r="Y1671" s="29">
        <f>IF(OR(U1671="",V1671="",V1671="Excluded"),"",IF(COUNTIFS($U$5:$U$3004,U1671,$V$5:$V$3004,"&lt;&gt;"&amp;V1671,$V$5:$V$3004,"&lt;&gt;",$V$5:$V$3004,"&lt;&gt;Excluded")&gt;0,"LEAK RISK","OK"))</f>
        <v/>
      </c>
      <c r="Z1671" s="30" t="n"/>
    </row>
    <row r="1672">
      <c r="A1672" s="30" t="n"/>
      <c r="B1672" s="30" t="n"/>
      <c r="C1672" s="30" t="n"/>
      <c r="D1672" s="30" t="n"/>
      <c r="E1672" s="30" t="n"/>
      <c r="F1672" s="30" t="n"/>
      <c r="G1672" s="30" t="n"/>
      <c r="H1672" s="30" t="n"/>
      <c r="I1672" s="31" t="n"/>
      <c r="J1672" s="30" t="n"/>
      <c r="K1672" s="30" t="n"/>
      <c r="L1672" s="30" t="n"/>
      <c r="M1672" s="30" t="n"/>
      <c r="N1672" s="32" t="n"/>
      <c r="O1672" s="30" t="n"/>
      <c r="P1672" s="32" t="n"/>
      <c r="Q1672" s="30" t="n"/>
      <c r="R1672" s="32" t="n"/>
      <c r="S1672" s="30" t="n"/>
      <c r="T1672" s="30" t="n"/>
      <c r="U1672" s="30" t="n"/>
      <c r="V1672" s="30" t="n"/>
      <c r="W1672" s="29">
        <f>IF(H1672="","",IF(H1672="Kenya","Yes","No"))</f>
        <v/>
      </c>
      <c r="X1672" s="29">
        <f>IF(B1672="","",IF(COUNTIF($B$5:$B$3004,B1672)&gt;1,"DUPLICATE","OK"))</f>
        <v/>
      </c>
      <c r="Y1672" s="29">
        <f>IF(OR(U1672="",V1672="",V1672="Excluded"),"",IF(COUNTIFS($U$5:$U$3004,U1672,$V$5:$V$3004,"&lt;&gt;"&amp;V1672,$V$5:$V$3004,"&lt;&gt;",$V$5:$V$3004,"&lt;&gt;Excluded")&gt;0,"LEAK RISK","OK"))</f>
        <v/>
      </c>
      <c r="Z1672" s="30" t="n"/>
    </row>
    <row r="1673">
      <c r="A1673" s="30" t="n"/>
      <c r="B1673" s="30" t="n"/>
      <c r="C1673" s="30" t="n"/>
      <c r="D1673" s="30" t="n"/>
      <c r="E1673" s="30" t="n"/>
      <c r="F1673" s="30" t="n"/>
      <c r="G1673" s="30" t="n"/>
      <c r="H1673" s="30" t="n"/>
      <c r="I1673" s="31" t="n"/>
      <c r="J1673" s="30" t="n"/>
      <c r="K1673" s="30" t="n"/>
      <c r="L1673" s="30" t="n"/>
      <c r="M1673" s="30" t="n"/>
      <c r="N1673" s="32" t="n"/>
      <c r="O1673" s="30" t="n"/>
      <c r="P1673" s="32" t="n"/>
      <c r="Q1673" s="30" t="n"/>
      <c r="R1673" s="32" t="n"/>
      <c r="S1673" s="30" t="n"/>
      <c r="T1673" s="30" t="n"/>
      <c r="U1673" s="30" t="n"/>
      <c r="V1673" s="30" t="n"/>
      <c r="W1673" s="29">
        <f>IF(H1673="","",IF(H1673="Kenya","Yes","No"))</f>
        <v/>
      </c>
      <c r="X1673" s="29">
        <f>IF(B1673="","",IF(COUNTIF($B$5:$B$3004,B1673)&gt;1,"DUPLICATE","OK"))</f>
        <v/>
      </c>
      <c r="Y1673" s="29">
        <f>IF(OR(U1673="",V1673="",V1673="Excluded"),"",IF(COUNTIFS($U$5:$U$3004,U1673,$V$5:$V$3004,"&lt;&gt;"&amp;V1673,$V$5:$V$3004,"&lt;&gt;",$V$5:$V$3004,"&lt;&gt;Excluded")&gt;0,"LEAK RISK","OK"))</f>
        <v/>
      </c>
      <c r="Z1673" s="30" t="n"/>
    </row>
    <row r="1674">
      <c r="A1674" s="30" t="n"/>
      <c r="B1674" s="30" t="n"/>
      <c r="C1674" s="30" t="n"/>
      <c r="D1674" s="30" t="n"/>
      <c r="E1674" s="30" t="n"/>
      <c r="F1674" s="30" t="n"/>
      <c r="G1674" s="30" t="n"/>
      <c r="H1674" s="30" t="n"/>
      <c r="I1674" s="31" t="n"/>
      <c r="J1674" s="30" t="n"/>
      <c r="K1674" s="30" t="n"/>
      <c r="L1674" s="30" t="n"/>
      <c r="M1674" s="30" t="n"/>
      <c r="N1674" s="32" t="n"/>
      <c r="O1674" s="30" t="n"/>
      <c r="P1674" s="32" t="n"/>
      <c r="Q1674" s="30" t="n"/>
      <c r="R1674" s="32" t="n"/>
      <c r="S1674" s="30" t="n"/>
      <c r="T1674" s="30" t="n"/>
      <c r="U1674" s="30" t="n"/>
      <c r="V1674" s="30" t="n"/>
      <c r="W1674" s="29">
        <f>IF(H1674="","",IF(H1674="Kenya","Yes","No"))</f>
        <v/>
      </c>
      <c r="X1674" s="29">
        <f>IF(B1674="","",IF(COUNTIF($B$5:$B$3004,B1674)&gt;1,"DUPLICATE","OK"))</f>
        <v/>
      </c>
      <c r="Y1674" s="29">
        <f>IF(OR(U1674="",V1674="",V1674="Excluded"),"",IF(COUNTIFS($U$5:$U$3004,U1674,$V$5:$V$3004,"&lt;&gt;"&amp;V1674,$V$5:$V$3004,"&lt;&gt;",$V$5:$V$3004,"&lt;&gt;Excluded")&gt;0,"LEAK RISK","OK"))</f>
        <v/>
      </c>
      <c r="Z1674" s="30" t="n"/>
    </row>
    <row r="1675">
      <c r="A1675" s="30" t="n"/>
      <c r="B1675" s="30" t="n"/>
      <c r="C1675" s="30" t="n"/>
      <c r="D1675" s="30" t="n"/>
      <c r="E1675" s="30" t="n"/>
      <c r="F1675" s="30" t="n"/>
      <c r="G1675" s="30" t="n"/>
      <c r="H1675" s="30" t="n"/>
      <c r="I1675" s="31" t="n"/>
      <c r="J1675" s="30" t="n"/>
      <c r="K1675" s="30" t="n"/>
      <c r="L1675" s="30" t="n"/>
      <c r="M1675" s="30" t="n"/>
      <c r="N1675" s="32" t="n"/>
      <c r="O1675" s="30" t="n"/>
      <c r="P1675" s="32" t="n"/>
      <c r="Q1675" s="30" t="n"/>
      <c r="R1675" s="32" t="n"/>
      <c r="S1675" s="30" t="n"/>
      <c r="T1675" s="30" t="n"/>
      <c r="U1675" s="30" t="n"/>
      <c r="V1675" s="30" t="n"/>
      <c r="W1675" s="29">
        <f>IF(H1675="","",IF(H1675="Kenya","Yes","No"))</f>
        <v/>
      </c>
      <c r="X1675" s="29">
        <f>IF(B1675="","",IF(COUNTIF($B$5:$B$3004,B1675)&gt;1,"DUPLICATE","OK"))</f>
        <v/>
      </c>
      <c r="Y1675" s="29">
        <f>IF(OR(U1675="",V1675="",V1675="Excluded"),"",IF(COUNTIFS($U$5:$U$3004,U1675,$V$5:$V$3004,"&lt;&gt;"&amp;V1675,$V$5:$V$3004,"&lt;&gt;",$V$5:$V$3004,"&lt;&gt;Excluded")&gt;0,"LEAK RISK","OK"))</f>
        <v/>
      </c>
      <c r="Z1675" s="30" t="n"/>
    </row>
    <row r="1676">
      <c r="A1676" s="30" t="n"/>
      <c r="B1676" s="30" t="n"/>
      <c r="C1676" s="30" t="n"/>
      <c r="D1676" s="30" t="n"/>
      <c r="E1676" s="30" t="n"/>
      <c r="F1676" s="30" t="n"/>
      <c r="G1676" s="30" t="n"/>
      <c r="H1676" s="30" t="n"/>
      <c r="I1676" s="31" t="n"/>
      <c r="J1676" s="30" t="n"/>
      <c r="K1676" s="30" t="n"/>
      <c r="L1676" s="30" t="n"/>
      <c r="M1676" s="30" t="n"/>
      <c r="N1676" s="32" t="n"/>
      <c r="O1676" s="30" t="n"/>
      <c r="P1676" s="32" t="n"/>
      <c r="Q1676" s="30" t="n"/>
      <c r="R1676" s="32" t="n"/>
      <c r="S1676" s="30" t="n"/>
      <c r="T1676" s="30" t="n"/>
      <c r="U1676" s="30" t="n"/>
      <c r="V1676" s="30" t="n"/>
      <c r="W1676" s="29">
        <f>IF(H1676="","",IF(H1676="Kenya","Yes","No"))</f>
        <v/>
      </c>
      <c r="X1676" s="29">
        <f>IF(B1676="","",IF(COUNTIF($B$5:$B$3004,B1676)&gt;1,"DUPLICATE","OK"))</f>
        <v/>
      </c>
      <c r="Y1676" s="29">
        <f>IF(OR(U1676="",V1676="",V1676="Excluded"),"",IF(COUNTIFS($U$5:$U$3004,U1676,$V$5:$V$3004,"&lt;&gt;"&amp;V1676,$V$5:$V$3004,"&lt;&gt;",$V$5:$V$3004,"&lt;&gt;Excluded")&gt;0,"LEAK RISK","OK"))</f>
        <v/>
      </c>
      <c r="Z1676" s="30" t="n"/>
    </row>
    <row r="1677">
      <c r="A1677" s="30" t="n"/>
      <c r="B1677" s="30" t="n"/>
      <c r="C1677" s="30" t="n"/>
      <c r="D1677" s="30" t="n"/>
      <c r="E1677" s="30" t="n"/>
      <c r="F1677" s="30" t="n"/>
      <c r="G1677" s="30" t="n"/>
      <c r="H1677" s="30" t="n"/>
      <c r="I1677" s="31" t="n"/>
      <c r="J1677" s="30" t="n"/>
      <c r="K1677" s="30" t="n"/>
      <c r="L1677" s="30" t="n"/>
      <c r="M1677" s="30" t="n"/>
      <c r="N1677" s="32" t="n"/>
      <c r="O1677" s="30" t="n"/>
      <c r="P1677" s="32" t="n"/>
      <c r="Q1677" s="30" t="n"/>
      <c r="R1677" s="32" t="n"/>
      <c r="S1677" s="30" t="n"/>
      <c r="T1677" s="30" t="n"/>
      <c r="U1677" s="30" t="n"/>
      <c r="V1677" s="30" t="n"/>
      <c r="W1677" s="29">
        <f>IF(H1677="","",IF(H1677="Kenya","Yes","No"))</f>
        <v/>
      </c>
      <c r="X1677" s="29">
        <f>IF(B1677="","",IF(COUNTIF($B$5:$B$3004,B1677)&gt;1,"DUPLICATE","OK"))</f>
        <v/>
      </c>
      <c r="Y1677" s="29">
        <f>IF(OR(U1677="",V1677="",V1677="Excluded"),"",IF(COUNTIFS($U$5:$U$3004,U1677,$V$5:$V$3004,"&lt;&gt;"&amp;V1677,$V$5:$V$3004,"&lt;&gt;",$V$5:$V$3004,"&lt;&gt;Excluded")&gt;0,"LEAK RISK","OK"))</f>
        <v/>
      </c>
      <c r="Z1677" s="30" t="n"/>
    </row>
    <row r="1678">
      <c r="A1678" s="30" t="n"/>
      <c r="B1678" s="30" t="n"/>
      <c r="C1678" s="30" t="n"/>
      <c r="D1678" s="30" t="n"/>
      <c r="E1678" s="30" t="n"/>
      <c r="F1678" s="30" t="n"/>
      <c r="G1678" s="30" t="n"/>
      <c r="H1678" s="30" t="n"/>
      <c r="I1678" s="31" t="n"/>
      <c r="J1678" s="30" t="n"/>
      <c r="K1678" s="30" t="n"/>
      <c r="L1678" s="30" t="n"/>
      <c r="M1678" s="30" t="n"/>
      <c r="N1678" s="32" t="n"/>
      <c r="O1678" s="30" t="n"/>
      <c r="P1678" s="32" t="n"/>
      <c r="Q1678" s="30" t="n"/>
      <c r="R1678" s="32" t="n"/>
      <c r="S1678" s="30" t="n"/>
      <c r="T1678" s="30" t="n"/>
      <c r="U1678" s="30" t="n"/>
      <c r="V1678" s="30" t="n"/>
      <c r="W1678" s="29">
        <f>IF(H1678="","",IF(H1678="Kenya","Yes","No"))</f>
        <v/>
      </c>
      <c r="X1678" s="29">
        <f>IF(B1678="","",IF(COUNTIF($B$5:$B$3004,B1678)&gt;1,"DUPLICATE","OK"))</f>
        <v/>
      </c>
      <c r="Y1678" s="29">
        <f>IF(OR(U1678="",V1678="",V1678="Excluded"),"",IF(COUNTIFS($U$5:$U$3004,U1678,$V$5:$V$3004,"&lt;&gt;"&amp;V1678,$V$5:$V$3004,"&lt;&gt;",$V$5:$V$3004,"&lt;&gt;Excluded")&gt;0,"LEAK RISK","OK"))</f>
        <v/>
      </c>
      <c r="Z1678" s="30" t="n"/>
    </row>
    <row r="1679">
      <c r="A1679" s="30" t="n"/>
      <c r="B1679" s="30" t="n"/>
      <c r="C1679" s="30" t="n"/>
      <c r="D1679" s="30" t="n"/>
      <c r="E1679" s="30" t="n"/>
      <c r="F1679" s="30" t="n"/>
      <c r="G1679" s="30" t="n"/>
      <c r="H1679" s="30" t="n"/>
      <c r="I1679" s="31" t="n"/>
      <c r="J1679" s="30" t="n"/>
      <c r="K1679" s="30" t="n"/>
      <c r="L1679" s="30" t="n"/>
      <c r="M1679" s="30" t="n"/>
      <c r="N1679" s="32" t="n"/>
      <c r="O1679" s="30" t="n"/>
      <c r="P1679" s="32" t="n"/>
      <c r="Q1679" s="30" t="n"/>
      <c r="R1679" s="32" t="n"/>
      <c r="S1679" s="30" t="n"/>
      <c r="T1679" s="30" t="n"/>
      <c r="U1679" s="30" t="n"/>
      <c r="V1679" s="30" t="n"/>
      <c r="W1679" s="29">
        <f>IF(H1679="","",IF(H1679="Kenya","Yes","No"))</f>
        <v/>
      </c>
      <c r="X1679" s="29">
        <f>IF(B1679="","",IF(COUNTIF($B$5:$B$3004,B1679)&gt;1,"DUPLICATE","OK"))</f>
        <v/>
      </c>
      <c r="Y1679" s="29">
        <f>IF(OR(U1679="",V1679="",V1679="Excluded"),"",IF(COUNTIFS($U$5:$U$3004,U1679,$V$5:$V$3004,"&lt;&gt;"&amp;V1679,$V$5:$V$3004,"&lt;&gt;",$V$5:$V$3004,"&lt;&gt;Excluded")&gt;0,"LEAK RISK","OK"))</f>
        <v/>
      </c>
      <c r="Z1679" s="30" t="n"/>
    </row>
    <row r="1680">
      <c r="A1680" s="30" t="n"/>
      <c r="B1680" s="30" t="n"/>
      <c r="C1680" s="30" t="n"/>
      <c r="D1680" s="30" t="n"/>
      <c r="E1680" s="30" t="n"/>
      <c r="F1680" s="30" t="n"/>
      <c r="G1680" s="30" t="n"/>
      <c r="H1680" s="30" t="n"/>
      <c r="I1680" s="31" t="n"/>
      <c r="J1680" s="30" t="n"/>
      <c r="K1680" s="30" t="n"/>
      <c r="L1680" s="30" t="n"/>
      <c r="M1680" s="30" t="n"/>
      <c r="N1680" s="32" t="n"/>
      <c r="O1680" s="30" t="n"/>
      <c r="P1680" s="32" t="n"/>
      <c r="Q1680" s="30" t="n"/>
      <c r="R1680" s="32" t="n"/>
      <c r="S1680" s="30" t="n"/>
      <c r="T1680" s="30" t="n"/>
      <c r="U1680" s="30" t="n"/>
      <c r="V1680" s="30" t="n"/>
      <c r="W1680" s="29">
        <f>IF(H1680="","",IF(H1680="Kenya","Yes","No"))</f>
        <v/>
      </c>
      <c r="X1680" s="29">
        <f>IF(B1680="","",IF(COUNTIF($B$5:$B$3004,B1680)&gt;1,"DUPLICATE","OK"))</f>
        <v/>
      </c>
      <c r="Y1680" s="29">
        <f>IF(OR(U1680="",V1680="",V1680="Excluded"),"",IF(COUNTIFS($U$5:$U$3004,U1680,$V$5:$V$3004,"&lt;&gt;"&amp;V1680,$V$5:$V$3004,"&lt;&gt;",$V$5:$V$3004,"&lt;&gt;Excluded")&gt;0,"LEAK RISK","OK"))</f>
        <v/>
      </c>
      <c r="Z1680" s="30" t="n"/>
    </row>
    <row r="1681">
      <c r="A1681" s="30" t="n"/>
      <c r="B1681" s="30" t="n"/>
      <c r="C1681" s="30" t="n"/>
      <c r="D1681" s="30" t="n"/>
      <c r="E1681" s="30" t="n"/>
      <c r="F1681" s="30" t="n"/>
      <c r="G1681" s="30" t="n"/>
      <c r="H1681" s="30" t="n"/>
      <c r="I1681" s="31" t="n"/>
      <c r="J1681" s="30" t="n"/>
      <c r="K1681" s="30" t="n"/>
      <c r="L1681" s="30" t="n"/>
      <c r="M1681" s="30" t="n"/>
      <c r="N1681" s="32" t="n"/>
      <c r="O1681" s="30" t="n"/>
      <c r="P1681" s="32" t="n"/>
      <c r="Q1681" s="30" t="n"/>
      <c r="R1681" s="32" t="n"/>
      <c r="S1681" s="30" t="n"/>
      <c r="T1681" s="30" t="n"/>
      <c r="U1681" s="30" t="n"/>
      <c r="V1681" s="30" t="n"/>
      <c r="W1681" s="29">
        <f>IF(H1681="","",IF(H1681="Kenya","Yes","No"))</f>
        <v/>
      </c>
      <c r="X1681" s="29">
        <f>IF(B1681="","",IF(COUNTIF($B$5:$B$3004,B1681)&gt;1,"DUPLICATE","OK"))</f>
        <v/>
      </c>
      <c r="Y1681" s="29">
        <f>IF(OR(U1681="",V1681="",V1681="Excluded"),"",IF(COUNTIFS($U$5:$U$3004,U1681,$V$5:$V$3004,"&lt;&gt;"&amp;V1681,$V$5:$V$3004,"&lt;&gt;",$V$5:$V$3004,"&lt;&gt;Excluded")&gt;0,"LEAK RISK","OK"))</f>
        <v/>
      </c>
      <c r="Z1681" s="30" t="n"/>
    </row>
    <row r="1682">
      <c r="A1682" s="30" t="n"/>
      <c r="B1682" s="30" t="n"/>
      <c r="C1682" s="30" t="n"/>
      <c r="D1682" s="30" t="n"/>
      <c r="E1682" s="30" t="n"/>
      <c r="F1682" s="30" t="n"/>
      <c r="G1682" s="30" t="n"/>
      <c r="H1682" s="30" t="n"/>
      <c r="I1682" s="31" t="n"/>
      <c r="J1682" s="30" t="n"/>
      <c r="K1682" s="30" t="n"/>
      <c r="L1682" s="30" t="n"/>
      <c r="M1682" s="30" t="n"/>
      <c r="N1682" s="32" t="n"/>
      <c r="O1682" s="30" t="n"/>
      <c r="P1682" s="32" t="n"/>
      <c r="Q1682" s="30" t="n"/>
      <c r="R1682" s="32" t="n"/>
      <c r="S1682" s="30" t="n"/>
      <c r="T1682" s="30" t="n"/>
      <c r="U1682" s="30" t="n"/>
      <c r="V1682" s="30" t="n"/>
      <c r="W1682" s="29">
        <f>IF(H1682="","",IF(H1682="Kenya","Yes","No"))</f>
        <v/>
      </c>
      <c r="X1682" s="29">
        <f>IF(B1682="","",IF(COUNTIF($B$5:$B$3004,B1682)&gt;1,"DUPLICATE","OK"))</f>
        <v/>
      </c>
      <c r="Y1682" s="29">
        <f>IF(OR(U1682="",V1682="",V1682="Excluded"),"",IF(COUNTIFS($U$5:$U$3004,U1682,$V$5:$V$3004,"&lt;&gt;"&amp;V1682,$V$5:$V$3004,"&lt;&gt;",$V$5:$V$3004,"&lt;&gt;Excluded")&gt;0,"LEAK RISK","OK"))</f>
        <v/>
      </c>
      <c r="Z1682" s="30" t="n"/>
    </row>
    <row r="1683">
      <c r="A1683" s="30" t="n"/>
      <c r="B1683" s="30" t="n"/>
      <c r="C1683" s="30" t="n"/>
      <c r="D1683" s="30" t="n"/>
      <c r="E1683" s="30" t="n"/>
      <c r="F1683" s="30" t="n"/>
      <c r="G1683" s="30" t="n"/>
      <c r="H1683" s="30" t="n"/>
      <c r="I1683" s="31" t="n"/>
      <c r="J1683" s="30" t="n"/>
      <c r="K1683" s="30" t="n"/>
      <c r="L1683" s="30" t="n"/>
      <c r="M1683" s="30" t="n"/>
      <c r="N1683" s="32" t="n"/>
      <c r="O1683" s="30" t="n"/>
      <c r="P1683" s="32" t="n"/>
      <c r="Q1683" s="30" t="n"/>
      <c r="R1683" s="32" t="n"/>
      <c r="S1683" s="30" t="n"/>
      <c r="T1683" s="30" t="n"/>
      <c r="U1683" s="30" t="n"/>
      <c r="V1683" s="30" t="n"/>
      <c r="W1683" s="29">
        <f>IF(H1683="","",IF(H1683="Kenya","Yes","No"))</f>
        <v/>
      </c>
      <c r="X1683" s="29">
        <f>IF(B1683="","",IF(COUNTIF($B$5:$B$3004,B1683)&gt;1,"DUPLICATE","OK"))</f>
        <v/>
      </c>
      <c r="Y1683" s="29">
        <f>IF(OR(U1683="",V1683="",V1683="Excluded"),"",IF(COUNTIFS($U$5:$U$3004,U1683,$V$5:$V$3004,"&lt;&gt;"&amp;V1683,$V$5:$V$3004,"&lt;&gt;",$V$5:$V$3004,"&lt;&gt;Excluded")&gt;0,"LEAK RISK","OK"))</f>
        <v/>
      </c>
      <c r="Z1683" s="30" t="n"/>
    </row>
    <row r="1684">
      <c r="A1684" s="30" t="n"/>
      <c r="B1684" s="30" t="n"/>
      <c r="C1684" s="30" t="n"/>
      <c r="D1684" s="30" t="n"/>
      <c r="E1684" s="30" t="n"/>
      <c r="F1684" s="30" t="n"/>
      <c r="G1684" s="30" t="n"/>
      <c r="H1684" s="30" t="n"/>
      <c r="I1684" s="31" t="n"/>
      <c r="J1684" s="30" t="n"/>
      <c r="K1684" s="30" t="n"/>
      <c r="L1684" s="30" t="n"/>
      <c r="M1684" s="30" t="n"/>
      <c r="N1684" s="32" t="n"/>
      <c r="O1684" s="30" t="n"/>
      <c r="P1684" s="32" t="n"/>
      <c r="Q1684" s="30" t="n"/>
      <c r="R1684" s="32" t="n"/>
      <c r="S1684" s="30" t="n"/>
      <c r="T1684" s="30" t="n"/>
      <c r="U1684" s="30" t="n"/>
      <c r="V1684" s="30" t="n"/>
      <c r="W1684" s="29">
        <f>IF(H1684="","",IF(H1684="Kenya","Yes","No"))</f>
        <v/>
      </c>
      <c r="X1684" s="29">
        <f>IF(B1684="","",IF(COUNTIF($B$5:$B$3004,B1684)&gt;1,"DUPLICATE","OK"))</f>
        <v/>
      </c>
      <c r="Y1684" s="29">
        <f>IF(OR(U1684="",V1684="",V1684="Excluded"),"",IF(COUNTIFS($U$5:$U$3004,U1684,$V$5:$V$3004,"&lt;&gt;"&amp;V1684,$V$5:$V$3004,"&lt;&gt;",$V$5:$V$3004,"&lt;&gt;Excluded")&gt;0,"LEAK RISK","OK"))</f>
        <v/>
      </c>
      <c r="Z1684" s="30" t="n"/>
    </row>
    <row r="1685">
      <c r="A1685" s="30" t="n"/>
      <c r="B1685" s="30" t="n"/>
      <c r="C1685" s="30" t="n"/>
      <c r="D1685" s="30" t="n"/>
      <c r="E1685" s="30" t="n"/>
      <c r="F1685" s="30" t="n"/>
      <c r="G1685" s="30" t="n"/>
      <c r="H1685" s="30" t="n"/>
      <c r="I1685" s="31" t="n"/>
      <c r="J1685" s="30" t="n"/>
      <c r="K1685" s="30" t="n"/>
      <c r="L1685" s="30" t="n"/>
      <c r="M1685" s="30" t="n"/>
      <c r="N1685" s="32" t="n"/>
      <c r="O1685" s="30" t="n"/>
      <c r="P1685" s="32" t="n"/>
      <c r="Q1685" s="30" t="n"/>
      <c r="R1685" s="32" t="n"/>
      <c r="S1685" s="30" t="n"/>
      <c r="T1685" s="30" t="n"/>
      <c r="U1685" s="30" t="n"/>
      <c r="V1685" s="30" t="n"/>
      <c r="W1685" s="29">
        <f>IF(H1685="","",IF(H1685="Kenya","Yes","No"))</f>
        <v/>
      </c>
      <c r="X1685" s="29">
        <f>IF(B1685="","",IF(COUNTIF($B$5:$B$3004,B1685)&gt;1,"DUPLICATE","OK"))</f>
        <v/>
      </c>
      <c r="Y1685" s="29">
        <f>IF(OR(U1685="",V1685="",V1685="Excluded"),"",IF(COUNTIFS($U$5:$U$3004,U1685,$V$5:$V$3004,"&lt;&gt;"&amp;V1685,$V$5:$V$3004,"&lt;&gt;",$V$5:$V$3004,"&lt;&gt;Excluded")&gt;0,"LEAK RISK","OK"))</f>
        <v/>
      </c>
      <c r="Z1685" s="30" t="n"/>
    </row>
    <row r="1686">
      <c r="A1686" s="30" t="n"/>
      <c r="B1686" s="30" t="n"/>
      <c r="C1686" s="30" t="n"/>
      <c r="D1686" s="30" t="n"/>
      <c r="E1686" s="30" t="n"/>
      <c r="F1686" s="30" t="n"/>
      <c r="G1686" s="30" t="n"/>
      <c r="H1686" s="30" t="n"/>
      <c r="I1686" s="31" t="n"/>
      <c r="J1686" s="30" t="n"/>
      <c r="K1686" s="30" t="n"/>
      <c r="L1686" s="30" t="n"/>
      <c r="M1686" s="30" t="n"/>
      <c r="N1686" s="32" t="n"/>
      <c r="O1686" s="30" t="n"/>
      <c r="P1686" s="32" t="n"/>
      <c r="Q1686" s="30" t="n"/>
      <c r="R1686" s="32" t="n"/>
      <c r="S1686" s="30" t="n"/>
      <c r="T1686" s="30" t="n"/>
      <c r="U1686" s="30" t="n"/>
      <c r="V1686" s="30" t="n"/>
      <c r="W1686" s="29">
        <f>IF(H1686="","",IF(H1686="Kenya","Yes","No"))</f>
        <v/>
      </c>
      <c r="X1686" s="29">
        <f>IF(B1686="","",IF(COUNTIF($B$5:$B$3004,B1686)&gt;1,"DUPLICATE","OK"))</f>
        <v/>
      </c>
      <c r="Y1686" s="29">
        <f>IF(OR(U1686="",V1686="",V1686="Excluded"),"",IF(COUNTIFS($U$5:$U$3004,U1686,$V$5:$V$3004,"&lt;&gt;"&amp;V1686,$V$5:$V$3004,"&lt;&gt;",$V$5:$V$3004,"&lt;&gt;Excluded")&gt;0,"LEAK RISK","OK"))</f>
        <v/>
      </c>
      <c r="Z1686" s="30" t="n"/>
    </row>
    <row r="1687">
      <c r="A1687" s="30" t="n"/>
      <c r="B1687" s="30" t="n"/>
      <c r="C1687" s="30" t="n"/>
      <c r="D1687" s="30" t="n"/>
      <c r="E1687" s="30" t="n"/>
      <c r="F1687" s="30" t="n"/>
      <c r="G1687" s="30" t="n"/>
      <c r="H1687" s="30" t="n"/>
      <c r="I1687" s="31" t="n"/>
      <c r="J1687" s="30" t="n"/>
      <c r="K1687" s="30" t="n"/>
      <c r="L1687" s="30" t="n"/>
      <c r="M1687" s="30" t="n"/>
      <c r="N1687" s="32" t="n"/>
      <c r="O1687" s="30" t="n"/>
      <c r="P1687" s="32" t="n"/>
      <c r="Q1687" s="30" t="n"/>
      <c r="R1687" s="32" t="n"/>
      <c r="S1687" s="30" t="n"/>
      <c r="T1687" s="30" t="n"/>
      <c r="U1687" s="30" t="n"/>
      <c r="V1687" s="30" t="n"/>
      <c r="W1687" s="29">
        <f>IF(H1687="","",IF(H1687="Kenya","Yes","No"))</f>
        <v/>
      </c>
      <c r="X1687" s="29">
        <f>IF(B1687="","",IF(COUNTIF($B$5:$B$3004,B1687)&gt;1,"DUPLICATE","OK"))</f>
        <v/>
      </c>
      <c r="Y1687" s="29">
        <f>IF(OR(U1687="",V1687="",V1687="Excluded"),"",IF(COUNTIFS($U$5:$U$3004,U1687,$V$5:$V$3004,"&lt;&gt;"&amp;V1687,$V$5:$V$3004,"&lt;&gt;",$V$5:$V$3004,"&lt;&gt;Excluded")&gt;0,"LEAK RISK","OK"))</f>
        <v/>
      </c>
      <c r="Z1687" s="30" t="n"/>
    </row>
    <row r="1688">
      <c r="A1688" s="30" t="n"/>
      <c r="B1688" s="30" t="n"/>
      <c r="C1688" s="30" t="n"/>
      <c r="D1688" s="30" t="n"/>
      <c r="E1688" s="30" t="n"/>
      <c r="F1688" s="30" t="n"/>
      <c r="G1688" s="30" t="n"/>
      <c r="H1688" s="30" t="n"/>
      <c r="I1688" s="31" t="n"/>
      <c r="J1688" s="30" t="n"/>
      <c r="K1688" s="30" t="n"/>
      <c r="L1688" s="30" t="n"/>
      <c r="M1688" s="30" t="n"/>
      <c r="N1688" s="32" t="n"/>
      <c r="O1688" s="30" t="n"/>
      <c r="P1688" s="32" t="n"/>
      <c r="Q1688" s="30" t="n"/>
      <c r="R1688" s="32" t="n"/>
      <c r="S1688" s="30" t="n"/>
      <c r="T1688" s="30" t="n"/>
      <c r="U1688" s="30" t="n"/>
      <c r="V1688" s="30" t="n"/>
      <c r="W1688" s="29">
        <f>IF(H1688="","",IF(H1688="Kenya","Yes","No"))</f>
        <v/>
      </c>
      <c r="X1688" s="29">
        <f>IF(B1688="","",IF(COUNTIF($B$5:$B$3004,B1688)&gt;1,"DUPLICATE","OK"))</f>
        <v/>
      </c>
      <c r="Y1688" s="29">
        <f>IF(OR(U1688="",V1688="",V1688="Excluded"),"",IF(COUNTIFS($U$5:$U$3004,U1688,$V$5:$V$3004,"&lt;&gt;"&amp;V1688,$V$5:$V$3004,"&lt;&gt;",$V$5:$V$3004,"&lt;&gt;Excluded")&gt;0,"LEAK RISK","OK"))</f>
        <v/>
      </c>
      <c r="Z1688" s="30" t="n"/>
    </row>
    <row r="1689">
      <c r="A1689" s="30" t="n"/>
      <c r="B1689" s="30" t="n"/>
      <c r="C1689" s="30" t="n"/>
      <c r="D1689" s="30" t="n"/>
      <c r="E1689" s="30" t="n"/>
      <c r="F1689" s="30" t="n"/>
      <c r="G1689" s="30" t="n"/>
      <c r="H1689" s="30" t="n"/>
      <c r="I1689" s="31" t="n"/>
      <c r="J1689" s="30" t="n"/>
      <c r="K1689" s="30" t="n"/>
      <c r="L1689" s="30" t="n"/>
      <c r="M1689" s="30" t="n"/>
      <c r="N1689" s="32" t="n"/>
      <c r="O1689" s="30" t="n"/>
      <c r="P1689" s="32" t="n"/>
      <c r="Q1689" s="30" t="n"/>
      <c r="R1689" s="32" t="n"/>
      <c r="S1689" s="30" t="n"/>
      <c r="T1689" s="30" t="n"/>
      <c r="U1689" s="30" t="n"/>
      <c r="V1689" s="30" t="n"/>
      <c r="W1689" s="29">
        <f>IF(H1689="","",IF(H1689="Kenya","Yes","No"))</f>
        <v/>
      </c>
      <c r="X1689" s="29">
        <f>IF(B1689="","",IF(COUNTIF($B$5:$B$3004,B1689)&gt;1,"DUPLICATE","OK"))</f>
        <v/>
      </c>
      <c r="Y1689" s="29">
        <f>IF(OR(U1689="",V1689="",V1689="Excluded"),"",IF(COUNTIFS($U$5:$U$3004,U1689,$V$5:$V$3004,"&lt;&gt;"&amp;V1689,$V$5:$V$3004,"&lt;&gt;",$V$5:$V$3004,"&lt;&gt;Excluded")&gt;0,"LEAK RISK","OK"))</f>
        <v/>
      </c>
      <c r="Z1689" s="30" t="n"/>
    </row>
    <row r="1690">
      <c r="A1690" s="30" t="n"/>
      <c r="B1690" s="30" t="n"/>
      <c r="C1690" s="30" t="n"/>
      <c r="D1690" s="30" t="n"/>
      <c r="E1690" s="30" t="n"/>
      <c r="F1690" s="30" t="n"/>
      <c r="G1690" s="30" t="n"/>
      <c r="H1690" s="30" t="n"/>
      <c r="I1690" s="31" t="n"/>
      <c r="J1690" s="30" t="n"/>
      <c r="K1690" s="30" t="n"/>
      <c r="L1690" s="30" t="n"/>
      <c r="M1690" s="30" t="n"/>
      <c r="N1690" s="32" t="n"/>
      <c r="O1690" s="30" t="n"/>
      <c r="P1690" s="32" t="n"/>
      <c r="Q1690" s="30" t="n"/>
      <c r="R1690" s="32" t="n"/>
      <c r="S1690" s="30" t="n"/>
      <c r="T1690" s="30" t="n"/>
      <c r="U1690" s="30" t="n"/>
      <c r="V1690" s="30" t="n"/>
      <c r="W1690" s="29">
        <f>IF(H1690="","",IF(H1690="Kenya","Yes","No"))</f>
        <v/>
      </c>
      <c r="X1690" s="29">
        <f>IF(B1690="","",IF(COUNTIF($B$5:$B$3004,B1690)&gt;1,"DUPLICATE","OK"))</f>
        <v/>
      </c>
      <c r="Y1690" s="29">
        <f>IF(OR(U1690="",V1690="",V1690="Excluded"),"",IF(COUNTIFS($U$5:$U$3004,U1690,$V$5:$V$3004,"&lt;&gt;"&amp;V1690,$V$5:$V$3004,"&lt;&gt;",$V$5:$V$3004,"&lt;&gt;Excluded")&gt;0,"LEAK RISK","OK"))</f>
        <v/>
      </c>
      <c r="Z1690" s="30" t="n"/>
    </row>
    <row r="1691">
      <c r="A1691" s="30" t="n"/>
      <c r="B1691" s="30" t="n"/>
      <c r="C1691" s="30" t="n"/>
      <c r="D1691" s="30" t="n"/>
      <c r="E1691" s="30" t="n"/>
      <c r="F1691" s="30" t="n"/>
      <c r="G1691" s="30" t="n"/>
      <c r="H1691" s="30" t="n"/>
      <c r="I1691" s="31" t="n"/>
      <c r="J1691" s="30" t="n"/>
      <c r="K1691" s="30" t="n"/>
      <c r="L1691" s="30" t="n"/>
      <c r="M1691" s="30" t="n"/>
      <c r="N1691" s="32" t="n"/>
      <c r="O1691" s="30" t="n"/>
      <c r="P1691" s="32" t="n"/>
      <c r="Q1691" s="30" t="n"/>
      <c r="R1691" s="32" t="n"/>
      <c r="S1691" s="30" t="n"/>
      <c r="T1691" s="30" t="n"/>
      <c r="U1691" s="30" t="n"/>
      <c r="V1691" s="30" t="n"/>
      <c r="W1691" s="29">
        <f>IF(H1691="","",IF(H1691="Kenya","Yes","No"))</f>
        <v/>
      </c>
      <c r="X1691" s="29">
        <f>IF(B1691="","",IF(COUNTIF($B$5:$B$3004,B1691)&gt;1,"DUPLICATE","OK"))</f>
        <v/>
      </c>
      <c r="Y1691" s="29">
        <f>IF(OR(U1691="",V1691="",V1691="Excluded"),"",IF(COUNTIFS($U$5:$U$3004,U1691,$V$5:$V$3004,"&lt;&gt;"&amp;V1691,$V$5:$V$3004,"&lt;&gt;",$V$5:$V$3004,"&lt;&gt;Excluded")&gt;0,"LEAK RISK","OK"))</f>
        <v/>
      </c>
      <c r="Z1691" s="30" t="n"/>
    </row>
    <row r="1692">
      <c r="A1692" s="30" t="n"/>
      <c r="B1692" s="30" t="n"/>
      <c r="C1692" s="30" t="n"/>
      <c r="D1692" s="30" t="n"/>
      <c r="E1692" s="30" t="n"/>
      <c r="F1692" s="30" t="n"/>
      <c r="G1692" s="30" t="n"/>
      <c r="H1692" s="30" t="n"/>
      <c r="I1692" s="31" t="n"/>
      <c r="J1692" s="30" t="n"/>
      <c r="K1692" s="30" t="n"/>
      <c r="L1692" s="30" t="n"/>
      <c r="M1692" s="30" t="n"/>
      <c r="N1692" s="32" t="n"/>
      <c r="O1692" s="30" t="n"/>
      <c r="P1692" s="32" t="n"/>
      <c r="Q1692" s="30" t="n"/>
      <c r="R1692" s="32" t="n"/>
      <c r="S1692" s="30" t="n"/>
      <c r="T1692" s="30" t="n"/>
      <c r="U1692" s="30" t="n"/>
      <c r="V1692" s="30" t="n"/>
      <c r="W1692" s="29">
        <f>IF(H1692="","",IF(H1692="Kenya","Yes","No"))</f>
        <v/>
      </c>
      <c r="X1692" s="29">
        <f>IF(B1692="","",IF(COUNTIF($B$5:$B$3004,B1692)&gt;1,"DUPLICATE","OK"))</f>
        <v/>
      </c>
      <c r="Y1692" s="29">
        <f>IF(OR(U1692="",V1692="",V1692="Excluded"),"",IF(COUNTIFS($U$5:$U$3004,U1692,$V$5:$V$3004,"&lt;&gt;"&amp;V1692,$V$5:$V$3004,"&lt;&gt;",$V$5:$V$3004,"&lt;&gt;Excluded")&gt;0,"LEAK RISK","OK"))</f>
        <v/>
      </c>
      <c r="Z1692" s="30" t="n"/>
    </row>
    <row r="1693">
      <c r="A1693" s="30" t="n"/>
      <c r="B1693" s="30" t="n"/>
      <c r="C1693" s="30" t="n"/>
      <c r="D1693" s="30" t="n"/>
      <c r="E1693" s="30" t="n"/>
      <c r="F1693" s="30" t="n"/>
      <c r="G1693" s="30" t="n"/>
      <c r="H1693" s="30" t="n"/>
      <c r="I1693" s="31" t="n"/>
      <c r="J1693" s="30" t="n"/>
      <c r="K1693" s="30" t="n"/>
      <c r="L1693" s="30" t="n"/>
      <c r="M1693" s="30" t="n"/>
      <c r="N1693" s="32" t="n"/>
      <c r="O1693" s="30" t="n"/>
      <c r="P1693" s="32" t="n"/>
      <c r="Q1693" s="30" t="n"/>
      <c r="R1693" s="32" t="n"/>
      <c r="S1693" s="30" t="n"/>
      <c r="T1693" s="30" t="n"/>
      <c r="U1693" s="30" t="n"/>
      <c r="V1693" s="30" t="n"/>
      <c r="W1693" s="29">
        <f>IF(H1693="","",IF(H1693="Kenya","Yes","No"))</f>
        <v/>
      </c>
      <c r="X1693" s="29">
        <f>IF(B1693="","",IF(COUNTIF($B$5:$B$3004,B1693)&gt;1,"DUPLICATE","OK"))</f>
        <v/>
      </c>
      <c r="Y1693" s="29">
        <f>IF(OR(U1693="",V1693="",V1693="Excluded"),"",IF(COUNTIFS($U$5:$U$3004,U1693,$V$5:$V$3004,"&lt;&gt;"&amp;V1693,$V$5:$V$3004,"&lt;&gt;",$V$5:$V$3004,"&lt;&gt;Excluded")&gt;0,"LEAK RISK","OK"))</f>
        <v/>
      </c>
      <c r="Z1693" s="30" t="n"/>
    </row>
    <row r="1694">
      <c r="A1694" s="30" t="n"/>
      <c r="B1694" s="30" t="n"/>
      <c r="C1694" s="30" t="n"/>
      <c r="D1694" s="30" t="n"/>
      <c r="E1694" s="30" t="n"/>
      <c r="F1694" s="30" t="n"/>
      <c r="G1694" s="30" t="n"/>
      <c r="H1694" s="30" t="n"/>
      <c r="I1694" s="31" t="n"/>
      <c r="J1694" s="30" t="n"/>
      <c r="K1694" s="30" t="n"/>
      <c r="L1694" s="30" t="n"/>
      <c r="M1694" s="30" t="n"/>
      <c r="N1694" s="32" t="n"/>
      <c r="O1694" s="30" t="n"/>
      <c r="P1694" s="32" t="n"/>
      <c r="Q1694" s="30" t="n"/>
      <c r="R1694" s="32" t="n"/>
      <c r="S1694" s="30" t="n"/>
      <c r="T1694" s="30" t="n"/>
      <c r="U1694" s="30" t="n"/>
      <c r="V1694" s="30" t="n"/>
      <c r="W1694" s="29">
        <f>IF(H1694="","",IF(H1694="Kenya","Yes","No"))</f>
        <v/>
      </c>
      <c r="X1694" s="29">
        <f>IF(B1694="","",IF(COUNTIF($B$5:$B$3004,B1694)&gt;1,"DUPLICATE","OK"))</f>
        <v/>
      </c>
      <c r="Y1694" s="29">
        <f>IF(OR(U1694="",V1694="",V1694="Excluded"),"",IF(COUNTIFS($U$5:$U$3004,U1694,$V$5:$V$3004,"&lt;&gt;"&amp;V1694,$V$5:$V$3004,"&lt;&gt;",$V$5:$V$3004,"&lt;&gt;Excluded")&gt;0,"LEAK RISK","OK"))</f>
        <v/>
      </c>
      <c r="Z1694" s="30" t="n"/>
    </row>
    <row r="1695">
      <c r="A1695" s="30" t="n"/>
      <c r="B1695" s="30" t="n"/>
      <c r="C1695" s="30" t="n"/>
      <c r="D1695" s="30" t="n"/>
      <c r="E1695" s="30" t="n"/>
      <c r="F1695" s="30" t="n"/>
      <c r="G1695" s="30" t="n"/>
      <c r="H1695" s="30" t="n"/>
      <c r="I1695" s="31" t="n"/>
      <c r="J1695" s="30" t="n"/>
      <c r="K1695" s="30" t="n"/>
      <c r="L1695" s="30" t="n"/>
      <c r="M1695" s="30" t="n"/>
      <c r="N1695" s="32" t="n"/>
      <c r="O1695" s="30" t="n"/>
      <c r="P1695" s="32" t="n"/>
      <c r="Q1695" s="30" t="n"/>
      <c r="R1695" s="32" t="n"/>
      <c r="S1695" s="30" t="n"/>
      <c r="T1695" s="30" t="n"/>
      <c r="U1695" s="30" t="n"/>
      <c r="V1695" s="30" t="n"/>
      <c r="W1695" s="29">
        <f>IF(H1695="","",IF(H1695="Kenya","Yes","No"))</f>
        <v/>
      </c>
      <c r="X1695" s="29">
        <f>IF(B1695="","",IF(COUNTIF($B$5:$B$3004,B1695)&gt;1,"DUPLICATE","OK"))</f>
        <v/>
      </c>
      <c r="Y1695" s="29">
        <f>IF(OR(U1695="",V1695="",V1695="Excluded"),"",IF(COUNTIFS($U$5:$U$3004,U1695,$V$5:$V$3004,"&lt;&gt;"&amp;V1695,$V$5:$V$3004,"&lt;&gt;",$V$5:$V$3004,"&lt;&gt;Excluded")&gt;0,"LEAK RISK","OK"))</f>
        <v/>
      </c>
      <c r="Z1695" s="30" t="n"/>
    </row>
    <row r="1696">
      <c r="A1696" s="30" t="n"/>
      <c r="B1696" s="30" t="n"/>
      <c r="C1696" s="30" t="n"/>
      <c r="D1696" s="30" t="n"/>
      <c r="E1696" s="30" t="n"/>
      <c r="F1696" s="30" t="n"/>
      <c r="G1696" s="30" t="n"/>
      <c r="H1696" s="30" t="n"/>
      <c r="I1696" s="31" t="n"/>
      <c r="J1696" s="30" t="n"/>
      <c r="K1696" s="30" t="n"/>
      <c r="L1696" s="30" t="n"/>
      <c r="M1696" s="30" t="n"/>
      <c r="N1696" s="32" t="n"/>
      <c r="O1696" s="30" t="n"/>
      <c r="P1696" s="32" t="n"/>
      <c r="Q1696" s="30" t="n"/>
      <c r="R1696" s="32" t="n"/>
      <c r="S1696" s="30" t="n"/>
      <c r="T1696" s="30" t="n"/>
      <c r="U1696" s="30" t="n"/>
      <c r="V1696" s="30" t="n"/>
      <c r="W1696" s="29">
        <f>IF(H1696="","",IF(H1696="Kenya","Yes","No"))</f>
        <v/>
      </c>
      <c r="X1696" s="29">
        <f>IF(B1696="","",IF(COUNTIF($B$5:$B$3004,B1696)&gt;1,"DUPLICATE","OK"))</f>
        <v/>
      </c>
      <c r="Y1696" s="29">
        <f>IF(OR(U1696="",V1696="",V1696="Excluded"),"",IF(COUNTIFS($U$5:$U$3004,U1696,$V$5:$V$3004,"&lt;&gt;"&amp;V1696,$V$5:$V$3004,"&lt;&gt;",$V$5:$V$3004,"&lt;&gt;Excluded")&gt;0,"LEAK RISK","OK"))</f>
        <v/>
      </c>
      <c r="Z1696" s="30" t="n"/>
    </row>
    <row r="1697">
      <c r="A1697" s="30" t="n"/>
      <c r="B1697" s="30" t="n"/>
      <c r="C1697" s="30" t="n"/>
      <c r="D1697" s="30" t="n"/>
      <c r="E1697" s="30" t="n"/>
      <c r="F1697" s="30" t="n"/>
      <c r="G1697" s="30" t="n"/>
      <c r="H1697" s="30" t="n"/>
      <c r="I1697" s="31" t="n"/>
      <c r="J1697" s="30" t="n"/>
      <c r="K1697" s="30" t="n"/>
      <c r="L1697" s="30" t="n"/>
      <c r="M1697" s="30" t="n"/>
      <c r="N1697" s="32" t="n"/>
      <c r="O1697" s="30" t="n"/>
      <c r="P1697" s="32" t="n"/>
      <c r="Q1697" s="30" t="n"/>
      <c r="R1697" s="32" t="n"/>
      <c r="S1697" s="30" t="n"/>
      <c r="T1697" s="30" t="n"/>
      <c r="U1697" s="30" t="n"/>
      <c r="V1697" s="30" t="n"/>
      <c r="W1697" s="29">
        <f>IF(H1697="","",IF(H1697="Kenya","Yes","No"))</f>
        <v/>
      </c>
      <c r="X1697" s="29">
        <f>IF(B1697="","",IF(COUNTIF($B$5:$B$3004,B1697)&gt;1,"DUPLICATE","OK"))</f>
        <v/>
      </c>
      <c r="Y1697" s="29">
        <f>IF(OR(U1697="",V1697="",V1697="Excluded"),"",IF(COUNTIFS($U$5:$U$3004,U1697,$V$5:$V$3004,"&lt;&gt;"&amp;V1697,$V$5:$V$3004,"&lt;&gt;",$V$5:$V$3004,"&lt;&gt;Excluded")&gt;0,"LEAK RISK","OK"))</f>
        <v/>
      </c>
      <c r="Z1697" s="30" t="n"/>
    </row>
    <row r="1698">
      <c r="A1698" s="30" t="n"/>
      <c r="B1698" s="30" t="n"/>
      <c r="C1698" s="30" t="n"/>
      <c r="D1698" s="30" t="n"/>
      <c r="E1698" s="30" t="n"/>
      <c r="F1698" s="30" t="n"/>
      <c r="G1698" s="30" t="n"/>
      <c r="H1698" s="30" t="n"/>
      <c r="I1698" s="31" t="n"/>
      <c r="J1698" s="30" t="n"/>
      <c r="K1698" s="30" t="n"/>
      <c r="L1698" s="30" t="n"/>
      <c r="M1698" s="30" t="n"/>
      <c r="N1698" s="32" t="n"/>
      <c r="O1698" s="30" t="n"/>
      <c r="P1698" s="32" t="n"/>
      <c r="Q1698" s="30" t="n"/>
      <c r="R1698" s="32" t="n"/>
      <c r="S1698" s="30" t="n"/>
      <c r="T1698" s="30" t="n"/>
      <c r="U1698" s="30" t="n"/>
      <c r="V1698" s="30" t="n"/>
      <c r="W1698" s="29">
        <f>IF(H1698="","",IF(H1698="Kenya","Yes","No"))</f>
        <v/>
      </c>
      <c r="X1698" s="29">
        <f>IF(B1698="","",IF(COUNTIF($B$5:$B$3004,B1698)&gt;1,"DUPLICATE","OK"))</f>
        <v/>
      </c>
      <c r="Y1698" s="29">
        <f>IF(OR(U1698="",V1698="",V1698="Excluded"),"",IF(COUNTIFS($U$5:$U$3004,U1698,$V$5:$V$3004,"&lt;&gt;"&amp;V1698,$V$5:$V$3004,"&lt;&gt;",$V$5:$V$3004,"&lt;&gt;Excluded")&gt;0,"LEAK RISK","OK"))</f>
        <v/>
      </c>
      <c r="Z1698" s="30" t="n"/>
    </row>
    <row r="1699">
      <c r="A1699" s="30" t="n"/>
      <c r="B1699" s="30" t="n"/>
      <c r="C1699" s="30" t="n"/>
      <c r="D1699" s="30" t="n"/>
      <c r="E1699" s="30" t="n"/>
      <c r="F1699" s="30" t="n"/>
      <c r="G1699" s="30" t="n"/>
      <c r="H1699" s="30" t="n"/>
      <c r="I1699" s="31" t="n"/>
      <c r="J1699" s="30" t="n"/>
      <c r="K1699" s="30" t="n"/>
      <c r="L1699" s="30" t="n"/>
      <c r="M1699" s="30" t="n"/>
      <c r="N1699" s="32" t="n"/>
      <c r="O1699" s="30" t="n"/>
      <c r="P1699" s="32" t="n"/>
      <c r="Q1699" s="30" t="n"/>
      <c r="R1699" s="32" t="n"/>
      <c r="S1699" s="30" t="n"/>
      <c r="T1699" s="30" t="n"/>
      <c r="U1699" s="30" t="n"/>
      <c r="V1699" s="30" t="n"/>
      <c r="W1699" s="29">
        <f>IF(H1699="","",IF(H1699="Kenya","Yes","No"))</f>
        <v/>
      </c>
      <c r="X1699" s="29">
        <f>IF(B1699="","",IF(COUNTIF($B$5:$B$3004,B1699)&gt;1,"DUPLICATE","OK"))</f>
        <v/>
      </c>
      <c r="Y1699" s="29">
        <f>IF(OR(U1699="",V1699="",V1699="Excluded"),"",IF(COUNTIFS($U$5:$U$3004,U1699,$V$5:$V$3004,"&lt;&gt;"&amp;V1699,$V$5:$V$3004,"&lt;&gt;",$V$5:$V$3004,"&lt;&gt;Excluded")&gt;0,"LEAK RISK","OK"))</f>
        <v/>
      </c>
      <c r="Z1699" s="30" t="n"/>
    </row>
    <row r="1700">
      <c r="A1700" s="30" t="n"/>
      <c r="B1700" s="30" t="n"/>
      <c r="C1700" s="30" t="n"/>
      <c r="D1700" s="30" t="n"/>
      <c r="E1700" s="30" t="n"/>
      <c r="F1700" s="30" t="n"/>
      <c r="G1700" s="30" t="n"/>
      <c r="H1700" s="30" t="n"/>
      <c r="I1700" s="31" t="n"/>
      <c r="J1700" s="30" t="n"/>
      <c r="K1700" s="30" t="n"/>
      <c r="L1700" s="30" t="n"/>
      <c r="M1700" s="30" t="n"/>
      <c r="N1700" s="32" t="n"/>
      <c r="O1700" s="30" t="n"/>
      <c r="P1700" s="32" t="n"/>
      <c r="Q1700" s="30" t="n"/>
      <c r="R1700" s="32" t="n"/>
      <c r="S1700" s="30" t="n"/>
      <c r="T1700" s="30" t="n"/>
      <c r="U1700" s="30" t="n"/>
      <c r="V1700" s="30" t="n"/>
      <c r="W1700" s="29">
        <f>IF(H1700="","",IF(H1700="Kenya","Yes","No"))</f>
        <v/>
      </c>
      <c r="X1700" s="29">
        <f>IF(B1700="","",IF(COUNTIF($B$5:$B$3004,B1700)&gt;1,"DUPLICATE","OK"))</f>
        <v/>
      </c>
      <c r="Y1700" s="29">
        <f>IF(OR(U1700="",V1700="",V1700="Excluded"),"",IF(COUNTIFS($U$5:$U$3004,U1700,$V$5:$V$3004,"&lt;&gt;"&amp;V1700,$V$5:$V$3004,"&lt;&gt;",$V$5:$V$3004,"&lt;&gt;Excluded")&gt;0,"LEAK RISK","OK"))</f>
        <v/>
      </c>
      <c r="Z1700" s="30" t="n"/>
    </row>
    <row r="1701">
      <c r="A1701" s="30" t="n"/>
      <c r="B1701" s="30" t="n"/>
      <c r="C1701" s="30" t="n"/>
      <c r="D1701" s="30" t="n"/>
      <c r="E1701" s="30" t="n"/>
      <c r="F1701" s="30" t="n"/>
      <c r="G1701" s="30" t="n"/>
      <c r="H1701" s="30" t="n"/>
      <c r="I1701" s="31" t="n"/>
      <c r="J1701" s="30" t="n"/>
      <c r="K1701" s="30" t="n"/>
      <c r="L1701" s="30" t="n"/>
      <c r="M1701" s="30" t="n"/>
      <c r="N1701" s="32" t="n"/>
      <c r="O1701" s="30" t="n"/>
      <c r="P1701" s="32" t="n"/>
      <c r="Q1701" s="30" t="n"/>
      <c r="R1701" s="32" t="n"/>
      <c r="S1701" s="30" t="n"/>
      <c r="T1701" s="30" t="n"/>
      <c r="U1701" s="30" t="n"/>
      <c r="V1701" s="30" t="n"/>
      <c r="W1701" s="29">
        <f>IF(H1701="","",IF(H1701="Kenya","Yes","No"))</f>
        <v/>
      </c>
      <c r="X1701" s="29">
        <f>IF(B1701="","",IF(COUNTIF($B$5:$B$3004,B1701)&gt;1,"DUPLICATE","OK"))</f>
        <v/>
      </c>
      <c r="Y1701" s="29">
        <f>IF(OR(U1701="",V1701="",V1701="Excluded"),"",IF(COUNTIFS($U$5:$U$3004,U1701,$V$5:$V$3004,"&lt;&gt;"&amp;V1701,$V$5:$V$3004,"&lt;&gt;",$V$5:$V$3004,"&lt;&gt;Excluded")&gt;0,"LEAK RISK","OK"))</f>
        <v/>
      </c>
      <c r="Z1701" s="30" t="n"/>
    </row>
    <row r="1702">
      <c r="A1702" s="30" t="n"/>
      <c r="B1702" s="30" t="n"/>
      <c r="C1702" s="30" t="n"/>
      <c r="D1702" s="30" t="n"/>
      <c r="E1702" s="30" t="n"/>
      <c r="F1702" s="30" t="n"/>
      <c r="G1702" s="30" t="n"/>
      <c r="H1702" s="30" t="n"/>
      <c r="I1702" s="31" t="n"/>
      <c r="J1702" s="30" t="n"/>
      <c r="K1702" s="30" t="n"/>
      <c r="L1702" s="30" t="n"/>
      <c r="M1702" s="30" t="n"/>
      <c r="N1702" s="32" t="n"/>
      <c r="O1702" s="30" t="n"/>
      <c r="P1702" s="32" t="n"/>
      <c r="Q1702" s="30" t="n"/>
      <c r="R1702" s="32" t="n"/>
      <c r="S1702" s="30" t="n"/>
      <c r="T1702" s="30" t="n"/>
      <c r="U1702" s="30" t="n"/>
      <c r="V1702" s="30" t="n"/>
      <c r="W1702" s="29">
        <f>IF(H1702="","",IF(H1702="Kenya","Yes","No"))</f>
        <v/>
      </c>
      <c r="X1702" s="29">
        <f>IF(B1702="","",IF(COUNTIF($B$5:$B$3004,B1702)&gt;1,"DUPLICATE","OK"))</f>
        <v/>
      </c>
      <c r="Y1702" s="29">
        <f>IF(OR(U1702="",V1702="",V1702="Excluded"),"",IF(COUNTIFS($U$5:$U$3004,U1702,$V$5:$V$3004,"&lt;&gt;"&amp;V1702,$V$5:$V$3004,"&lt;&gt;",$V$5:$V$3004,"&lt;&gt;Excluded")&gt;0,"LEAK RISK","OK"))</f>
        <v/>
      </c>
      <c r="Z1702" s="30" t="n"/>
    </row>
    <row r="1703">
      <c r="A1703" s="30" t="n"/>
      <c r="B1703" s="30" t="n"/>
      <c r="C1703" s="30" t="n"/>
      <c r="D1703" s="30" t="n"/>
      <c r="E1703" s="30" t="n"/>
      <c r="F1703" s="30" t="n"/>
      <c r="G1703" s="30" t="n"/>
      <c r="H1703" s="30" t="n"/>
      <c r="I1703" s="31" t="n"/>
      <c r="J1703" s="30" t="n"/>
      <c r="K1703" s="30" t="n"/>
      <c r="L1703" s="30" t="n"/>
      <c r="M1703" s="30" t="n"/>
      <c r="N1703" s="32" t="n"/>
      <c r="O1703" s="30" t="n"/>
      <c r="P1703" s="32" t="n"/>
      <c r="Q1703" s="30" t="n"/>
      <c r="R1703" s="32" t="n"/>
      <c r="S1703" s="30" t="n"/>
      <c r="T1703" s="30" t="n"/>
      <c r="U1703" s="30" t="n"/>
      <c r="V1703" s="30" t="n"/>
      <c r="W1703" s="29">
        <f>IF(H1703="","",IF(H1703="Kenya","Yes","No"))</f>
        <v/>
      </c>
      <c r="X1703" s="29">
        <f>IF(B1703="","",IF(COUNTIF($B$5:$B$3004,B1703)&gt;1,"DUPLICATE","OK"))</f>
        <v/>
      </c>
      <c r="Y1703" s="29">
        <f>IF(OR(U1703="",V1703="",V1703="Excluded"),"",IF(COUNTIFS($U$5:$U$3004,U1703,$V$5:$V$3004,"&lt;&gt;"&amp;V1703,$V$5:$V$3004,"&lt;&gt;",$V$5:$V$3004,"&lt;&gt;Excluded")&gt;0,"LEAK RISK","OK"))</f>
        <v/>
      </c>
      <c r="Z1703" s="30" t="n"/>
    </row>
    <row r="1704">
      <c r="A1704" s="30" t="n"/>
      <c r="B1704" s="30" t="n"/>
      <c r="C1704" s="30" t="n"/>
      <c r="D1704" s="30" t="n"/>
      <c r="E1704" s="30" t="n"/>
      <c r="F1704" s="30" t="n"/>
      <c r="G1704" s="30" t="n"/>
      <c r="H1704" s="30" t="n"/>
      <c r="I1704" s="31" t="n"/>
      <c r="J1704" s="30" t="n"/>
      <c r="K1704" s="30" t="n"/>
      <c r="L1704" s="30" t="n"/>
      <c r="M1704" s="30" t="n"/>
      <c r="N1704" s="32" t="n"/>
      <c r="O1704" s="30" t="n"/>
      <c r="P1704" s="32" t="n"/>
      <c r="Q1704" s="30" t="n"/>
      <c r="R1704" s="32" t="n"/>
      <c r="S1704" s="30" t="n"/>
      <c r="T1704" s="30" t="n"/>
      <c r="U1704" s="30" t="n"/>
      <c r="V1704" s="30" t="n"/>
      <c r="W1704" s="29">
        <f>IF(H1704="","",IF(H1704="Kenya","Yes","No"))</f>
        <v/>
      </c>
      <c r="X1704" s="29">
        <f>IF(B1704="","",IF(COUNTIF($B$5:$B$3004,B1704)&gt;1,"DUPLICATE","OK"))</f>
        <v/>
      </c>
      <c r="Y1704" s="29">
        <f>IF(OR(U1704="",V1704="",V1704="Excluded"),"",IF(COUNTIFS($U$5:$U$3004,U1704,$V$5:$V$3004,"&lt;&gt;"&amp;V1704,$V$5:$V$3004,"&lt;&gt;",$V$5:$V$3004,"&lt;&gt;Excluded")&gt;0,"LEAK RISK","OK"))</f>
        <v/>
      </c>
      <c r="Z1704" s="30" t="n"/>
    </row>
    <row r="1705">
      <c r="A1705" s="30" t="n"/>
      <c r="B1705" s="30" t="n"/>
      <c r="C1705" s="30" t="n"/>
      <c r="D1705" s="30" t="n"/>
      <c r="E1705" s="30" t="n"/>
      <c r="F1705" s="30" t="n"/>
      <c r="G1705" s="30" t="n"/>
      <c r="H1705" s="30" t="n"/>
      <c r="I1705" s="31" t="n"/>
      <c r="J1705" s="30" t="n"/>
      <c r="K1705" s="30" t="n"/>
      <c r="L1705" s="30" t="n"/>
      <c r="M1705" s="30" t="n"/>
      <c r="N1705" s="32" t="n"/>
      <c r="O1705" s="30" t="n"/>
      <c r="P1705" s="32" t="n"/>
      <c r="Q1705" s="30" t="n"/>
      <c r="R1705" s="32" t="n"/>
      <c r="S1705" s="30" t="n"/>
      <c r="T1705" s="30" t="n"/>
      <c r="U1705" s="30" t="n"/>
      <c r="V1705" s="30" t="n"/>
      <c r="W1705" s="29">
        <f>IF(H1705="","",IF(H1705="Kenya","Yes","No"))</f>
        <v/>
      </c>
      <c r="X1705" s="29">
        <f>IF(B1705="","",IF(COUNTIF($B$5:$B$3004,B1705)&gt;1,"DUPLICATE","OK"))</f>
        <v/>
      </c>
      <c r="Y1705" s="29">
        <f>IF(OR(U1705="",V1705="",V1705="Excluded"),"",IF(COUNTIFS($U$5:$U$3004,U1705,$V$5:$V$3004,"&lt;&gt;"&amp;V1705,$V$5:$V$3004,"&lt;&gt;",$V$5:$V$3004,"&lt;&gt;Excluded")&gt;0,"LEAK RISK","OK"))</f>
        <v/>
      </c>
      <c r="Z1705" s="30" t="n"/>
    </row>
    <row r="1706">
      <c r="A1706" s="30" t="n"/>
      <c r="B1706" s="30" t="n"/>
      <c r="C1706" s="30" t="n"/>
      <c r="D1706" s="30" t="n"/>
      <c r="E1706" s="30" t="n"/>
      <c r="F1706" s="30" t="n"/>
      <c r="G1706" s="30" t="n"/>
      <c r="H1706" s="30" t="n"/>
      <c r="I1706" s="31" t="n"/>
      <c r="J1706" s="30" t="n"/>
      <c r="K1706" s="30" t="n"/>
      <c r="L1706" s="30" t="n"/>
      <c r="M1706" s="30" t="n"/>
      <c r="N1706" s="32" t="n"/>
      <c r="O1706" s="30" t="n"/>
      <c r="P1706" s="32" t="n"/>
      <c r="Q1706" s="30" t="n"/>
      <c r="R1706" s="32" t="n"/>
      <c r="S1706" s="30" t="n"/>
      <c r="T1706" s="30" t="n"/>
      <c r="U1706" s="30" t="n"/>
      <c r="V1706" s="30" t="n"/>
      <c r="W1706" s="29">
        <f>IF(H1706="","",IF(H1706="Kenya","Yes","No"))</f>
        <v/>
      </c>
      <c r="X1706" s="29">
        <f>IF(B1706="","",IF(COUNTIF($B$5:$B$3004,B1706)&gt;1,"DUPLICATE","OK"))</f>
        <v/>
      </c>
      <c r="Y1706" s="29">
        <f>IF(OR(U1706="",V1706="",V1706="Excluded"),"",IF(COUNTIFS($U$5:$U$3004,U1706,$V$5:$V$3004,"&lt;&gt;"&amp;V1706,$V$5:$V$3004,"&lt;&gt;",$V$5:$V$3004,"&lt;&gt;Excluded")&gt;0,"LEAK RISK","OK"))</f>
        <v/>
      </c>
      <c r="Z1706" s="30" t="n"/>
    </row>
    <row r="1707">
      <c r="A1707" s="30" t="n"/>
      <c r="B1707" s="30" t="n"/>
      <c r="C1707" s="30" t="n"/>
      <c r="D1707" s="30" t="n"/>
      <c r="E1707" s="30" t="n"/>
      <c r="F1707" s="30" t="n"/>
      <c r="G1707" s="30" t="n"/>
      <c r="H1707" s="30" t="n"/>
      <c r="I1707" s="31" t="n"/>
      <c r="J1707" s="30" t="n"/>
      <c r="K1707" s="30" t="n"/>
      <c r="L1707" s="30" t="n"/>
      <c r="M1707" s="30" t="n"/>
      <c r="N1707" s="32" t="n"/>
      <c r="O1707" s="30" t="n"/>
      <c r="P1707" s="32" t="n"/>
      <c r="Q1707" s="30" t="n"/>
      <c r="R1707" s="32" t="n"/>
      <c r="S1707" s="30" t="n"/>
      <c r="T1707" s="30" t="n"/>
      <c r="U1707" s="30" t="n"/>
      <c r="V1707" s="30" t="n"/>
      <c r="W1707" s="29">
        <f>IF(H1707="","",IF(H1707="Kenya","Yes","No"))</f>
        <v/>
      </c>
      <c r="X1707" s="29">
        <f>IF(B1707="","",IF(COUNTIF($B$5:$B$3004,B1707)&gt;1,"DUPLICATE","OK"))</f>
        <v/>
      </c>
      <c r="Y1707" s="29">
        <f>IF(OR(U1707="",V1707="",V1707="Excluded"),"",IF(COUNTIFS($U$5:$U$3004,U1707,$V$5:$V$3004,"&lt;&gt;"&amp;V1707,$V$5:$V$3004,"&lt;&gt;",$V$5:$V$3004,"&lt;&gt;Excluded")&gt;0,"LEAK RISK","OK"))</f>
        <v/>
      </c>
      <c r="Z1707" s="30" t="n"/>
    </row>
    <row r="1708">
      <c r="A1708" s="30" t="n"/>
      <c r="B1708" s="30" t="n"/>
      <c r="C1708" s="30" t="n"/>
      <c r="D1708" s="30" t="n"/>
      <c r="E1708" s="30" t="n"/>
      <c r="F1708" s="30" t="n"/>
      <c r="G1708" s="30" t="n"/>
      <c r="H1708" s="30" t="n"/>
      <c r="I1708" s="31" t="n"/>
      <c r="J1708" s="30" t="n"/>
      <c r="K1708" s="30" t="n"/>
      <c r="L1708" s="30" t="n"/>
      <c r="M1708" s="30" t="n"/>
      <c r="N1708" s="32" t="n"/>
      <c r="O1708" s="30" t="n"/>
      <c r="P1708" s="32" t="n"/>
      <c r="Q1708" s="30" t="n"/>
      <c r="R1708" s="32" t="n"/>
      <c r="S1708" s="30" t="n"/>
      <c r="T1708" s="30" t="n"/>
      <c r="U1708" s="30" t="n"/>
      <c r="V1708" s="30" t="n"/>
      <c r="W1708" s="29">
        <f>IF(H1708="","",IF(H1708="Kenya","Yes","No"))</f>
        <v/>
      </c>
      <c r="X1708" s="29">
        <f>IF(B1708="","",IF(COUNTIF($B$5:$B$3004,B1708)&gt;1,"DUPLICATE","OK"))</f>
        <v/>
      </c>
      <c r="Y1708" s="29">
        <f>IF(OR(U1708="",V1708="",V1708="Excluded"),"",IF(COUNTIFS($U$5:$U$3004,U1708,$V$5:$V$3004,"&lt;&gt;"&amp;V1708,$V$5:$V$3004,"&lt;&gt;",$V$5:$V$3004,"&lt;&gt;Excluded")&gt;0,"LEAK RISK","OK"))</f>
        <v/>
      </c>
      <c r="Z1708" s="30" t="n"/>
    </row>
    <row r="1709">
      <c r="A1709" s="30" t="n"/>
      <c r="B1709" s="30" t="n"/>
      <c r="C1709" s="30" t="n"/>
      <c r="D1709" s="30" t="n"/>
      <c r="E1709" s="30" t="n"/>
      <c r="F1709" s="30" t="n"/>
      <c r="G1709" s="30" t="n"/>
      <c r="H1709" s="30" t="n"/>
      <c r="I1709" s="31" t="n"/>
      <c r="J1709" s="30" t="n"/>
      <c r="K1709" s="30" t="n"/>
      <c r="L1709" s="30" t="n"/>
      <c r="M1709" s="30" t="n"/>
      <c r="N1709" s="32" t="n"/>
      <c r="O1709" s="30" t="n"/>
      <c r="P1709" s="32" t="n"/>
      <c r="Q1709" s="30" t="n"/>
      <c r="R1709" s="32" t="n"/>
      <c r="S1709" s="30" t="n"/>
      <c r="T1709" s="30" t="n"/>
      <c r="U1709" s="30" t="n"/>
      <c r="V1709" s="30" t="n"/>
      <c r="W1709" s="29">
        <f>IF(H1709="","",IF(H1709="Kenya","Yes","No"))</f>
        <v/>
      </c>
      <c r="X1709" s="29">
        <f>IF(B1709="","",IF(COUNTIF($B$5:$B$3004,B1709)&gt;1,"DUPLICATE","OK"))</f>
        <v/>
      </c>
      <c r="Y1709" s="29">
        <f>IF(OR(U1709="",V1709="",V1709="Excluded"),"",IF(COUNTIFS($U$5:$U$3004,U1709,$V$5:$V$3004,"&lt;&gt;"&amp;V1709,$V$5:$V$3004,"&lt;&gt;",$V$5:$V$3004,"&lt;&gt;Excluded")&gt;0,"LEAK RISK","OK"))</f>
        <v/>
      </c>
      <c r="Z1709" s="30" t="n"/>
    </row>
    <row r="1710">
      <c r="A1710" s="30" t="n"/>
      <c r="B1710" s="30" t="n"/>
      <c r="C1710" s="30" t="n"/>
      <c r="D1710" s="30" t="n"/>
      <c r="E1710" s="30" t="n"/>
      <c r="F1710" s="30" t="n"/>
      <c r="G1710" s="30" t="n"/>
      <c r="H1710" s="30" t="n"/>
      <c r="I1710" s="31" t="n"/>
      <c r="J1710" s="30" t="n"/>
      <c r="K1710" s="30" t="n"/>
      <c r="L1710" s="30" t="n"/>
      <c r="M1710" s="30" t="n"/>
      <c r="N1710" s="32" t="n"/>
      <c r="O1710" s="30" t="n"/>
      <c r="P1710" s="32" t="n"/>
      <c r="Q1710" s="30" t="n"/>
      <c r="R1710" s="32" t="n"/>
      <c r="S1710" s="30" t="n"/>
      <c r="T1710" s="30" t="n"/>
      <c r="U1710" s="30" t="n"/>
      <c r="V1710" s="30" t="n"/>
      <c r="W1710" s="29">
        <f>IF(H1710="","",IF(H1710="Kenya","Yes","No"))</f>
        <v/>
      </c>
      <c r="X1710" s="29">
        <f>IF(B1710="","",IF(COUNTIF($B$5:$B$3004,B1710)&gt;1,"DUPLICATE","OK"))</f>
        <v/>
      </c>
      <c r="Y1710" s="29">
        <f>IF(OR(U1710="",V1710="",V1710="Excluded"),"",IF(COUNTIFS($U$5:$U$3004,U1710,$V$5:$V$3004,"&lt;&gt;"&amp;V1710,$V$5:$V$3004,"&lt;&gt;",$V$5:$V$3004,"&lt;&gt;Excluded")&gt;0,"LEAK RISK","OK"))</f>
        <v/>
      </c>
      <c r="Z1710" s="30" t="n"/>
    </row>
    <row r="1711">
      <c r="A1711" s="30" t="n"/>
      <c r="B1711" s="30" t="n"/>
      <c r="C1711" s="30" t="n"/>
      <c r="D1711" s="30" t="n"/>
      <c r="E1711" s="30" t="n"/>
      <c r="F1711" s="30" t="n"/>
      <c r="G1711" s="30" t="n"/>
      <c r="H1711" s="30" t="n"/>
      <c r="I1711" s="31" t="n"/>
      <c r="J1711" s="30" t="n"/>
      <c r="K1711" s="30" t="n"/>
      <c r="L1711" s="30" t="n"/>
      <c r="M1711" s="30" t="n"/>
      <c r="N1711" s="32" t="n"/>
      <c r="O1711" s="30" t="n"/>
      <c r="P1711" s="32" t="n"/>
      <c r="Q1711" s="30" t="n"/>
      <c r="R1711" s="32" t="n"/>
      <c r="S1711" s="30" t="n"/>
      <c r="T1711" s="30" t="n"/>
      <c r="U1711" s="30" t="n"/>
      <c r="V1711" s="30" t="n"/>
      <c r="W1711" s="29">
        <f>IF(H1711="","",IF(H1711="Kenya","Yes","No"))</f>
        <v/>
      </c>
      <c r="X1711" s="29">
        <f>IF(B1711="","",IF(COUNTIF($B$5:$B$3004,B1711)&gt;1,"DUPLICATE","OK"))</f>
        <v/>
      </c>
      <c r="Y1711" s="29">
        <f>IF(OR(U1711="",V1711="",V1711="Excluded"),"",IF(COUNTIFS($U$5:$U$3004,U1711,$V$5:$V$3004,"&lt;&gt;"&amp;V1711,$V$5:$V$3004,"&lt;&gt;",$V$5:$V$3004,"&lt;&gt;Excluded")&gt;0,"LEAK RISK","OK"))</f>
        <v/>
      </c>
      <c r="Z1711" s="30" t="n"/>
    </row>
    <row r="1712">
      <c r="A1712" s="30" t="n"/>
      <c r="B1712" s="30" t="n"/>
      <c r="C1712" s="30" t="n"/>
      <c r="D1712" s="30" t="n"/>
      <c r="E1712" s="30" t="n"/>
      <c r="F1712" s="30" t="n"/>
      <c r="G1712" s="30" t="n"/>
      <c r="H1712" s="30" t="n"/>
      <c r="I1712" s="31" t="n"/>
      <c r="J1712" s="30" t="n"/>
      <c r="K1712" s="30" t="n"/>
      <c r="L1712" s="30" t="n"/>
      <c r="M1712" s="30" t="n"/>
      <c r="N1712" s="32" t="n"/>
      <c r="O1712" s="30" t="n"/>
      <c r="P1712" s="32" t="n"/>
      <c r="Q1712" s="30" t="n"/>
      <c r="R1712" s="32" t="n"/>
      <c r="S1712" s="30" t="n"/>
      <c r="T1712" s="30" t="n"/>
      <c r="U1712" s="30" t="n"/>
      <c r="V1712" s="30" t="n"/>
      <c r="W1712" s="29">
        <f>IF(H1712="","",IF(H1712="Kenya","Yes","No"))</f>
        <v/>
      </c>
      <c r="X1712" s="29">
        <f>IF(B1712="","",IF(COUNTIF($B$5:$B$3004,B1712)&gt;1,"DUPLICATE","OK"))</f>
        <v/>
      </c>
      <c r="Y1712" s="29">
        <f>IF(OR(U1712="",V1712="",V1712="Excluded"),"",IF(COUNTIFS($U$5:$U$3004,U1712,$V$5:$V$3004,"&lt;&gt;"&amp;V1712,$V$5:$V$3004,"&lt;&gt;",$V$5:$V$3004,"&lt;&gt;Excluded")&gt;0,"LEAK RISK","OK"))</f>
        <v/>
      </c>
      <c r="Z1712" s="30" t="n"/>
    </row>
    <row r="1713">
      <c r="A1713" s="30" t="n"/>
      <c r="B1713" s="30" t="n"/>
      <c r="C1713" s="30" t="n"/>
      <c r="D1713" s="30" t="n"/>
      <c r="E1713" s="30" t="n"/>
      <c r="F1713" s="30" t="n"/>
      <c r="G1713" s="30" t="n"/>
      <c r="H1713" s="30" t="n"/>
      <c r="I1713" s="31" t="n"/>
      <c r="J1713" s="30" t="n"/>
      <c r="K1713" s="30" t="n"/>
      <c r="L1713" s="30" t="n"/>
      <c r="M1713" s="30" t="n"/>
      <c r="N1713" s="32" t="n"/>
      <c r="O1713" s="30" t="n"/>
      <c r="P1713" s="32" t="n"/>
      <c r="Q1713" s="30" t="n"/>
      <c r="R1713" s="32" t="n"/>
      <c r="S1713" s="30" t="n"/>
      <c r="T1713" s="30" t="n"/>
      <c r="U1713" s="30" t="n"/>
      <c r="V1713" s="30" t="n"/>
      <c r="W1713" s="29">
        <f>IF(H1713="","",IF(H1713="Kenya","Yes","No"))</f>
        <v/>
      </c>
      <c r="X1713" s="29">
        <f>IF(B1713="","",IF(COUNTIF($B$5:$B$3004,B1713)&gt;1,"DUPLICATE","OK"))</f>
        <v/>
      </c>
      <c r="Y1713" s="29">
        <f>IF(OR(U1713="",V1713="",V1713="Excluded"),"",IF(COUNTIFS($U$5:$U$3004,U1713,$V$5:$V$3004,"&lt;&gt;"&amp;V1713,$V$5:$V$3004,"&lt;&gt;",$V$5:$V$3004,"&lt;&gt;Excluded")&gt;0,"LEAK RISK","OK"))</f>
        <v/>
      </c>
      <c r="Z1713" s="30" t="n"/>
    </row>
    <row r="1714">
      <c r="A1714" s="30" t="n"/>
      <c r="B1714" s="30" t="n"/>
      <c r="C1714" s="30" t="n"/>
      <c r="D1714" s="30" t="n"/>
      <c r="E1714" s="30" t="n"/>
      <c r="F1714" s="30" t="n"/>
      <c r="G1714" s="30" t="n"/>
      <c r="H1714" s="30" t="n"/>
      <c r="I1714" s="31" t="n"/>
      <c r="J1714" s="30" t="n"/>
      <c r="K1714" s="30" t="n"/>
      <c r="L1714" s="30" t="n"/>
      <c r="M1714" s="30" t="n"/>
      <c r="N1714" s="32" t="n"/>
      <c r="O1714" s="30" t="n"/>
      <c r="P1714" s="32" t="n"/>
      <c r="Q1714" s="30" t="n"/>
      <c r="R1714" s="32" t="n"/>
      <c r="S1714" s="30" t="n"/>
      <c r="T1714" s="30" t="n"/>
      <c r="U1714" s="30" t="n"/>
      <c r="V1714" s="30" t="n"/>
      <c r="W1714" s="29">
        <f>IF(H1714="","",IF(H1714="Kenya","Yes","No"))</f>
        <v/>
      </c>
      <c r="X1714" s="29">
        <f>IF(B1714="","",IF(COUNTIF($B$5:$B$3004,B1714)&gt;1,"DUPLICATE","OK"))</f>
        <v/>
      </c>
      <c r="Y1714" s="29">
        <f>IF(OR(U1714="",V1714="",V1714="Excluded"),"",IF(COUNTIFS($U$5:$U$3004,U1714,$V$5:$V$3004,"&lt;&gt;"&amp;V1714,$V$5:$V$3004,"&lt;&gt;",$V$5:$V$3004,"&lt;&gt;Excluded")&gt;0,"LEAK RISK","OK"))</f>
        <v/>
      </c>
      <c r="Z1714" s="30" t="n"/>
    </row>
    <row r="1715">
      <c r="A1715" s="30" t="n"/>
      <c r="B1715" s="30" t="n"/>
      <c r="C1715" s="30" t="n"/>
      <c r="D1715" s="30" t="n"/>
      <c r="E1715" s="30" t="n"/>
      <c r="F1715" s="30" t="n"/>
      <c r="G1715" s="30" t="n"/>
      <c r="H1715" s="30" t="n"/>
      <c r="I1715" s="31" t="n"/>
      <c r="J1715" s="30" t="n"/>
      <c r="K1715" s="30" t="n"/>
      <c r="L1715" s="30" t="n"/>
      <c r="M1715" s="30" t="n"/>
      <c r="N1715" s="32" t="n"/>
      <c r="O1715" s="30" t="n"/>
      <c r="P1715" s="32" t="n"/>
      <c r="Q1715" s="30" t="n"/>
      <c r="R1715" s="32" t="n"/>
      <c r="S1715" s="30" t="n"/>
      <c r="T1715" s="30" t="n"/>
      <c r="U1715" s="30" t="n"/>
      <c r="V1715" s="30" t="n"/>
      <c r="W1715" s="29">
        <f>IF(H1715="","",IF(H1715="Kenya","Yes","No"))</f>
        <v/>
      </c>
      <c r="X1715" s="29">
        <f>IF(B1715="","",IF(COUNTIF($B$5:$B$3004,B1715)&gt;1,"DUPLICATE","OK"))</f>
        <v/>
      </c>
      <c r="Y1715" s="29">
        <f>IF(OR(U1715="",V1715="",V1715="Excluded"),"",IF(COUNTIFS($U$5:$U$3004,U1715,$V$5:$V$3004,"&lt;&gt;"&amp;V1715,$V$5:$V$3004,"&lt;&gt;",$V$5:$V$3004,"&lt;&gt;Excluded")&gt;0,"LEAK RISK","OK"))</f>
        <v/>
      </c>
      <c r="Z1715" s="30" t="n"/>
    </row>
    <row r="1716">
      <c r="A1716" s="30" t="n"/>
      <c r="B1716" s="30" t="n"/>
      <c r="C1716" s="30" t="n"/>
      <c r="D1716" s="30" t="n"/>
      <c r="E1716" s="30" t="n"/>
      <c r="F1716" s="30" t="n"/>
      <c r="G1716" s="30" t="n"/>
      <c r="H1716" s="30" t="n"/>
      <c r="I1716" s="31" t="n"/>
      <c r="J1716" s="30" t="n"/>
      <c r="K1716" s="30" t="n"/>
      <c r="L1716" s="30" t="n"/>
      <c r="M1716" s="30" t="n"/>
      <c r="N1716" s="32" t="n"/>
      <c r="O1716" s="30" t="n"/>
      <c r="P1716" s="32" t="n"/>
      <c r="Q1716" s="30" t="n"/>
      <c r="R1716" s="32" t="n"/>
      <c r="S1716" s="30" t="n"/>
      <c r="T1716" s="30" t="n"/>
      <c r="U1716" s="30" t="n"/>
      <c r="V1716" s="30" t="n"/>
      <c r="W1716" s="29">
        <f>IF(H1716="","",IF(H1716="Kenya","Yes","No"))</f>
        <v/>
      </c>
      <c r="X1716" s="29">
        <f>IF(B1716="","",IF(COUNTIF($B$5:$B$3004,B1716)&gt;1,"DUPLICATE","OK"))</f>
        <v/>
      </c>
      <c r="Y1716" s="29">
        <f>IF(OR(U1716="",V1716="",V1716="Excluded"),"",IF(COUNTIFS($U$5:$U$3004,U1716,$V$5:$V$3004,"&lt;&gt;"&amp;V1716,$V$5:$V$3004,"&lt;&gt;",$V$5:$V$3004,"&lt;&gt;Excluded")&gt;0,"LEAK RISK","OK"))</f>
        <v/>
      </c>
      <c r="Z1716" s="30" t="n"/>
    </row>
    <row r="1717">
      <c r="A1717" s="30" t="n"/>
      <c r="B1717" s="30" t="n"/>
      <c r="C1717" s="30" t="n"/>
      <c r="D1717" s="30" t="n"/>
      <c r="E1717" s="30" t="n"/>
      <c r="F1717" s="30" t="n"/>
      <c r="G1717" s="30" t="n"/>
      <c r="H1717" s="30" t="n"/>
      <c r="I1717" s="31" t="n"/>
      <c r="J1717" s="30" t="n"/>
      <c r="K1717" s="30" t="n"/>
      <c r="L1717" s="30" t="n"/>
      <c r="M1717" s="30" t="n"/>
      <c r="N1717" s="32" t="n"/>
      <c r="O1717" s="30" t="n"/>
      <c r="P1717" s="32" t="n"/>
      <c r="Q1717" s="30" t="n"/>
      <c r="R1717" s="32" t="n"/>
      <c r="S1717" s="30" t="n"/>
      <c r="T1717" s="30" t="n"/>
      <c r="U1717" s="30" t="n"/>
      <c r="V1717" s="30" t="n"/>
      <c r="W1717" s="29">
        <f>IF(H1717="","",IF(H1717="Kenya","Yes","No"))</f>
        <v/>
      </c>
      <c r="X1717" s="29">
        <f>IF(B1717="","",IF(COUNTIF($B$5:$B$3004,B1717)&gt;1,"DUPLICATE","OK"))</f>
        <v/>
      </c>
      <c r="Y1717" s="29">
        <f>IF(OR(U1717="",V1717="",V1717="Excluded"),"",IF(COUNTIFS($U$5:$U$3004,U1717,$V$5:$V$3004,"&lt;&gt;"&amp;V1717,$V$5:$V$3004,"&lt;&gt;",$V$5:$V$3004,"&lt;&gt;Excluded")&gt;0,"LEAK RISK","OK"))</f>
        <v/>
      </c>
      <c r="Z1717" s="30" t="n"/>
    </row>
    <row r="1718">
      <c r="A1718" s="30" t="n"/>
      <c r="B1718" s="30" t="n"/>
      <c r="C1718" s="30" t="n"/>
      <c r="D1718" s="30" t="n"/>
      <c r="E1718" s="30" t="n"/>
      <c r="F1718" s="30" t="n"/>
      <c r="G1718" s="30" t="n"/>
      <c r="H1718" s="30" t="n"/>
      <c r="I1718" s="31" t="n"/>
      <c r="J1718" s="30" t="n"/>
      <c r="K1718" s="30" t="n"/>
      <c r="L1718" s="30" t="n"/>
      <c r="M1718" s="30" t="n"/>
      <c r="N1718" s="32" t="n"/>
      <c r="O1718" s="30" t="n"/>
      <c r="P1718" s="32" t="n"/>
      <c r="Q1718" s="30" t="n"/>
      <c r="R1718" s="32" t="n"/>
      <c r="S1718" s="30" t="n"/>
      <c r="T1718" s="30" t="n"/>
      <c r="U1718" s="30" t="n"/>
      <c r="V1718" s="30" t="n"/>
      <c r="W1718" s="29">
        <f>IF(H1718="","",IF(H1718="Kenya","Yes","No"))</f>
        <v/>
      </c>
      <c r="X1718" s="29">
        <f>IF(B1718="","",IF(COUNTIF($B$5:$B$3004,B1718)&gt;1,"DUPLICATE","OK"))</f>
        <v/>
      </c>
      <c r="Y1718" s="29">
        <f>IF(OR(U1718="",V1718="",V1718="Excluded"),"",IF(COUNTIFS($U$5:$U$3004,U1718,$V$5:$V$3004,"&lt;&gt;"&amp;V1718,$V$5:$V$3004,"&lt;&gt;",$V$5:$V$3004,"&lt;&gt;Excluded")&gt;0,"LEAK RISK","OK"))</f>
        <v/>
      </c>
      <c r="Z1718" s="30" t="n"/>
    </row>
    <row r="1719">
      <c r="A1719" s="30" t="n"/>
      <c r="B1719" s="30" t="n"/>
      <c r="C1719" s="30" t="n"/>
      <c r="D1719" s="30" t="n"/>
      <c r="E1719" s="30" t="n"/>
      <c r="F1719" s="30" t="n"/>
      <c r="G1719" s="30" t="n"/>
      <c r="H1719" s="30" t="n"/>
      <c r="I1719" s="31" t="n"/>
      <c r="J1719" s="30" t="n"/>
      <c r="K1719" s="30" t="n"/>
      <c r="L1719" s="30" t="n"/>
      <c r="M1719" s="30" t="n"/>
      <c r="N1719" s="32" t="n"/>
      <c r="O1719" s="30" t="n"/>
      <c r="P1719" s="32" t="n"/>
      <c r="Q1719" s="30" t="n"/>
      <c r="R1719" s="32" t="n"/>
      <c r="S1719" s="30" t="n"/>
      <c r="T1719" s="30" t="n"/>
      <c r="U1719" s="30" t="n"/>
      <c r="V1719" s="30" t="n"/>
      <c r="W1719" s="29">
        <f>IF(H1719="","",IF(H1719="Kenya","Yes","No"))</f>
        <v/>
      </c>
      <c r="X1719" s="29">
        <f>IF(B1719="","",IF(COUNTIF($B$5:$B$3004,B1719)&gt;1,"DUPLICATE","OK"))</f>
        <v/>
      </c>
      <c r="Y1719" s="29">
        <f>IF(OR(U1719="",V1719="",V1719="Excluded"),"",IF(COUNTIFS($U$5:$U$3004,U1719,$V$5:$V$3004,"&lt;&gt;"&amp;V1719,$V$5:$V$3004,"&lt;&gt;",$V$5:$V$3004,"&lt;&gt;Excluded")&gt;0,"LEAK RISK","OK"))</f>
        <v/>
      </c>
      <c r="Z1719" s="30" t="n"/>
    </row>
    <row r="1720">
      <c r="A1720" s="30" t="n"/>
      <c r="B1720" s="30" t="n"/>
      <c r="C1720" s="30" t="n"/>
      <c r="D1720" s="30" t="n"/>
      <c r="E1720" s="30" t="n"/>
      <c r="F1720" s="30" t="n"/>
      <c r="G1720" s="30" t="n"/>
      <c r="H1720" s="30" t="n"/>
      <c r="I1720" s="31" t="n"/>
      <c r="J1720" s="30" t="n"/>
      <c r="K1720" s="30" t="n"/>
      <c r="L1720" s="30" t="n"/>
      <c r="M1720" s="30" t="n"/>
      <c r="N1720" s="32" t="n"/>
      <c r="O1720" s="30" t="n"/>
      <c r="P1720" s="32" t="n"/>
      <c r="Q1720" s="30" t="n"/>
      <c r="R1720" s="32" t="n"/>
      <c r="S1720" s="30" t="n"/>
      <c r="T1720" s="30" t="n"/>
      <c r="U1720" s="30" t="n"/>
      <c r="V1720" s="30" t="n"/>
      <c r="W1720" s="29">
        <f>IF(H1720="","",IF(H1720="Kenya","Yes","No"))</f>
        <v/>
      </c>
      <c r="X1720" s="29">
        <f>IF(B1720="","",IF(COUNTIF($B$5:$B$3004,B1720)&gt;1,"DUPLICATE","OK"))</f>
        <v/>
      </c>
      <c r="Y1720" s="29">
        <f>IF(OR(U1720="",V1720="",V1720="Excluded"),"",IF(COUNTIFS($U$5:$U$3004,U1720,$V$5:$V$3004,"&lt;&gt;"&amp;V1720,$V$5:$V$3004,"&lt;&gt;",$V$5:$V$3004,"&lt;&gt;Excluded")&gt;0,"LEAK RISK","OK"))</f>
        <v/>
      </c>
      <c r="Z1720" s="30" t="n"/>
    </row>
    <row r="1721">
      <c r="A1721" s="30" t="n"/>
      <c r="B1721" s="30" t="n"/>
      <c r="C1721" s="30" t="n"/>
      <c r="D1721" s="30" t="n"/>
      <c r="E1721" s="30" t="n"/>
      <c r="F1721" s="30" t="n"/>
      <c r="G1721" s="30" t="n"/>
      <c r="H1721" s="30" t="n"/>
      <c r="I1721" s="31" t="n"/>
      <c r="J1721" s="30" t="n"/>
      <c r="K1721" s="30" t="n"/>
      <c r="L1721" s="30" t="n"/>
      <c r="M1721" s="30" t="n"/>
      <c r="N1721" s="32" t="n"/>
      <c r="O1721" s="30" t="n"/>
      <c r="P1721" s="32" t="n"/>
      <c r="Q1721" s="30" t="n"/>
      <c r="R1721" s="32" t="n"/>
      <c r="S1721" s="30" t="n"/>
      <c r="T1721" s="30" t="n"/>
      <c r="U1721" s="30" t="n"/>
      <c r="V1721" s="30" t="n"/>
      <c r="W1721" s="29">
        <f>IF(H1721="","",IF(H1721="Kenya","Yes","No"))</f>
        <v/>
      </c>
      <c r="X1721" s="29">
        <f>IF(B1721="","",IF(COUNTIF($B$5:$B$3004,B1721)&gt;1,"DUPLICATE","OK"))</f>
        <v/>
      </c>
      <c r="Y1721" s="29">
        <f>IF(OR(U1721="",V1721="",V1721="Excluded"),"",IF(COUNTIFS($U$5:$U$3004,U1721,$V$5:$V$3004,"&lt;&gt;"&amp;V1721,$V$5:$V$3004,"&lt;&gt;",$V$5:$V$3004,"&lt;&gt;Excluded")&gt;0,"LEAK RISK","OK"))</f>
        <v/>
      </c>
      <c r="Z1721" s="30" t="n"/>
    </row>
    <row r="1722">
      <c r="A1722" s="30" t="n"/>
      <c r="B1722" s="30" t="n"/>
      <c r="C1722" s="30" t="n"/>
      <c r="D1722" s="30" t="n"/>
      <c r="E1722" s="30" t="n"/>
      <c r="F1722" s="30" t="n"/>
      <c r="G1722" s="30" t="n"/>
      <c r="H1722" s="30" t="n"/>
      <c r="I1722" s="31" t="n"/>
      <c r="J1722" s="30" t="n"/>
      <c r="K1722" s="30" t="n"/>
      <c r="L1722" s="30" t="n"/>
      <c r="M1722" s="30" t="n"/>
      <c r="N1722" s="32" t="n"/>
      <c r="O1722" s="30" t="n"/>
      <c r="P1722" s="32" t="n"/>
      <c r="Q1722" s="30" t="n"/>
      <c r="R1722" s="32" t="n"/>
      <c r="S1722" s="30" t="n"/>
      <c r="T1722" s="30" t="n"/>
      <c r="U1722" s="30" t="n"/>
      <c r="V1722" s="30" t="n"/>
      <c r="W1722" s="29">
        <f>IF(H1722="","",IF(H1722="Kenya","Yes","No"))</f>
        <v/>
      </c>
      <c r="X1722" s="29">
        <f>IF(B1722="","",IF(COUNTIF($B$5:$B$3004,B1722)&gt;1,"DUPLICATE","OK"))</f>
        <v/>
      </c>
      <c r="Y1722" s="29">
        <f>IF(OR(U1722="",V1722="",V1722="Excluded"),"",IF(COUNTIFS($U$5:$U$3004,U1722,$V$5:$V$3004,"&lt;&gt;"&amp;V1722,$V$5:$V$3004,"&lt;&gt;",$V$5:$V$3004,"&lt;&gt;Excluded")&gt;0,"LEAK RISK","OK"))</f>
        <v/>
      </c>
      <c r="Z1722" s="30" t="n"/>
    </row>
    <row r="1723">
      <c r="A1723" s="30" t="n"/>
      <c r="B1723" s="30" t="n"/>
      <c r="C1723" s="30" t="n"/>
      <c r="D1723" s="30" t="n"/>
      <c r="E1723" s="30" t="n"/>
      <c r="F1723" s="30" t="n"/>
      <c r="G1723" s="30" t="n"/>
      <c r="H1723" s="30" t="n"/>
      <c r="I1723" s="31" t="n"/>
      <c r="J1723" s="30" t="n"/>
      <c r="K1723" s="30" t="n"/>
      <c r="L1723" s="30" t="n"/>
      <c r="M1723" s="30" t="n"/>
      <c r="N1723" s="32" t="n"/>
      <c r="O1723" s="30" t="n"/>
      <c r="P1723" s="32" t="n"/>
      <c r="Q1723" s="30" t="n"/>
      <c r="R1723" s="32" t="n"/>
      <c r="S1723" s="30" t="n"/>
      <c r="T1723" s="30" t="n"/>
      <c r="U1723" s="30" t="n"/>
      <c r="V1723" s="30" t="n"/>
      <c r="W1723" s="29">
        <f>IF(H1723="","",IF(H1723="Kenya","Yes","No"))</f>
        <v/>
      </c>
      <c r="X1723" s="29">
        <f>IF(B1723="","",IF(COUNTIF($B$5:$B$3004,B1723)&gt;1,"DUPLICATE","OK"))</f>
        <v/>
      </c>
      <c r="Y1723" s="29">
        <f>IF(OR(U1723="",V1723="",V1723="Excluded"),"",IF(COUNTIFS($U$5:$U$3004,U1723,$V$5:$V$3004,"&lt;&gt;"&amp;V1723,$V$5:$V$3004,"&lt;&gt;",$V$5:$V$3004,"&lt;&gt;Excluded")&gt;0,"LEAK RISK","OK"))</f>
        <v/>
      </c>
      <c r="Z1723" s="30" t="n"/>
    </row>
    <row r="1724">
      <c r="A1724" s="30" t="n"/>
      <c r="B1724" s="30" t="n"/>
      <c r="C1724" s="30" t="n"/>
      <c r="D1724" s="30" t="n"/>
      <c r="E1724" s="30" t="n"/>
      <c r="F1724" s="30" t="n"/>
      <c r="G1724" s="30" t="n"/>
      <c r="H1724" s="30" t="n"/>
      <c r="I1724" s="31" t="n"/>
      <c r="J1724" s="30" t="n"/>
      <c r="K1724" s="30" t="n"/>
      <c r="L1724" s="30" t="n"/>
      <c r="M1724" s="30" t="n"/>
      <c r="N1724" s="32" t="n"/>
      <c r="O1724" s="30" t="n"/>
      <c r="P1724" s="32" t="n"/>
      <c r="Q1724" s="30" t="n"/>
      <c r="R1724" s="32" t="n"/>
      <c r="S1724" s="30" t="n"/>
      <c r="T1724" s="30" t="n"/>
      <c r="U1724" s="30" t="n"/>
      <c r="V1724" s="30" t="n"/>
      <c r="W1724" s="29">
        <f>IF(H1724="","",IF(H1724="Kenya","Yes","No"))</f>
        <v/>
      </c>
      <c r="X1724" s="29">
        <f>IF(B1724="","",IF(COUNTIF($B$5:$B$3004,B1724)&gt;1,"DUPLICATE","OK"))</f>
        <v/>
      </c>
      <c r="Y1724" s="29">
        <f>IF(OR(U1724="",V1724="",V1724="Excluded"),"",IF(COUNTIFS($U$5:$U$3004,U1724,$V$5:$V$3004,"&lt;&gt;"&amp;V1724,$V$5:$V$3004,"&lt;&gt;",$V$5:$V$3004,"&lt;&gt;Excluded")&gt;0,"LEAK RISK","OK"))</f>
        <v/>
      </c>
      <c r="Z1724" s="30" t="n"/>
    </row>
    <row r="1725">
      <c r="A1725" s="30" t="n"/>
      <c r="B1725" s="30" t="n"/>
      <c r="C1725" s="30" t="n"/>
      <c r="D1725" s="30" t="n"/>
      <c r="E1725" s="30" t="n"/>
      <c r="F1725" s="30" t="n"/>
      <c r="G1725" s="30" t="n"/>
      <c r="H1725" s="30" t="n"/>
      <c r="I1725" s="31" t="n"/>
      <c r="J1725" s="30" t="n"/>
      <c r="K1725" s="30" t="n"/>
      <c r="L1725" s="30" t="n"/>
      <c r="M1725" s="30" t="n"/>
      <c r="N1725" s="32" t="n"/>
      <c r="O1725" s="30" t="n"/>
      <c r="P1725" s="32" t="n"/>
      <c r="Q1725" s="30" t="n"/>
      <c r="R1725" s="32" t="n"/>
      <c r="S1725" s="30" t="n"/>
      <c r="T1725" s="30" t="n"/>
      <c r="U1725" s="30" t="n"/>
      <c r="V1725" s="30" t="n"/>
      <c r="W1725" s="29">
        <f>IF(H1725="","",IF(H1725="Kenya","Yes","No"))</f>
        <v/>
      </c>
      <c r="X1725" s="29">
        <f>IF(B1725="","",IF(COUNTIF($B$5:$B$3004,B1725)&gt;1,"DUPLICATE","OK"))</f>
        <v/>
      </c>
      <c r="Y1725" s="29">
        <f>IF(OR(U1725="",V1725="",V1725="Excluded"),"",IF(COUNTIFS($U$5:$U$3004,U1725,$V$5:$V$3004,"&lt;&gt;"&amp;V1725,$V$5:$V$3004,"&lt;&gt;",$V$5:$V$3004,"&lt;&gt;Excluded")&gt;0,"LEAK RISK","OK"))</f>
        <v/>
      </c>
      <c r="Z1725" s="30" t="n"/>
    </row>
    <row r="1726">
      <c r="A1726" s="30" t="n"/>
      <c r="B1726" s="30" t="n"/>
      <c r="C1726" s="30" t="n"/>
      <c r="D1726" s="30" t="n"/>
      <c r="E1726" s="30" t="n"/>
      <c r="F1726" s="30" t="n"/>
      <c r="G1726" s="30" t="n"/>
      <c r="H1726" s="30" t="n"/>
      <c r="I1726" s="31" t="n"/>
      <c r="J1726" s="30" t="n"/>
      <c r="K1726" s="30" t="n"/>
      <c r="L1726" s="30" t="n"/>
      <c r="M1726" s="30" t="n"/>
      <c r="N1726" s="32" t="n"/>
      <c r="O1726" s="30" t="n"/>
      <c r="P1726" s="32" t="n"/>
      <c r="Q1726" s="30" t="n"/>
      <c r="R1726" s="32" t="n"/>
      <c r="S1726" s="30" t="n"/>
      <c r="T1726" s="30" t="n"/>
      <c r="U1726" s="30" t="n"/>
      <c r="V1726" s="30" t="n"/>
      <c r="W1726" s="29">
        <f>IF(H1726="","",IF(H1726="Kenya","Yes","No"))</f>
        <v/>
      </c>
      <c r="X1726" s="29">
        <f>IF(B1726="","",IF(COUNTIF($B$5:$B$3004,B1726)&gt;1,"DUPLICATE","OK"))</f>
        <v/>
      </c>
      <c r="Y1726" s="29">
        <f>IF(OR(U1726="",V1726="",V1726="Excluded"),"",IF(COUNTIFS($U$5:$U$3004,U1726,$V$5:$V$3004,"&lt;&gt;"&amp;V1726,$V$5:$V$3004,"&lt;&gt;",$V$5:$V$3004,"&lt;&gt;Excluded")&gt;0,"LEAK RISK","OK"))</f>
        <v/>
      </c>
      <c r="Z1726" s="30" t="n"/>
    </row>
    <row r="1727">
      <c r="A1727" s="30" t="n"/>
      <c r="B1727" s="30" t="n"/>
      <c r="C1727" s="30" t="n"/>
      <c r="D1727" s="30" t="n"/>
      <c r="E1727" s="30" t="n"/>
      <c r="F1727" s="30" t="n"/>
      <c r="G1727" s="30" t="n"/>
      <c r="H1727" s="30" t="n"/>
      <c r="I1727" s="31" t="n"/>
      <c r="J1727" s="30" t="n"/>
      <c r="K1727" s="30" t="n"/>
      <c r="L1727" s="30" t="n"/>
      <c r="M1727" s="30" t="n"/>
      <c r="N1727" s="32" t="n"/>
      <c r="O1727" s="30" t="n"/>
      <c r="P1727" s="32" t="n"/>
      <c r="Q1727" s="30" t="n"/>
      <c r="R1727" s="32" t="n"/>
      <c r="S1727" s="30" t="n"/>
      <c r="T1727" s="30" t="n"/>
      <c r="U1727" s="30" t="n"/>
      <c r="V1727" s="30" t="n"/>
      <c r="W1727" s="29">
        <f>IF(H1727="","",IF(H1727="Kenya","Yes","No"))</f>
        <v/>
      </c>
      <c r="X1727" s="29">
        <f>IF(B1727="","",IF(COUNTIF($B$5:$B$3004,B1727)&gt;1,"DUPLICATE","OK"))</f>
        <v/>
      </c>
      <c r="Y1727" s="29">
        <f>IF(OR(U1727="",V1727="",V1727="Excluded"),"",IF(COUNTIFS($U$5:$U$3004,U1727,$V$5:$V$3004,"&lt;&gt;"&amp;V1727,$V$5:$V$3004,"&lt;&gt;",$V$5:$V$3004,"&lt;&gt;Excluded")&gt;0,"LEAK RISK","OK"))</f>
        <v/>
      </c>
      <c r="Z1727" s="30" t="n"/>
    </row>
    <row r="1728">
      <c r="A1728" s="30" t="n"/>
      <c r="B1728" s="30" t="n"/>
      <c r="C1728" s="30" t="n"/>
      <c r="D1728" s="30" t="n"/>
      <c r="E1728" s="30" t="n"/>
      <c r="F1728" s="30" t="n"/>
      <c r="G1728" s="30" t="n"/>
      <c r="H1728" s="30" t="n"/>
      <c r="I1728" s="31" t="n"/>
      <c r="J1728" s="30" t="n"/>
      <c r="K1728" s="30" t="n"/>
      <c r="L1728" s="30" t="n"/>
      <c r="M1728" s="30" t="n"/>
      <c r="N1728" s="32" t="n"/>
      <c r="O1728" s="30" t="n"/>
      <c r="P1728" s="32" t="n"/>
      <c r="Q1728" s="30" t="n"/>
      <c r="R1728" s="32" t="n"/>
      <c r="S1728" s="30" t="n"/>
      <c r="T1728" s="30" t="n"/>
      <c r="U1728" s="30" t="n"/>
      <c r="V1728" s="30" t="n"/>
      <c r="W1728" s="29">
        <f>IF(H1728="","",IF(H1728="Kenya","Yes","No"))</f>
        <v/>
      </c>
      <c r="X1728" s="29">
        <f>IF(B1728="","",IF(COUNTIF($B$5:$B$3004,B1728)&gt;1,"DUPLICATE","OK"))</f>
        <v/>
      </c>
      <c r="Y1728" s="29">
        <f>IF(OR(U1728="",V1728="",V1728="Excluded"),"",IF(COUNTIFS($U$5:$U$3004,U1728,$V$5:$V$3004,"&lt;&gt;"&amp;V1728,$V$5:$V$3004,"&lt;&gt;",$V$5:$V$3004,"&lt;&gt;Excluded")&gt;0,"LEAK RISK","OK"))</f>
        <v/>
      </c>
      <c r="Z1728" s="30" t="n"/>
    </row>
    <row r="1729">
      <c r="A1729" s="30" t="n"/>
      <c r="B1729" s="30" t="n"/>
      <c r="C1729" s="30" t="n"/>
      <c r="D1729" s="30" t="n"/>
      <c r="E1729" s="30" t="n"/>
      <c r="F1729" s="30" t="n"/>
      <c r="G1729" s="30" t="n"/>
      <c r="H1729" s="30" t="n"/>
      <c r="I1729" s="31" t="n"/>
      <c r="J1729" s="30" t="n"/>
      <c r="K1729" s="30" t="n"/>
      <c r="L1729" s="30" t="n"/>
      <c r="M1729" s="30" t="n"/>
      <c r="N1729" s="32" t="n"/>
      <c r="O1729" s="30" t="n"/>
      <c r="P1729" s="32" t="n"/>
      <c r="Q1729" s="30" t="n"/>
      <c r="R1729" s="32" t="n"/>
      <c r="S1729" s="30" t="n"/>
      <c r="T1729" s="30" t="n"/>
      <c r="U1729" s="30" t="n"/>
      <c r="V1729" s="30" t="n"/>
      <c r="W1729" s="29">
        <f>IF(H1729="","",IF(H1729="Kenya","Yes","No"))</f>
        <v/>
      </c>
      <c r="X1729" s="29">
        <f>IF(B1729="","",IF(COUNTIF($B$5:$B$3004,B1729)&gt;1,"DUPLICATE","OK"))</f>
        <v/>
      </c>
      <c r="Y1729" s="29">
        <f>IF(OR(U1729="",V1729="",V1729="Excluded"),"",IF(COUNTIFS($U$5:$U$3004,U1729,$V$5:$V$3004,"&lt;&gt;"&amp;V1729,$V$5:$V$3004,"&lt;&gt;",$V$5:$V$3004,"&lt;&gt;Excluded")&gt;0,"LEAK RISK","OK"))</f>
        <v/>
      </c>
      <c r="Z1729" s="30" t="n"/>
    </row>
    <row r="1730">
      <c r="A1730" s="30" t="n"/>
      <c r="B1730" s="30" t="n"/>
      <c r="C1730" s="30" t="n"/>
      <c r="D1730" s="30" t="n"/>
      <c r="E1730" s="30" t="n"/>
      <c r="F1730" s="30" t="n"/>
      <c r="G1730" s="30" t="n"/>
      <c r="H1730" s="30" t="n"/>
      <c r="I1730" s="31" t="n"/>
      <c r="J1730" s="30" t="n"/>
      <c r="K1730" s="30" t="n"/>
      <c r="L1730" s="30" t="n"/>
      <c r="M1730" s="30" t="n"/>
      <c r="N1730" s="32" t="n"/>
      <c r="O1730" s="30" t="n"/>
      <c r="P1730" s="32" t="n"/>
      <c r="Q1730" s="30" t="n"/>
      <c r="R1730" s="32" t="n"/>
      <c r="S1730" s="30" t="n"/>
      <c r="T1730" s="30" t="n"/>
      <c r="U1730" s="30" t="n"/>
      <c r="V1730" s="30" t="n"/>
      <c r="W1730" s="29">
        <f>IF(H1730="","",IF(H1730="Kenya","Yes","No"))</f>
        <v/>
      </c>
      <c r="X1730" s="29">
        <f>IF(B1730="","",IF(COUNTIF($B$5:$B$3004,B1730)&gt;1,"DUPLICATE","OK"))</f>
        <v/>
      </c>
      <c r="Y1730" s="29">
        <f>IF(OR(U1730="",V1730="",V1730="Excluded"),"",IF(COUNTIFS($U$5:$U$3004,U1730,$V$5:$V$3004,"&lt;&gt;"&amp;V1730,$V$5:$V$3004,"&lt;&gt;",$V$5:$V$3004,"&lt;&gt;Excluded")&gt;0,"LEAK RISK","OK"))</f>
        <v/>
      </c>
      <c r="Z1730" s="30" t="n"/>
    </row>
    <row r="1731">
      <c r="A1731" s="30" t="n"/>
      <c r="B1731" s="30" t="n"/>
      <c r="C1731" s="30" t="n"/>
      <c r="D1731" s="30" t="n"/>
      <c r="E1731" s="30" t="n"/>
      <c r="F1731" s="30" t="n"/>
      <c r="G1731" s="30" t="n"/>
      <c r="H1731" s="30" t="n"/>
      <c r="I1731" s="31" t="n"/>
      <c r="J1731" s="30" t="n"/>
      <c r="K1731" s="30" t="n"/>
      <c r="L1731" s="30" t="n"/>
      <c r="M1731" s="30" t="n"/>
      <c r="N1731" s="32" t="n"/>
      <c r="O1731" s="30" t="n"/>
      <c r="P1731" s="32" t="n"/>
      <c r="Q1731" s="30" t="n"/>
      <c r="R1731" s="32" t="n"/>
      <c r="S1731" s="30" t="n"/>
      <c r="T1731" s="30" t="n"/>
      <c r="U1731" s="30" t="n"/>
      <c r="V1731" s="30" t="n"/>
      <c r="W1731" s="29">
        <f>IF(H1731="","",IF(H1731="Kenya","Yes","No"))</f>
        <v/>
      </c>
      <c r="X1731" s="29">
        <f>IF(B1731="","",IF(COUNTIF($B$5:$B$3004,B1731)&gt;1,"DUPLICATE","OK"))</f>
        <v/>
      </c>
      <c r="Y1731" s="29">
        <f>IF(OR(U1731="",V1731="",V1731="Excluded"),"",IF(COUNTIFS($U$5:$U$3004,U1731,$V$5:$V$3004,"&lt;&gt;"&amp;V1731,$V$5:$V$3004,"&lt;&gt;",$V$5:$V$3004,"&lt;&gt;Excluded")&gt;0,"LEAK RISK","OK"))</f>
        <v/>
      </c>
      <c r="Z1731" s="30" t="n"/>
    </row>
    <row r="1732">
      <c r="A1732" s="30" t="n"/>
      <c r="B1732" s="30" t="n"/>
      <c r="C1732" s="30" t="n"/>
      <c r="D1732" s="30" t="n"/>
      <c r="E1732" s="30" t="n"/>
      <c r="F1732" s="30" t="n"/>
      <c r="G1732" s="30" t="n"/>
      <c r="H1732" s="30" t="n"/>
      <c r="I1732" s="31" t="n"/>
      <c r="J1732" s="30" t="n"/>
      <c r="K1732" s="30" t="n"/>
      <c r="L1732" s="30" t="n"/>
      <c r="M1732" s="30" t="n"/>
      <c r="N1732" s="32" t="n"/>
      <c r="O1732" s="30" t="n"/>
      <c r="P1732" s="32" t="n"/>
      <c r="Q1732" s="30" t="n"/>
      <c r="R1732" s="32" t="n"/>
      <c r="S1732" s="30" t="n"/>
      <c r="T1732" s="30" t="n"/>
      <c r="U1732" s="30" t="n"/>
      <c r="V1732" s="30" t="n"/>
      <c r="W1732" s="29">
        <f>IF(H1732="","",IF(H1732="Kenya","Yes","No"))</f>
        <v/>
      </c>
      <c r="X1732" s="29">
        <f>IF(B1732="","",IF(COUNTIF($B$5:$B$3004,B1732)&gt;1,"DUPLICATE","OK"))</f>
        <v/>
      </c>
      <c r="Y1732" s="29">
        <f>IF(OR(U1732="",V1732="",V1732="Excluded"),"",IF(COUNTIFS($U$5:$U$3004,U1732,$V$5:$V$3004,"&lt;&gt;"&amp;V1732,$V$5:$V$3004,"&lt;&gt;",$V$5:$V$3004,"&lt;&gt;Excluded")&gt;0,"LEAK RISK","OK"))</f>
        <v/>
      </c>
      <c r="Z1732" s="30" t="n"/>
    </row>
    <row r="1733">
      <c r="A1733" s="30" t="n"/>
      <c r="B1733" s="30" t="n"/>
      <c r="C1733" s="30" t="n"/>
      <c r="D1733" s="30" t="n"/>
      <c r="E1733" s="30" t="n"/>
      <c r="F1733" s="30" t="n"/>
      <c r="G1733" s="30" t="n"/>
      <c r="H1733" s="30" t="n"/>
      <c r="I1733" s="31" t="n"/>
      <c r="J1733" s="30" t="n"/>
      <c r="K1733" s="30" t="n"/>
      <c r="L1733" s="30" t="n"/>
      <c r="M1733" s="30" t="n"/>
      <c r="N1733" s="32" t="n"/>
      <c r="O1733" s="30" t="n"/>
      <c r="P1733" s="32" t="n"/>
      <c r="Q1733" s="30" t="n"/>
      <c r="R1733" s="32" t="n"/>
      <c r="S1733" s="30" t="n"/>
      <c r="T1733" s="30" t="n"/>
      <c r="U1733" s="30" t="n"/>
      <c r="V1733" s="30" t="n"/>
      <c r="W1733" s="29">
        <f>IF(H1733="","",IF(H1733="Kenya","Yes","No"))</f>
        <v/>
      </c>
      <c r="X1733" s="29">
        <f>IF(B1733="","",IF(COUNTIF($B$5:$B$3004,B1733)&gt;1,"DUPLICATE","OK"))</f>
        <v/>
      </c>
      <c r="Y1733" s="29">
        <f>IF(OR(U1733="",V1733="",V1733="Excluded"),"",IF(COUNTIFS($U$5:$U$3004,U1733,$V$5:$V$3004,"&lt;&gt;"&amp;V1733,$V$5:$V$3004,"&lt;&gt;",$V$5:$V$3004,"&lt;&gt;Excluded")&gt;0,"LEAK RISK","OK"))</f>
        <v/>
      </c>
      <c r="Z1733" s="30" t="n"/>
    </row>
    <row r="1734">
      <c r="A1734" s="30" t="n"/>
      <c r="B1734" s="30" t="n"/>
      <c r="C1734" s="30" t="n"/>
      <c r="D1734" s="30" t="n"/>
      <c r="E1734" s="30" t="n"/>
      <c r="F1734" s="30" t="n"/>
      <c r="G1734" s="30" t="n"/>
      <c r="H1734" s="30" t="n"/>
      <c r="I1734" s="31" t="n"/>
      <c r="J1734" s="30" t="n"/>
      <c r="K1734" s="30" t="n"/>
      <c r="L1734" s="30" t="n"/>
      <c r="M1734" s="30" t="n"/>
      <c r="N1734" s="32" t="n"/>
      <c r="O1734" s="30" t="n"/>
      <c r="P1734" s="32" t="n"/>
      <c r="Q1734" s="30" t="n"/>
      <c r="R1734" s="32" t="n"/>
      <c r="S1734" s="30" t="n"/>
      <c r="T1734" s="30" t="n"/>
      <c r="U1734" s="30" t="n"/>
      <c r="V1734" s="30" t="n"/>
      <c r="W1734" s="29">
        <f>IF(H1734="","",IF(H1734="Kenya","Yes","No"))</f>
        <v/>
      </c>
      <c r="X1734" s="29">
        <f>IF(B1734="","",IF(COUNTIF($B$5:$B$3004,B1734)&gt;1,"DUPLICATE","OK"))</f>
        <v/>
      </c>
      <c r="Y1734" s="29">
        <f>IF(OR(U1734="",V1734="",V1734="Excluded"),"",IF(COUNTIFS($U$5:$U$3004,U1734,$V$5:$V$3004,"&lt;&gt;"&amp;V1734,$V$5:$V$3004,"&lt;&gt;",$V$5:$V$3004,"&lt;&gt;Excluded")&gt;0,"LEAK RISK","OK"))</f>
        <v/>
      </c>
      <c r="Z1734" s="30" t="n"/>
    </row>
    <row r="1735">
      <c r="A1735" s="30" t="n"/>
      <c r="B1735" s="30" t="n"/>
      <c r="C1735" s="30" t="n"/>
      <c r="D1735" s="30" t="n"/>
      <c r="E1735" s="30" t="n"/>
      <c r="F1735" s="30" t="n"/>
      <c r="G1735" s="30" t="n"/>
      <c r="H1735" s="30" t="n"/>
      <c r="I1735" s="31" t="n"/>
      <c r="J1735" s="30" t="n"/>
      <c r="K1735" s="30" t="n"/>
      <c r="L1735" s="30" t="n"/>
      <c r="M1735" s="30" t="n"/>
      <c r="N1735" s="32" t="n"/>
      <c r="O1735" s="30" t="n"/>
      <c r="P1735" s="32" t="n"/>
      <c r="Q1735" s="30" t="n"/>
      <c r="R1735" s="32" t="n"/>
      <c r="S1735" s="30" t="n"/>
      <c r="T1735" s="30" t="n"/>
      <c r="U1735" s="30" t="n"/>
      <c r="V1735" s="30" t="n"/>
      <c r="W1735" s="29">
        <f>IF(H1735="","",IF(H1735="Kenya","Yes","No"))</f>
        <v/>
      </c>
      <c r="X1735" s="29">
        <f>IF(B1735="","",IF(COUNTIF($B$5:$B$3004,B1735)&gt;1,"DUPLICATE","OK"))</f>
        <v/>
      </c>
      <c r="Y1735" s="29">
        <f>IF(OR(U1735="",V1735="",V1735="Excluded"),"",IF(COUNTIFS($U$5:$U$3004,U1735,$V$5:$V$3004,"&lt;&gt;"&amp;V1735,$V$5:$V$3004,"&lt;&gt;",$V$5:$V$3004,"&lt;&gt;Excluded")&gt;0,"LEAK RISK","OK"))</f>
        <v/>
      </c>
      <c r="Z1735" s="30" t="n"/>
    </row>
    <row r="1736">
      <c r="A1736" s="30" t="n"/>
      <c r="B1736" s="30" t="n"/>
      <c r="C1736" s="30" t="n"/>
      <c r="D1736" s="30" t="n"/>
      <c r="E1736" s="30" t="n"/>
      <c r="F1736" s="30" t="n"/>
      <c r="G1736" s="30" t="n"/>
      <c r="H1736" s="30" t="n"/>
      <c r="I1736" s="31" t="n"/>
      <c r="J1736" s="30" t="n"/>
      <c r="K1736" s="30" t="n"/>
      <c r="L1736" s="30" t="n"/>
      <c r="M1736" s="30" t="n"/>
      <c r="N1736" s="32" t="n"/>
      <c r="O1736" s="30" t="n"/>
      <c r="P1736" s="32" t="n"/>
      <c r="Q1736" s="30" t="n"/>
      <c r="R1736" s="32" t="n"/>
      <c r="S1736" s="30" t="n"/>
      <c r="T1736" s="30" t="n"/>
      <c r="U1736" s="30" t="n"/>
      <c r="V1736" s="30" t="n"/>
      <c r="W1736" s="29">
        <f>IF(H1736="","",IF(H1736="Kenya","Yes","No"))</f>
        <v/>
      </c>
      <c r="X1736" s="29">
        <f>IF(B1736="","",IF(COUNTIF($B$5:$B$3004,B1736)&gt;1,"DUPLICATE","OK"))</f>
        <v/>
      </c>
      <c r="Y1736" s="29">
        <f>IF(OR(U1736="",V1736="",V1736="Excluded"),"",IF(COUNTIFS($U$5:$U$3004,U1736,$V$5:$V$3004,"&lt;&gt;"&amp;V1736,$V$5:$V$3004,"&lt;&gt;",$V$5:$V$3004,"&lt;&gt;Excluded")&gt;0,"LEAK RISK","OK"))</f>
        <v/>
      </c>
      <c r="Z1736" s="30" t="n"/>
    </row>
    <row r="1737">
      <c r="A1737" s="30" t="n"/>
      <c r="B1737" s="30" t="n"/>
      <c r="C1737" s="30" t="n"/>
      <c r="D1737" s="30" t="n"/>
      <c r="E1737" s="30" t="n"/>
      <c r="F1737" s="30" t="n"/>
      <c r="G1737" s="30" t="n"/>
      <c r="H1737" s="30" t="n"/>
      <c r="I1737" s="31" t="n"/>
      <c r="J1737" s="30" t="n"/>
      <c r="K1737" s="30" t="n"/>
      <c r="L1737" s="30" t="n"/>
      <c r="M1737" s="30" t="n"/>
      <c r="N1737" s="32" t="n"/>
      <c r="O1737" s="30" t="n"/>
      <c r="P1737" s="32" t="n"/>
      <c r="Q1737" s="30" t="n"/>
      <c r="R1737" s="32" t="n"/>
      <c r="S1737" s="30" t="n"/>
      <c r="T1737" s="30" t="n"/>
      <c r="U1737" s="30" t="n"/>
      <c r="V1737" s="30" t="n"/>
      <c r="W1737" s="29">
        <f>IF(H1737="","",IF(H1737="Kenya","Yes","No"))</f>
        <v/>
      </c>
      <c r="X1737" s="29">
        <f>IF(B1737="","",IF(COUNTIF($B$5:$B$3004,B1737)&gt;1,"DUPLICATE","OK"))</f>
        <v/>
      </c>
      <c r="Y1737" s="29">
        <f>IF(OR(U1737="",V1737="",V1737="Excluded"),"",IF(COUNTIFS($U$5:$U$3004,U1737,$V$5:$V$3004,"&lt;&gt;"&amp;V1737,$V$5:$V$3004,"&lt;&gt;",$V$5:$V$3004,"&lt;&gt;Excluded")&gt;0,"LEAK RISK","OK"))</f>
        <v/>
      </c>
      <c r="Z1737" s="30" t="n"/>
    </row>
    <row r="1738">
      <c r="A1738" s="30" t="n"/>
      <c r="B1738" s="30" t="n"/>
      <c r="C1738" s="30" t="n"/>
      <c r="D1738" s="30" t="n"/>
      <c r="E1738" s="30" t="n"/>
      <c r="F1738" s="30" t="n"/>
      <c r="G1738" s="30" t="n"/>
      <c r="H1738" s="30" t="n"/>
      <c r="I1738" s="31" t="n"/>
      <c r="J1738" s="30" t="n"/>
      <c r="K1738" s="30" t="n"/>
      <c r="L1738" s="30" t="n"/>
      <c r="M1738" s="30" t="n"/>
      <c r="N1738" s="32" t="n"/>
      <c r="O1738" s="30" t="n"/>
      <c r="P1738" s="32" t="n"/>
      <c r="Q1738" s="30" t="n"/>
      <c r="R1738" s="32" t="n"/>
      <c r="S1738" s="30" t="n"/>
      <c r="T1738" s="30" t="n"/>
      <c r="U1738" s="30" t="n"/>
      <c r="V1738" s="30" t="n"/>
      <c r="W1738" s="29">
        <f>IF(H1738="","",IF(H1738="Kenya","Yes","No"))</f>
        <v/>
      </c>
      <c r="X1738" s="29">
        <f>IF(B1738="","",IF(COUNTIF($B$5:$B$3004,B1738)&gt;1,"DUPLICATE","OK"))</f>
        <v/>
      </c>
      <c r="Y1738" s="29">
        <f>IF(OR(U1738="",V1738="",V1738="Excluded"),"",IF(COUNTIFS($U$5:$U$3004,U1738,$V$5:$V$3004,"&lt;&gt;"&amp;V1738,$V$5:$V$3004,"&lt;&gt;",$V$5:$V$3004,"&lt;&gt;Excluded")&gt;0,"LEAK RISK","OK"))</f>
        <v/>
      </c>
      <c r="Z1738" s="30" t="n"/>
    </row>
    <row r="1739">
      <c r="A1739" s="30" t="n"/>
      <c r="B1739" s="30" t="n"/>
      <c r="C1739" s="30" t="n"/>
      <c r="D1739" s="30" t="n"/>
      <c r="E1739" s="30" t="n"/>
      <c r="F1739" s="30" t="n"/>
      <c r="G1739" s="30" t="n"/>
      <c r="H1739" s="30" t="n"/>
      <c r="I1739" s="31" t="n"/>
      <c r="J1739" s="30" t="n"/>
      <c r="K1739" s="30" t="n"/>
      <c r="L1739" s="30" t="n"/>
      <c r="M1739" s="30" t="n"/>
      <c r="N1739" s="32" t="n"/>
      <c r="O1739" s="30" t="n"/>
      <c r="P1739" s="32" t="n"/>
      <c r="Q1739" s="30" t="n"/>
      <c r="R1739" s="32" t="n"/>
      <c r="S1739" s="30" t="n"/>
      <c r="T1739" s="30" t="n"/>
      <c r="U1739" s="30" t="n"/>
      <c r="V1739" s="30" t="n"/>
      <c r="W1739" s="29">
        <f>IF(H1739="","",IF(H1739="Kenya","Yes","No"))</f>
        <v/>
      </c>
      <c r="X1739" s="29">
        <f>IF(B1739="","",IF(COUNTIF($B$5:$B$3004,B1739)&gt;1,"DUPLICATE","OK"))</f>
        <v/>
      </c>
      <c r="Y1739" s="29">
        <f>IF(OR(U1739="",V1739="",V1739="Excluded"),"",IF(COUNTIFS($U$5:$U$3004,U1739,$V$5:$V$3004,"&lt;&gt;"&amp;V1739,$V$5:$V$3004,"&lt;&gt;",$V$5:$V$3004,"&lt;&gt;Excluded")&gt;0,"LEAK RISK","OK"))</f>
        <v/>
      </c>
      <c r="Z1739" s="30" t="n"/>
    </row>
    <row r="1740">
      <c r="A1740" s="30" t="n"/>
      <c r="B1740" s="30" t="n"/>
      <c r="C1740" s="30" t="n"/>
      <c r="D1740" s="30" t="n"/>
      <c r="E1740" s="30" t="n"/>
      <c r="F1740" s="30" t="n"/>
      <c r="G1740" s="30" t="n"/>
      <c r="H1740" s="30" t="n"/>
      <c r="I1740" s="31" t="n"/>
      <c r="J1740" s="30" t="n"/>
      <c r="K1740" s="30" t="n"/>
      <c r="L1740" s="30" t="n"/>
      <c r="M1740" s="30" t="n"/>
      <c r="N1740" s="32" t="n"/>
      <c r="O1740" s="30" t="n"/>
      <c r="P1740" s="32" t="n"/>
      <c r="Q1740" s="30" t="n"/>
      <c r="R1740" s="32" t="n"/>
      <c r="S1740" s="30" t="n"/>
      <c r="T1740" s="30" t="n"/>
      <c r="U1740" s="30" t="n"/>
      <c r="V1740" s="30" t="n"/>
      <c r="W1740" s="29">
        <f>IF(H1740="","",IF(H1740="Kenya","Yes","No"))</f>
        <v/>
      </c>
      <c r="X1740" s="29">
        <f>IF(B1740="","",IF(COUNTIF($B$5:$B$3004,B1740)&gt;1,"DUPLICATE","OK"))</f>
        <v/>
      </c>
      <c r="Y1740" s="29">
        <f>IF(OR(U1740="",V1740="",V1740="Excluded"),"",IF(COUNTIFS($U$5:$U$3004,U1740,$V$5:$V$3004,"&lt;&gt;"&amp;V1740,$V$5:$V$3004,"&lt;&gt;",$V$5:$V$3004,"&lt;&gt;Excluded")&gt;0,"LEAK RISK","OK"))</f>
        <v/>
      </c>
      <c r="Z1740" s="30" t="n"/>
    </row>
    <row r="1741">
      <c r="A1741" s="30" t="n"/>
      <c r="B1741" s="30" t="n"/>
      <c r="C1741" s="30" t="n"/>
      <c r="D1741" s="30" t="n"/>
      <c r="E1741" s="30" t="n"/>
      <c r="F1741" s="30" t="n"/>
      <c r="G1741" s="30" t="n"/>
      <c r="H1741" s="30" t="n"/>
      <c r="I1741" s="31" t="n"/>
      <c r="J1741" s="30" t="n"/>
      <c r="K1741" s="30" t="n"/>
      <c r="L1741" s="30" t="n"/>
      <c r="M1741" s="30" t="n"/>
      <c r="N1741" s="32" t="n"/>
      <c r="O1741" s="30" t="n"/>
      <c r="P1741" s="32" t="n"/>
      <c r="Q1741" s="30" t="n"/>
      <c r="R1741" s="32" t="n"/>
      <c r="S1741" s="30" t="n"/>
      <c r="T1741" s="30" t="n"/>
      <c r="U1741" s="30" t="n"/>
      <c r="V1741" s="30" t="n"/>
      <c r="W1741" s="29">
        <f>IF(H1741="","",IF(H1741="Kenya","Yes","No"))</f>
        <v/>
      </c>
      <c r="X1741" s="29">
        <f>IF(B1741="","",IF(COUNTIF($B$5:$B$3004,B1741)&gt;1,"DUPLICATE","OK"))</f>
        <v/>
      </c>
      <c r="Y1741" s="29">
        <f>IF(OR(U1741="",V1741="",V1741="Excluded"),"",IF(COUNTIFS($U$5:$U$3004,U1741,$V$5:$V$3004,"&lt;&gt;"&amp;V1741,$V$5:$V$3004,"&lt;&gt;",$V$5:$V$3004,"&lt;&gt;Excluded")&gt;0,"LEAK RISK","OK"))</f>
        <v/>
      </c>
      <c r="Z1741" s="30" t="n"/>
    </row>
    <row r="1742">
      <c r="A1742" s="30" t="n"/>
      <c r="B1742" s="30" t="n"/>
      <c r="C1742" s="30" t="n"/>
      <c r="D1742" s="30" t="n"/>
      <c r="E1742" s="30" t="n"/>
      <c r="F1742" s="30" t="n"/>
      <c r="G1742" s="30" t="n"/>
      <c r="H1742" s="30" t="n"/>
      <c r="I1742" s="31" t="n"/>
      <c r="J1742" s="30" t="n"/>
      <c r="K1742" s="30" t="n"/>
      <c r="L1742" s="30" t="n"/>
      <c r="M1742" s="30" t="n"/>
      <c r="N1742" s="32" t="n"/>
      <c r="O1742" s="30" t="n"/>
      <c r="P1742" s="32" t="n"/>
      <c r="Q1742" s="30" t="n"/>
      <c r="R1742" s="32" t="n"/>
      <c r="S1742" s="30" t="n"/>
      <c r="T1742" s="30" t="n"/>
      <c r="U1742" s="30" t="n"/>
      <c r="V1742" s="30" t="n"/>
      <c r="W1742" s="29">
        <f>IF(H1742="","",IF(H1742="Kenya","Yes","No"))</f>
        <v/>
      </c>
      <c r="X1742" s="29">
        <f>IF(B1742="","",IF(COUNTIF($B$5:$B$3004,B1742)&gt;1,"DUPLICATE","OK"))</f>
        <v/>
      </c>
      <c r="Y1742" s="29">
        <f>IF(OR(U1742="",V1742="",V1742="Excluded"),"",IF(COUNTIFS($U$5:$U$3004,U1742,$V$5:$V$3004,"&lt;&gt;"&amp;V1742,$V$5:$V$3004,"&lt;&gt;",$V$5:$V$3004,"&lt;&gt;Excluded")&gt;0,"LEAK RISK","OK"))</f>
        <v/>
      </c>
      <c r="Z1742" s="30" t="n"/>
    </row>
    <row r="1743">
      <c r="A1743" s="30" t="n"/>
      <c r="B1743" s="30" t="n"/>
      <c r="C1743" s="30" t="n"/>
      <c r="D1743" s="30" t="n"/>
      <c r="E1743" s="30" t="n"/>
      <c r="F1743" s="30" t="n"/>
      <c r="G1743" s="30" t="n"/>
      <c r="H1743" s="30" t="n"/>
      <c r="I1743" s="31" t="n"/>
      <c r="J1743" s="30" t="n"/>
      <c r="K1743" s="30" t="n"/>
      <c r="L1743" s="30" t="n"/>
      <c r="M1743" s="30" t="n"/>
      <c r="N1743" s="32" t="n"/>
      <c r="O1743" s="30" t="n"/>
      <c r="P1743" s="32" t="n"/>
      <c r="Q1743" s="30" t="n"/>
      <c r="R1743" s="32" t="n"/>
      <c r="S1743" s="30" t="n"/>
      <c r="T1743" s="30" t="n"/>
      <c r="U1743" s="30" t="n"/>
      <c r="V1743" s="30" t="n"/>
      <c r="W1743" s="29">
        <f>IF(H1743="","",IF(H1743="Kenya","Yes","No"))</f>
        <v/>
      </c>
      <c r="X1743" s="29">
        <f>IF(B1743="","",IF(COUNTIF($B$5:$B$3004,B1743)&gt;1,"DUPLICATE","OK"))</f>
        <v/>
      </c>
      <c r="Y1743" s="29">
        <f>IF(OR(U1743="",V1743="",V1743="Excluded"),"",IF(COUNTIFS($U$5:$U$3004,U1743,$V$5:$V$3004,"&lt;&gt;"&amp;V1743,$V$5:$V$3004,"&lt;&gt;",$V$5:$V$3004,"&lt;&gt;Excluded")&gt;0,"LEAK RISK","OK"))</f>
        <v/>
      </c>
      <c r="Z1743" s="30" t="n"/>
    </row>
    <row r="1744">
      <c r="A1744" s="30" t="n"/>
      <c r="B1744" s="30" t="n"/>
      <c r="C1744" s="30" t="n"/>
      <c r="D1744" s="30" t="n"/>
      <c r="E1744" s="30" t="n"/>
      <c r="F1744" s="30" t="n"/>
      <c r="G1744" s="30" t="n"/>
      <c r="H1744" s="30" t="n"/>
      <c r="I1744" s="31" t="n"/>
      <c r="J1744" s="30" t="n"/>
      <c r="K1744" s="30" t="n"/>
      <c r="L1744" s="30" t="n"/>
      <c r="M1744" s="30" t="n"/>
      <c r="N1744" s="32" t="n"/>
      <c r="O1744" s="30" t="n"/>
      <c r="P1744" s="32" t="n"/>
      <c r="Q1744" s="30" t="n"/>
      <c r="R1744" s="32" t="n"/>
      <c r="S1744" s="30" t="n"/>
      <c r="T1744" s="30" t="n"/>
      <c r="U1744" s="30" t="n"/>
      <c r="V1744" s="30" t="n"/>
      <c r="W1744" s="29">
        <f>IF(H1744="","",IF(H1744="Kenya","Yes","No"))</f>
        <v/>
      </c>
      <c r="X1744" s="29">
        <f>IF(B1744="","",IF(COUNTIF($B$5:$B$3004,B1744)&gt;1,"DUPLICATE","OK"))</f>
        <v/>
      </c>
      <c r="Y1744" s="29">
        <f>IF(OR(U1744="",V1744="",V1744="Excluded"),"",IF(COUNTIFS($U$5:$U$3004,U1744,$V$5:$V$3004,"&lt;&gt;"&amp;V1744,$V$5:$V$3004,"&lt;&gt;",$V$5:$V$3004,"&lt;&gt;Excluded")&gt;0,"LEAK RISK","OK"))</f>
        <v/>
      </c>
      <c r="Z1744" s="30" t="n"/>
    </row>
    <row r="1745">
      <c r="A1745" s="30" t="n"/>
      <c r="B1745" s="30" t="n"/>
      <c r="C1745" s="30" t="n"/>
      <c r="D1745" s="30" t="n"/>
      <c r="E1745" s="30" t="n"/>
      <c r="F1745" s="30" t="n"/>
      <c r="G1745" s="30" t="n"/>
      <c r="H1745" s="30" t="n"/>
      <c r="I1745" s="31" t="n"/>
      <c r="J1745" s="30" t="n"/>
      <c r="K1745" s="30" t="n"/>
      <c r="L1745" s="30" t="n"/>
      <c r="M1745" s="30" t="n"/>
      <c r="N1745" s="32" t="n"/>
      <c r="O1745" s="30" t="n"/>
      <c r="P1745" s="32" t="n"/>
      <c r="Q1745" s="30" t="n"/>
      <c r="R1745" s="32" t="n"/>
      <c r="S1745" s="30" t="n"/>
      <c r="T1745" s="30" t="n"/>
      <c r="U1745" s="30" t="n"/>
      <c r="V1745" s="30" t="n"/>
      <c r="W1745" s="29">
        <f>IF(H1745="","",IF(H1745="Kenya","Yes","No"))</f>
        <v/>
      </c>
      <c r="X1745" s="29">
        <f>IF(B1745="","",IF(COUNTIF($B$5:$B$3004,B1745)&gt;1,"DUPLICATE","OK"))</f>
        <v/>
      </c>
      <c r="Y1745" s="29">
        <f>IF(OR(U1745="",V1745="",V1745="Excluded"),"",IF(COUNTIFS($U$5:$U$3004,U1745,$V$5:$V$3004,"&lt;&gt;"&amp;V1745,$V$5:$V$3004,"&lt;&gt;",$V$5:$V$3004,"&lt;&gt;Excluded")&gt;0,"LEAK RISK","OK"))</f>
        <v/>
      </c>
      <c r="Z1745" s="30" t="n"/>
    </row>
    <row r="1746">
      <c r="A1746" s="30" t="n"/>
      <c r="B1746" s="30" t="n"/>
      <c r="C1746" s="30" t="n"/>
      <c r="D1746" s="30" t="n"/>
      <c r="E1746" s="30" t="n"/>
      <c r="F1746" s="30" t="n"/>
      <c r="G1746" s="30" t="n"/>
      <c r="H1746" s="30" t="n"/>
      <c r="I1746" s="31" t="n"/>
      <c r="J1746" s="30" t="n"/>
      <c r="K1746" s="30" t="n"/>
      <c r="L1746" s="30" t="n"/>
      <c r="M1746" s="30" t="n"/>
      <c r="N1746" s="32" t="n"/>
      <c r="O1746" s="30" t="n"/>
      <c r="P1746" s="32" t="n"/>
      <c r="Q1746" s="30" t="n"/>
      <c r="R1746" s="32" t="n"/>
      <c r="S1746" s="30" t="n"/>
      <c r="T1746" s="30" t="n"/>
      <c r="U1746" s="30" t="n"/>
      <c r="V1746" s="30" t="n"/>
      <c r="W1746" s="29">
        <f>IF(H1746="","",IF(H1746="Kenya","Yes","No"))</f>
        <v/>
      </c>
      <c r="X1746" s="29">
        <f>IF(B1746="","",IF(COUNTIF($B$5:$B$3004,B1746)&gt;1,"DUPLICATE","OK"))</f>
        <v/>
      </c>
      <c r="Y1746" s="29">
        <f>IF(OR(U1746="",V1746="",V1746="Excluded"),"",IF(COUNTIFS($U$5:$U$3004,U1746,$V$5:$V$3004,"&lt;&gt;"&amp;V1746,$V$5:$V$3004,"&lt;&gt;",$V$5:$V$3004,"&lt;&gt;Excluded")&gt;0,"LEAK RISK","OK"))</f>
        <v/>
      </c>
      <c r="Z1746" s="30" t="n"/>
    </row>
    <row r="1747">
      <c r="A1747" s="30" t="n"/>
      <c r="B1747" s="30" t="n"/>
      <c r="C1747" s="30" t="n"/>
      <c r="D1747" s="30" t="n"/>
      <c r="E1747" s="30" t="n"/>
      <c r="F1747" s="30" t="n"/>
      <c r="G1747" s="30" t="n"/>
      <c r="H1747" s="30" t="n"/>
      <c r="I1747" s="31" t="n"/>
      <c r="J1747" s="30" t="n"/>
      <c r="K1747" s="30" t="n"/>
      <c r="L1747" s="30" t="n"/>
      <c r="M1747" s="30" t="n"/>
      <c r="N1747" s="32" t="n"/>
      <c r="O1747" s="30" t="n"/>
      <c r="P1747" s="32" t="n"/>
      <c r="Q1747" s="30" t="n"/>
      <c r="R1747" s="32" t="n"/>
      <c r="S1747" s="30" t="n"/>
      <c r="T1747" s="30" t="n"/>
      <c r="U1747" s="30" t="n"/>
      <c r="V1747" s="30" t="n"/>
      <c r="W1747" s="29">
        <f>IF(H1747="","",IF(H1747="Kenya","Yes","No"))</f>
        <v/>
      </c>
      <c r="X1747" s="29">
        <f>IF(B1747="","",IF(COUNTIF($B$5:$B$3004,B1747)&gt;1,"DUPLICATE","OK"))</f>
        <v/>
      </c>
      <c r="Y1747" s="29">
        <f>IF(OR(U1747="",V1747="",V1747="Excluded"),"",IF(COUNTIFS($U$5:$U$3004,U1747,$V$5:$V$3004,"&lt;&gt;"&amp;V1747,$V$5:$V$3004,"&lt;&gt;",$V$5:$V$3004,"&lt;&gt;Excluded")&gt;0,"LEAK RISK","OK"))</f>
        <v/>
      </c>
      <c r="Z1747" s="30" t="n"/>
    </row>
    <row r="1748">
      <c r="A1748" s="30" t="n"/>
      <c r="B1748" s="30" t="n"/>
      <c r="C1748" s="30" t="n"/>
      <c r="D1748" s="30" t="n"/>
      <c r="E1748" s="30" t="n"/>
      <c r="F1748" s="30" t="n"/>
      <c r="G1748" s="30" t="n"/>
      <c r="H1748" s="30" t="n"/>
      <c r="I1748" s="31" t="n"/>
      <c r="J1748" s="30" t="n"/>
      <c r="K1748" s="30" t="n"/>
      <c r="L1748" s="30" t="n"/>
      <c r="M1748" s="30" t="n"/>
      <c r="N1748" s="32" t="n"/>
      <c r="O1748" s="30" t="n"/>
      <c r="P1748" s="32" t="n"/>
      <c r="Q1748" s="30" t="n"/>
      <c r="R1748" s="32" t="n"/>
      <c r="S1748" s="30" t="n"/>
      <c r="T1748" s="30" t="n"/>
      <c r="U1748" s="30" t="n"/>
      <c r="V1748" s="30" t="n"/>
      <c r="W1748" s="29">
        <f>IF(H1748="","",IF(H1748="Kenya","Yes","No"))</f>
        <v/>
      </c>
      <c r="X1748" s="29">
        <f>IF(B1748="","",IF(COUNTIF($B$5:$B$3004,B1748)&gt;1,"DUPLICATE","OK"))</f>
        <v/>
      </c>
      <c r="Y1748" s="29">
        <f>IF(OR(U1748="",V1748="",V1748="Excluded"),"",IF(COUNTIFS($U$5:$U$3004,U1748,$V$5:$V$3004,"&lt;&gt;"&amp;V1748,$V$5:$V$3004,"&lt;&gt;",$V$5:$V$3004,"&lt;&gt;Excluded")&gt;0,"LEAK RISK","OK"))</f>
        <v/>
      </c>
      <c r="Z1748" s="30" t="n"/>
    </row>
    <row r="1749">
      <c r="A1749" s="30" t="n"/>
      <c r="B1749" s="30" t="n"/>
      <c r="C1749" s="30" t="n"/>
      <c r="D1749" s="30" t="n"/>
      <c r="E1749" s="30" t="n"/>
      <c r="F1749" s="30" t="n"/>
      <c r="G1749" s="30" t="n"/>
      <c r="H1749" s="30" t="n"/>
      <c r="I1749" s="31" t="n"/>
      <c r="J1749" s="30" t="n"/>
      <c r="K1749" s="30" t="n"/>
      <c r="L1749" s="30" t="n"/>
      <c r="M1749" s="30" t="n"/>
      <c r="N1749" s="32" t="n"/>
      <c r="O1749" s="30" t="n"/>
      <c r="P1749" s="32" t="n"/>
      <c r="Q1749" s="30" t="n"/>
      <c r="R1749" s="32" t="n"/>
      <c r="S1749" s="30" t="n"/>
      <c r="T1749" s="30" t="n"/>
      <c r="U1749" s="30" t="n"/>
      <c r="V1749" s="30" t="n"/>
      <c r="W1749" s="29">
        <f>IF(H1749="","",IF(H1749="Kenya","Yes","No"))</f>
        <v/>
      </c>
      <c r="X1749" s="29">
        <f>IF(B1749="","",IF(COUNTIF($B$5:$B$3004,B1749)&gt;1,"DUPLICATE","OK"))</f>
        <v/>
      </c>
      <c r="Y1749" s="29">
        <f>IF(OR(U1749="",V1749="",V1749="Excluded"),"",IF(COUNTIFS($U$5:$U$3004,U1749,$V$5:$V$3004,"&lt;&gt;"&amp;V1749,$V$5:$V$3004,"&lt;&gt;",$V$5:$V$3004,"&lt;&gt;Excluded")&gt;0,"LEAK RISK","OK"))</f>
        <v/>
      </c>
      <c r="Z1749" s="30" t="n"/>
    </row>
    <row r="1750">
      <c r="A1750" s="30" t="n"/>
      <c r="B1750" s="30" t="n"/>
      <c r="C1750" s="30" t="n"/>
      <c r="D1750" s="30" t="n"/>
      <c r="E1750" s="30" t="n"/>
      <c r="F1750" s="30" t="n"/>
      <c r="G1750" s="30" t="n"/>
      <c r="H1750" s="30" t="n"/>
      <c r="I1750" s="31" t="n"/>
      <c r="J1750" s="30" t="n"/>
      <c r="K1750" s="30" t="n"/>
      <c r="L1750" s="30" t="n"/>
      <c r="M1750" s="30" t="n"/>
      <c r="N1750" s="32" t="n"/>
      <c r="O1750" s="30" t="n"/>
      <c r="P1750" s="32" t="n"/>
      <c r="Q1750" s="30" t="n"/>
      <c r="R1750" s="32" t="n"/>
      <c r="S1750" s="30" t="n"/>
      <c r="T1750" s="30" t="n"/>
      <c r="U1750" s="30" t="n"/>
      <c r="V1750" s="30" t="n"/>
      <c r="W1750" s="29">
        <f>IF(H1750="","",IF(H1750="Kenya","Yes","No"))</f>
        <v/>
      </c>
      <c r="X1750" s="29">
        <f>IF(B1750="","",IF(COUNTIF($B$5:$B$3004,B1750)&gt;1,"DUPLICATE","OK"))</f>
        <v/>
      </c>
      <c r="Y1750" s="29">
        <f>IF(OR(U1750="",V1750="",V1750="Excluded"),"",IF(COUNTIFS($U$5:$U$3004,U1750,$V$5:$V$3004,"&lt;&gt;"&amp;V1750,$V$5:$V$3004,"&lt;&gt;",$V$5:$V$3004,"&lt;&gt;Excluded")&gt;0,"LEAK RISK","OK"))</f>
        <v/>
      </c>
      <c r="Z1750" s="30" t="n"/>
    </row>
    <row r="1751">
      <c r="A1751" s="30" t="n"/>
      <c r="B1751" s="30" t="n"/>
      <c r="C1751" s="30" t="n"/>
      <c r="D1751" s="30" t="n"/>
      <c r="E1751" s="30" t="n"/>
      <c r="F1751" s="30" t="n"/>
      <c r="G1751" s="30" t="n"/>
      <c r="H1751" s="30" t="n"/>
      <c r="I1751" s="31" t="n"/>
      <c r="J1751" s="30" t="n"/>
      <c r="K1751" s="30" t="n"/>
      <c r="L1751" s="30" t="n"/>
      <c r="M1751" s="30" t="n"/>
      <c r="N1751" s="32" t="n"/>
      <c r="O1751" s="30" t="n"/>
      <c r="P1751" s="32" t="n"/>
      <c r="Q1751" s="30" t="n"/>
      <c r="R1751" s="32" t="n"/>
      <c r="S1751" s="30" t="n"/>
      <c r="T1751" s="30" t="n"/>
      <c r="U1751" s="30" t="n"/>
      <c r="V1751" s="30" t="n"/>
      <c r="W1751" s="29">
        <f>IF(H1751="","",IF(H1751="Kenya","Yes","No"))</f>
        <v/>
      </c>
      <c r="X1751" s="29">
        <f>IF(B1751="","",IF(COUNTIF($B$5:$B$3004,B1751)&gt;1,"DUPLICATE","OK"))</f>
        <v/>
      </c>
      <c r="Y1751" s="29">
        <f>IF(OR(U1751="",V1751="",V1751="Excluded"),"",IF(COUNTIFS($U$5:$U$3004,U1751,$V$5:$V$3004,"&lt;&gt;"&amp;V1751,$V$5:$V$3004,"&lt;&gt;",$V$5:$V$3004,"&lt;&gt;Excluded")&gt;0,"LEAK RISK","OK"))</f>
        <v/>
      </c>
      <c r="Z1751" s="30" t="n"/>
    </row>
    <row r="1752">
      <c r="A1752" s="30" t="n"/>
      <c r="B1752" s="30" t="n"/>
      <c r="C1752" s="30" t="n"/>
      <c r="D1752" s="30" t="n"/>
      <c r="E1752" s="30" t="n"/>
      <c r="F1752" s="30" t="n"/>
      <c r="G1752" s="30" t="n"/>
      <c r="H1752" s="30" t="n"/>
      <c r="I1752" s="31" t="n"/>
      <c r="J1752" s="30" t="n"/>
      <c r="K1752" s="30" t="n"/>
      <c r="L1752" s="30" t="n"/>
      <c r="M1752" s="30" t="n"/>
      <c r="N1752" s="32" t="n"/>
      <c r="O1752" s="30" t="n"/>
      <c r="P1752" s="32" t="n"/>
      <c r="Q1752" s="30" t="n"/>
      <c r="R1752" s="32" t="n"/>
      <c r="S1752" s="30" t="n"/>
      <c r="T1752" s="30" t="n"/>
      <c r="U1752" s="30" t="n"/>
      <c r="V1752" s="30" t="n"/>
      <c r="W1752" s="29">
        <f>IF(H1752="","",IF(H1752="Kenya","Yes","No"))</f>
        <v/>
      </c>
      <c r="X1752" s="29">
        <f>IF(B1752="","",IF(COUNTIF($B$5:$B$3004,B1752)&gt;1,"DUPLICATE","OK"))</f>
        <v/>
      </c>
      <c r="Y1752" s="29">
        <f>IF(OR(U1752="",V1752="",V1752="Excluded"),"",IF(COUNTIFS($U$5:$U$3004,U1752,$V$5:$V$3004,"&lt;&gt;"&amp;V1752,$V$5:$V$3004,"&lt;&gt;",$V$5:$V$3004,"&lt;&gt;Excluded")&gt;0,"LEAK RISK","OK"))</f>
        <v/>
      </c>
      <c r="Z1752" s="30" t="n"/>
    </row>
    <row r="1753">
      <c r="A1753" s="30" t="n"/>
      <c r="B1753" s="30" t="n"/>
      <c r="C1753" s="30" t="n"/>
      <c r="D1753" s="30" t="n"/>
      <c r="E1753" s="30" t="n"/>
      <c r="F1753" s="30" t="n"/>
      <c r="G1753" s="30" t="n"/>
      <c r="H1753" s="30" t="n"/>
      <c r="I1753" s="31" t="n"/>
      <c r="J1753" s="30" t="n"/>
      <c r="K1753" s="30" t="n"/>
      <c r="L1753" s="30" t="n"/>
      <c r="M1753" s="30" t="n"/>
      <c r="N1753" s="32" t="n"/>
      <c r="O1753" s="30" t="n"/>
      <c r="P1753" s="32" t="n"/>
      <c r="Q1753" s="30" t="n"/>
      <c r="R1753" s="32" t="n"/>
      <c r="S1753" s="30" t="n"/>
      <c r="T1753" s="30" t="n"/>
      <c r="U1753" s="30" t="n"/>
      <c r="V1753" s="30" t="n"/>
      <c r="W1753" s="29">
        <f>IF(H1753="","",IF(H1753="Kenya","Yes","No"))</f>
        <v/>
      </c>
      <c r="X1753" s="29">
        <f>IF(B1753="","",IF(COUNTIF($B$5:$B$3004,B1753)&gt;1,"DUPLICATE","OK"))</f>
        <v/>
      </c>
      <c r="Y1753" s="29">
        <f>IF(OR(U1753="",V1753="",V1753="Excluded"),"",IF(COUNTIFS($U$5:$U$3004,U1753,$V$5:$V$3004,"&lt;&gt;"&amp;V1753,$V$5:$V$3004,"&lt;&gt;",$V$5:$V$3004,"&lt;&gt;Excluded")&gt;0,"LEAK RISK","OK"))</f>
        <v/>
      </c>
      <c r="Z1753" s="30" t="n"/>
    </row>
    <row r="1754">
      <c r="A1754" s="30" t="n"/>
      <c r="B1754" s="30" t="n"/>
      <c r="C1754" s="30" t="n"/>
      <c r="D1754" s="30" t="n"/>
      <c r="E1754" s="30" t="n"/>
      <c r="F1754" s="30" t="n"/>
      <c r="G1754" s="30" t="n"/>
      <c r="H1754" s="30" t="n"/>
      <c r="I1754" s="31" t="n"/>
      <c r="J1754" s="30" t="n"/>
      <c r="K1754" s="30" t="n"/>
      <c r="L1754" s="30" t="n"/>
      <c r="M1754" s="30" t="n"/>
      <c r="N1754" s="32" t="n"/>
      <c r="O1754" s="30" t="n"/>
      <c r="P1754" s="32" t="n"/>
      <c r="Q1754" s="30" t="n"/>
      <c r="R1754" s="32" t="n"/>
      <c r="S1754" s="30" t="n"/>
      <c r="T1754" s="30" t="n"/>
      <c r="U1754" s="30" t="n"/>
      <c r="V1754" s="30" t="n"/>
      <c r="W1754" s="29">
        <f>IF(H1754="","",IF(H1754="Kenya","Yes","No"))</f>
        <v/>
      </c>
      <c r="X1754" s="29">
        <f>IF(B1754="","",IF(COUNTIF($B$5:$B$3004,B1754)&gt;1,"DUPLICATE","OK"))</f>
        <v/>
      </c>
      <c r="Y1754" s="29">
        <f>IF(OR(U1754="",V1754="",V1754="Excluded"),"",IF(COUNTIFS($U$5:$U$3004,U1754,$V$5:$V$3004,"&lt;&gt;"&amp;V1754,$V$5:$V$3004,"&lt;&gt;",$V$5:$V$3004,"&lt;&gt;Excluded")&gt;0,"LEAK RISK","OK"))</f>
        <v/>
      </c>
      <c r="Z1754" s="30" t="n"/>
    </row>
    <row r="1755">
      <c r="A1755" s="30" t="n"/>
      <c r="B1755" s="30" t="n"/>
      <c r="C1755" s="30" t="n"/>
      <c r="D1755" s="30" t="n"/>
      <c r="E1755" s="30" t="n"/>
      <c r="F1755" s="30" t="n"/>
      <c r="G1755" s="30" t="n"/>
      <c r="H1755" s="30" t="n"/>
      <c r="I1755" s="31" t="n"/>
      <c r="J1755" s="30" t="n"/>
      <c r="K1755" s="30" t="n"/>
      <c r="L1755" s="30" t="n"/>
      <c r="M1755" s="30" t="n"/>
      <c r="N1755" s="32" t="n"/>
      <c r="O1755" s="30" t="n"/>
      <c r="P1755" s="32" t="n"/>
      <c r="Q1755" s="30" t="n"/>
      <c r="R1755" s="32" t="n"/>
      <c r="S1755" s="30" t="n"/>
      <c r="T1755" s="30" t="n"/>
      <c r="U1755" s="30" t="n"/>
      <c r="V1755" s="30" t="n"/>
      <c r="W1755" s="29">
        <f>IF(H1755="","",IF(H1755="Kenya","Yes","No"))</f>
        <v/>
      </c>
      <c r="X1755" s="29">
        <f>IF(B1755="","",IF(COUNTIF($B$5:$B$3004,B1755)&gt;1,"DUPLICATE","OK"))</f>
        <v/>
      </c>
      <c r="Y1755" s="29">
        <f>IF(OR(U1755="",V1755="",V1755="Excluded"),"",IF(COUNTIFS($U$5:$U$3004,U1755,$V$5:$V$3004,"&lt;&gt;"&amp;V1755,$V$5:$V$3004,"&lt;&gt;",$V$5:$V$3004,"&lt;&gt;Excluded")&gt;0,"LEAK RISK","OK"))</f>
        <v/>
      </c>
      <c r="Z1755" s="30" t="n"/>
    </row>
    <row r="1756">
      <c r="A1756" s="30" t="n"/>
      <c r="B1756" s="30" t="n"/>
      <c r="C1756" s="30" t="n"/>
      <c r="D1756" s="30" t="n"/>
      <c r="E1756" s="30" t="n"/>
      <c r="F1756" s="30" t="n"/>
      <c r="G1756" s="30" t="n"/>
      <c r="H1756" s="30" t="n"/>
      <c r="I1756" s="31" t="n"/>
      <c r="J1756" s="30" t="n"/>
      <c r="K1756" s="30" t="n"/>
      <c r="L1756" s="30" t="n"/>
      <c r="M1756" s="30" t="n"/>
      <c r="N1756" s="32" t="n"/>
      <c r="O1756" s="30" t="n"/>
      <c r="P1756" s="32" t="n"/>
      <c r="Q1756" s="30" t="n"/>
      <c r="R1756" s="32" t="n"/>
      <c r="S1756" s="30" t="n"/>
      <c r="T1756" s="30" t="n"/>
      <c r="U1756" s="30" t="n"/>
      <c r="V1756" s="30" t="n"/>
      <c r="W1756" s="29">
        <f>IF(H1756="","",IF(H1756="Kenya","Yes","No"))</f>
        <v/>
      </c>
      <c r="X1756" s="29">
        <f>IF(B1756="","",IF(COUNTIF($B$5:$B$3004,B1756)&gt;1,"DUPLICATE","OK"))</f>
        <v/>
      </c>
      <c r="Y1756" s="29">
        <f>IF(OR(U1756="",V1756="",V1756="Excluded"),"",IF(COUNTIFS($U$5:$U$3004,U1756,$V$5:$V$3004,"&lt;&gt;"&amp;V1756,$V$5:$V$3004,"&lt;&gt;",$V$5:$V$3004,"&lt;&gt;Excluded")&gt;0,"LEAK RISK","OK"))</f>
        <v/>
      </c>
      <c r="Z1756" s="30" t="n"/>
    </row>
    <row r="1757">
      <c r="A1757" s="30" t="n"/>
      <c r="B1757" s="30" t="n"/>
      <c r="C1757" s="30" t="n"/>
      <c r="D1757" s="30" t="n"/>
      <c r="E1757" s="30" t="n"/>
      <c r="F1757" s="30" t="n"/>
      <c r="G1757" s="30" t="n"/>
      <c r="H1757" s="30" t="n"/>
      <c r="I1757" s="31" t="n"/>
      <c r="J1757" s="30" t="n"/>
      <c r="K1757" s="30" t="n"/>
      <c r="L1757" s="30" t="n"/>
      <c r="M1757" s="30" t="n"/>
      <c r="N1757" s="32" t="n"/>
      <c r="O1757" s="30" t="n"/>
      <c r="P1757" s="32" t="n"/>
      <c r="Q1757" s="30" t="n"/>
      <c r="R1757" s="32" t="n"/>
      <c r="S1757" s="30" t="n"/>
      <c r="T1757" s="30" t="n"/>
      <c r="U1757" s="30" t="n"/>
      <c r="V1757" s="30" t="n"/>
      <c r="W1757" s="29">
        <f>IF(H1757="","",IF(H1757="Kenya","Yes","No"))</f>
        <v/>
      </c>
      <c r="X1757" s="29">
        <f>IF(B1757="","",IF(COUNTIF($B$5:$B$3004,B1757)&gt;1,"DUPLICATE","OK"))</f>
        <v/>
      </c>
      <c r="Y1757" s="29">
        <f>IF(OR(U1757="",V1757="",V1757="Excluded"),"",IF(COUNTIFS($U$5:$U$3004,U1757,$V$5:$V$3004,"&lt;&gt;"&amp;V1757,$V$5:$V$3004,"&lt;&gt;",$V$5:$V$3004,"&lt;&gt;Excluded")&gt;0,"LEAK RISK","OK"))</f>
        <v/>
      </c>
      <c r="Z1757" s="30" t="n"/>
    </row>
    <row r="1758">
      <c r="A1758" s="30" t="n"/>
      <c r="B1758" s="30" t="n"/>
      <c r="C1758" s="30" t="n"/>
      <c r="D1758" s="30" t="n"/>
      <c r="E1758" s="30" t="n"/>
      <c r="F1758" s="30" t="n"/>
      <c r="G1758" s="30" t="n"/>
      <c r="H1758" s="30" t="n"/>
      <c r="I1758" s="31" t="n"/>
      <c r="J1758" s="30" t="n"/>
      <c r="K1758" s="30" t="n"/>
      <c r="L1758" s="30" t="n"/>
      <c r="M1758" s="30" t="n"/>
      <c r="N1758" s="32" t="n"/>
      <c r="O1758" s="30" t="n"/>
      <c r="P1758" s="32" t="n"/>
      <c r="Q1758" s="30" t="n"/>
      <c r="R1758" s="32" t="n"/>
      <c r="S1758" s="30" t="n"/>
      <c r="T1758" s="30" t="n"/>
      <c r="U1758" s="30" t="n"/>
      <c r="V1758" s="30" t="n"/>
      <c r="W1758" s="29">
        <f>IF(H1758="","",IF(H1758="Kenya","Yes","No"))</f>
        <v/>
      </c>
      <c r="X1758" s="29">
        <f>IF(B1758="","",IF(COUNTIF($B$5:$B$3004,B1758)&gt;1,"DUPLICATE","OK"))</f>
        <v/>
      </c>
      <c r="Y1758" s="29">
        <f>IF(OR(U1758="",V1758="",V1758="Excluded"),"",IF(COUNTIFS($U$5:$U$3004,U1758,$V$5:$V$3004,"&lt;&gt;"&amp;V1758,$V$5:$V$3004,"&lt;&gt;",$V$5:$V$3004,"&lt;&gt;Excluded")&gt;0,"LEAK RISK","OK"))</f>
        <v/>
      </c>
      <c r="Z1758" s="30" t="n"/>
    </row>
    <row r="1759">
      <c r="A1759" s="30" t="n"/>
      <c r="B1759" s="30" t="n"/>
      <c r="C1759" s="30" t="n"/>
      <c r="D1759" s="30" t="n"/>
      <c r="E1759" s="30" t="n"/>
      <c r="F1759" s="30" t="n"/>
      <c r="G1759" s="30" t="n"/>
      <c r="H1759" s="30" t="n"/>
      <c r="I1759" s="31" t="n"/>
      <c r="J1759" s="30" t="n"/>
      <c r="K1759" s="30" t="n"/>
      <c r="L1759" s="30" t="n"/>
      <c r="M1759" s="30" t="n"/>
      <c r="N1759" s="32" t="n"/>
      <c r="O1759" s="30" t="n"/>
      <c r="P1759" s="32" t="n"/>
      <c r="Q1759" s="30" t="n"/>
      <c r="R1759" s="32" t="n"/>
      <c r="S1759" s="30" t="n"/>
      <c r="T1759" s="30" t="n"/>
      <c r="U1759" s="30" t="n"/>
      <c r="V1759" s="30" t="n"/>
      <c r="W1759" s="29">
        <f>IF(H1759="","",IF(H1759="Kenya","Yes","No"))</f>
        <v/>
      </c>
      <c r="X1759" s="29">
        <f>IF(B1759="","",IF(COUNTIF($B$5:$B$3004,B1759)&gt;1,"DUPLICATE","OK"))</f>
        <v/>
      </c>
      <c r="Y1759" s="29">
        <f>IF(OR(U1759="",V1759="",V1759="Excluded"),"",IF(COUNTIFS($U$5:$U$3004,U1759,$V$5:$V$3004,"&lt;&gt;"&amp;V1759,$V$5:$V$3004,"&lt;&gt;",$V$5:$V$3004,"&lt;&gt;Excluded")&gt;0,"LEAK RISK","OK"))</f>
        <v/>
      </c>
      <c r="Z1759" s="30" t="n"/>
    </row>
    <row r="1760">
      <c r="A1760" s="30" t="n"/>
      <c r="B1760" s="30" t="n"/>
      <c r="C1760" s="30" t="n"/>
      <c r="D1760" s="30" t="n"/>
      <c r="E1760" s="30" t="n"/>
      <c r="F1760" s="30" t="n"/>
      <c r="G1760" s="30" t="n"/>
      <c r="H1760" s="30" t="n"/>
      <c r="I1760" s="31" t="n"/>
      <c r="J1760" s="30" t="n"/>
      <c r="K1760" s="30" t="n"/>
      <c r="L1760" s="30" t="n"/>
      <c r="M1760" s="30" t="n"/>
      <c r="N1760" s="32" t="n"/>
      <c r="O1760" s="30" t="n"/>
      <c r="P1760" s="32" t="n"/>
      <c r="Q1760" s="30" t="n"/>
      <c r="R1760" s="32" t="n"/>
      <c r="S1760" s="30" t="n"/>
      <c r="T1760" s="30" t="n"/>
      <c r="U1760" s="30" t="n"/>
      <c r="V1760" s="30" t="n"/>
      <c r="W1760" s="29">
        <f>IF(H1760="","",IF(H1760="Kenya","Yes","No"))</f>
        <v/>
      </c>
      <c r="X1760" s="29">
        <f>IF(B1760="","",IF(COUNTIF($B$5:$B$3004,B1760)&gt;1,"DUPLICATE","OK"))</f>
        <v/>
      </c>
      <c r="Y1760" s="29">
        <f>IF(OR(U1760="",V1760="",V1760="Excluded"),"",IF(COUNTIFS($U$5:$U$3004,U1760,$V$5:$V$3004,"&lt;&gt;"&amp;V1760,$V$5:$V$3004,"&lt;&gt;",$V$5:$V$3004,"&lt;&gt;Excluded")&gt;0,"LEAK RISK","OK"))</f>
        <v/>
      </c>
      <c r="Z1760" s="30" t="n"/>
    </row>
    <row r="1761">
      <c r="A1761" s="30" t="n"/>
      <c r="B1761" s="30" t="n"/>
      <c r="C1761" s="30" t="n"/>
      <c r="D1761" s="30" t="n"/>
      <c r="E1761" s="30" t="n"/>
      <c r="F1761" s="30" t="n"/>
      <c r="G1761" s="30" t="n"/>
      <c r="H1761" s="30" t="n"/>
      <c r="I1761" s="31" t="n"/>
      <c r="J1761" s="30" t="n"/>
      <c r="K1761" s="30" t="n"/>
      <c r="L1761" s="30" t="n"/>
      <c r="M1761" s="30" t="n"/>
      <c r="N1761" s="32" t="n"/>
      <c r="O1761" s="30" t="n"/>
      <c r="P1761" s="32" t="n"/>
      <c r="Q1761" s="30" t="n"/>
      <c r="R1761" s="32" t="n"/>
      <c r="S1761" s="30" t="n"/>
      <c r="T1761" s="30" t="n"/>
      <c r="U1761" s="30" t="n"/>
      <c r="V1761" s="30" t="n"/>
      <c r="W1761" s="29">
        <f>IF(H1761="","",IF(H1761="Kenya","Yes","No"))</f>
        <v/>
      </c>
      <c r="X1761" s="29">
        <f>IF(B1761="","",IF(COUNTIF($B$5:$B$3004,B1761)&gt;1,"DUPLICATE","OK"))</f>
        <v/>
      </c>
      <c r="Y1761" s="29">
        <f>IF(OR(U1761="",V1761="",V1761="Excluded"),"",IF(COUNTIFS($U$5:$U$3004,U1761,$V$5:$V$3004,"&lt;&gt;"&amp;V1761,$V$5:$V$3004,"&lt;&gt;",$V$5:$V$3004,"&lt;&gt;Excluded")&gt;0,"LEAK RISK","OK"))</f>
        <v/>
      </c>
      <c r="Z1761" s="30" t="n"/>
    </row>
    <row r="1762">
      <c r="A1762" s="30" t="n"/>
      <c r="B1762" s="30" t="n"/>
      <c r="C1762" s="30" t="n"/>
      <c r="D1762" s="30" t="n"/>
      <c r="E1762" s="30" t="n"/>
      <c r="F1762" s="30" t="n"/>
      <c r="G1762" s="30" t="n"/>
      <c r="H1762" s="30" t="n"/>
      <c r="I1762" s="31" t="n"/>
      <c r="J1762" s="30" t="n"/>
      <c r="K1762" s="30" t="n"/>
      <c r="L1762" s="30" t="n"/>
      <c r="M1762" s="30" t="n"/>
      <c r="N1762" s="32" t="n"/>
      <c r="O1762" s="30" t="n"/>
      <c r="P1762" s="32" t="n"/>
      <c r="Q1762" s="30" t="n"/>
      <c r="R1762" s="32" t="n"/>
      <c r="S1762" s="30" t="n"/>
      <c r="T1762" s="30" t="n"/>
      <c r="U1762" s="30" t="n"/>
      <c r="V1762" s="30" t="n"/>
      <c r="W1762" s="29">
        <f>IF(H1762="","",IF(H1762="Kenya","Yes","No"))</f>
        <v/>
      </c>
      <c r="X1762" s="29">
        <f>IF(B1762="","",IF(COUNTIF($B$5:$B$3004,B1762)&gt;1,"DUPLICATE","OK"))</f>
        <v/>
      </c>
      <c r="Y1762" s="29">
        <f>IF(OR(U1762="",V1762="",V1762="Excluded"),"",IF(COUNTIFS($U$5:$U$3004,U1762,$V$5:$V$3004,"&lt;&gt;"&amp;V1762,$V$5:$V$3004,"&lt;&gt;",$V$5:$V$3004,"&lt;&gt;Excluded")&gt;0,"LEAK RISK","OK"))</f>
        <v/>
      </c>
      <c r="Z1762" s="30" t="n"/>
    </row>
    <row r="1763">
      <c r="A1763" s="30" t="n"/>
      <c r="B1763" s="30" t="n"/>
      <c r="C1763" s="30" t="n"/>
      <c r="D1763" s="30" t="n"/>
      <c r="E1763" s="30" t="n"/>
      <c r="F1763" s="30" t="n"/>
      <c r="G1763" s="30" t="n"/>
      <c r="H1763" s="30" t="n"/>
      <c r="I1763" s="31" t="n"/>
      <c r="J1763" s="30" t="n"/>
      <c r="K1763" s="30" t="n"/>
      <c r="L1763" s="30" t="n"/>
      <c r="M1763" s="30" t="n"/>
      <c r="N1763" s="32" t="n"/>
      <c r="O1763" s="30" t="n"/>
      <c r="P1763" s="32" t="n"/>
      <c r="Q1763" s="30" t="n"/>
      <c r="R1763" s="32" t="n"/>
      <c r="S1763" s="30" t="n"/>
      <c r="T1763" s="30" t="n"/>
      <c r="U1763" s="30" t="n"/>
      <c r="V1763" s="30" t="n"/>
      <c r="W1763" s="29">
        <f>IF(H1763="","",IF(H1763="Kenya","Yes","No"))</f>
        <v/>
      </c>
      <c r="X1763" s="29">
        <f>IF(B1763="","",IF(COUNTIF($B$5:$B$3004,B1763)&gt;1,"DUPLICATE","OK"))</f>
        <v/>
      </c>
      <c r="Y1763" s="29">
        <f>IF(OR(U1763="",V1763="",V1763="Excluded"),"",IF(COUNTIFS($U$5:$U$3004,U1763,$V$5:$V$3004,"&lt;&gt;"&amp;V1763,$V$5:$V$3004,"&lt;&gt;",$V$5:$V$3004,"&lt;&gt;Excluded")&gt;0,"LEAK RISK","OK"))</f>
        <v/>
      </c>
      <c r="Z1763" s="30" t="n"/>
    </row>
    <row r="1764">
      <c r="A1764" s="30" t="n"/>
      <c r="B1764" s="30" t="n"/>
      <c r="C1764" s="30" t="n"/>
      <c r="D1764" s="30" t="n"/>
      <c r="E1764" s="30" t="n"/>
      <c r="F1764" s="30" t="n"/>
      <c r="G1764" s="30" t="n"/>
      <c r="H1764" s="30" t="n"/>
      <c r="I1764" s="31" t="n"/>
      <c r="J1764" s="30" t="n"/>
      <c r="K1764" s="30" t="n"/>
      <c r="L1764" s="30" t="n"/>
      <c r="M1764" s="30" t="n"/>
      <c r="N1764" s="32" t="n"/>
      <c r="O1764" s="30" t="n"/>
      <c r="P1764" s="32" t="n"/>
      <c r="Q1764" s="30" t="n"/>
      <c r="R1764" s="32" t="n"/>
      <c r="S1764" s="30" t="n"/>
      <c r="T1764" s="30" t="n"/>
      <c r="U1764" s="30" t="n"/>
      <c r="V1764" s="30" t="n"/>
      <c r="W1764" s="29">
        <f>IF(H1764="","",IF(H1764="Kenya","Yes","No"))</f>
        <v/>
      </c>
      <c r="X1764" s="29">
        <f>IF(B1764="","",IF(COUNTIF($B$5:$B$3004,B1764)&gt;1,"DUPLICATE","OK"))</f>
        <v/>
      </c>
      <c r="Y1764" s="29">
        <f>IF(OR(U1764="",V1764="",V1764="Excluded"),"",IF(COUNTIFS($U$5:$U$3004,U1764,$V$5:$V$3004,"&lt;&gt;"&amp;V1764,$V$5:$V$3004,"&lt;&gt;",$V$5:$V$3004,"&lt;&gt;Excluded")&gt;0,"LEAK RISK","OK"))</f>
        <v/>
      </c>
      <c r="Z1764" s="30" t="n"/>
    </row>
    <row r="1765">
      <c r="A1765" s="30" t="n"/>
      <c r="B1765" s="30" t="n"/>
      <c r="C1765" s="30" t="n"/>
      <c r="D1765" s="30" t="n"/>
      <c r="E1765" s="30" t="n"/>
      <c r="F1765" s="30" t="n"/>
      <c r="G1765" s="30" t="n"/>
      <c r="H1765" s="30" t="n"/>
      <c r="I1765" s="31" t="n"/>
      <c r="J1765" s="30" t="n"/>
      <c r="K1765" s="30" t="n"/>
      <c r="L1765" s="30" t="n"/>
      <c r="M1765" s="30" t="n"/>
      <c r="N1765" s="32" t="n"/>
      <c r="O1765" s="30" t="n"/>
      <c r="P1765" s="32" t="n"/>
      <c r="Q1765" s="30" t="n"/>
      <c r="R1765" s="32" t="n"/>
      <c r="S1765" s="30" t="n"/>
      <c r="T1765" s="30" t="n"/>
      <c r="U1765" s="30" t="n"/>
      <c r="V1765" s="30" t="n"/>
      <c r="W1765" s="29">
        <f>IF(H1765="","",IF(H1765="Kenya","Yes","No"))</f>
        <v/>
      </c>
      <c r="X1765" s="29">
        <f>IF(B1765="","",IF(COUNTIF($B$5:$B$3004,B1765)&gt;1,"DUPLICATE","OK"))</f>
        <v/>
      </c>
      <c r="Y1765" s="29">
        <f>IF(OR(U1765="",V1765="",V1765="Excluded"),"",IF(COUNTIFS($U$5:$U$3004,U1765,$V$5:$V$3004,"&lt;&gt;"&amp;V1765,$V$5:$V$3004,"&lt;&gt;",$V$5:$V$3004,"&lt;&gt;Excluded")&gt;0,"LEAK RISK","OK"))</f>
        <v/>
      </c>
      <c r="Z1765" s="30" t="n"/>
    </row>
    <row r="1766">
      <c r="A1766" s="30" t="n"/>
      <c r="B1766" s="30" t="n"/>
      <c r="C1766" s="30" t="n"/>
      <c r="D1766" s="30" t="n"/>
      <c r="E1766" s="30" t="n"/>
      <c r="F1766" s="30" t="n"/>
      <c r="G1766" s="30" t="n"/>
      <c r="H1766" s="30" t="n"/>
      <c r="I1766" s="31" t="n"/>
      <c r="J1766" s="30" t="n"/>
      <c r="K1766" s="30" t="n"/>
      <c r="L1766" s="30" t="n"/>
      <c r="M1766" s="30" t="n"/>
      <c r="N1766" s="32" t="n"/>
      <c r="O1766" s="30" t="n"/>
      <c r="P1766" s="32" t="n"/>
      <c r="Q1766" s="30" t="n"/>
      <c r="R1766" s="32" t="n"/>
      <c r="S1766" s="30" t="n"/>
      <c r="T1766" s="30" t="n"/>
      <c r="U1766" s="30" t="n"/>
      <c r="V1766" s="30" t="n"/>
      <c r="W1766" s="29">
        <f>IF(H1766="","",IF(H1766="Kenya","Yes","No"))</f>
        <v/>
      </c>
      <c r="X1766" s="29">
        <f>IF(B1766="","",IF(COUNTIF($B$5:$B$3004,B1766)&gt;1,"DUPLICATE","OK"))</f>
        <v/>
      </c>
      <c r="Y1766" s="29">
        <f>IF(OR(U1766="",V1766="",V1766="Excluded"),"",IF(COUNTIFS($U$5:$U$3004,U1766,$V$5:$V$3004,"&lt;&gt;"&amp;V1766,$V$5:$V$3004,"&lt;&gt;",$V$5:$V$3004,"&lt;&gt;Excluded")&gt;0,"LEAK RISK","OK"))</f>
        <v/>
      </c>
      <c r="Z1766" s="30" t="n"/>
    </row>
    <row r="1767">
      <c r="A1767" s="30" t="n"/>
      <c r="B1767" s="30" t="n"/>
      <c r="C1767" s="30" t="n"/>
      <c r="D1767" s="30" t="n"/>
      <c r="E1767" s="30" t="n"/>
      <c r="F1767" s="30" t="n"/>
      <c r="G1767" s="30" t="n"/>
      <c r="H1767" s="30" t="n"/>
      <c r="I1767" s="31" t="n"/>
      <c r="J1767" s="30" t="n"/>
      <c r="K1767" s="30" t="n"/>
      <c r="L1767" s="30" t="n"/>
      <c r="M1767" s="30" t="n"/>
      <c r="N1767" s="32" t="n"/>
      <c r="O1767" s="30" t="n"/>
      <c r="P1767" s="32" t="n"/>
      <c r="Q1767" s="30" t="n"/>
      <c r="R1767" s="32" t="n"/>
      <c r="S1767" s="30" t="n"/>
      <c r="T1767" s="30" t="n"/>
      <c r="U1767" s="30" t="n"/>
      <c r="V1767" s="30" t="n"/>
      <c r="W1767" s="29">
        <f>IF(H1767="","",IF(H1767="Kenya","Yes","No"))</f>
        <v/>
      </c>
      <c r="X1767" s="29">
        <f>IF(B1767="","",IF(COUNTIF($B$5:$B$3004,B1767)&gt;1,"DUPLICATE","OK"))</f>
        <v/>
      </c>
      <c r="Y1767" s="29">
        <f>IF(OR(U1767="",V1767="",V1767="Excluded"),"",IF(COUNTIFS($U$5:$U$3004,U1767,$V$5:$V$3004,"&lt;&gt;"&amp;V1767,$V$5:$V$3004,"&lt;&gt;",$V$5:$V$3004,"&lt;&gt;Excluded")&gt;0,"LEAK RISK","OK"))</f>
        <v/>
      </c>
      <c r="Z1767" s="30" t="n"/>
    </row>
    <row r="1768">
      <c r="A1768" s="30" t="n"/>
      <c r="B1768" s="30" t="n"/>
      <c r="C1768" s="30" t="n"/>
      <c r="D1768" s="30" t="n"/>
      <c r="E1768" s="30" t="n"/>
      <c r="F1768" s="30" t="n"/>
      <c r="G1768" s="30" t="n"/>
      <c r="H1768" s="30" t="n"/>
      <c r="I1768" s="31" t="n"/>
      <c r="J1768" s="30" t="n"/>
      <c r="K1768" s="30" t="n"/>
      <c r="L1768" s="30" t="n"/>
      <c r="M1768" s="30" t="n"/>
      <c r="N1768" s="32" t="n"/>
      <c r="O1768" s="30" t="n"/>
      <c r="P1768" s="32" t="n"/>
      <c r="Q1768" s="30" t="n"/>
      <c r="R1768" s="32" t="n"/>
      <c r="S1768" s="30" t="n"/>
      <c r="T1768" s="30" t="n"/>
      <c r="U1768" s="30" t="n"/>
      <c r="V1768" s="30" t="n"/>
      <c r="W1768" s="29">
        <f>IF(H1768="","",IF(H1768="Kenya","Yes","No"))</f>
        <v/>
      </c>
      <c r="X1768" s="29">
        <f>IF(B1768="","",IF(COUNTIF($B$5:$B$3004,B1768)&gt;1,"DUPLICATE","OK"))</f>
        <v/>
      </c>
      <c r="Y1768" s="29">
        <f>IF(OR(U1768="",V1768="",V1768="Excluded"),"",IF(COUNTIFS($U$5:$U$3004,U1768,$V$5:$V$3004,"&lt;&gt;"&amp;V1768,$V$5:$V$3004,"&lt;&gt;",$V$5:$V$3004,"&lt;&gt;Excluded")&gt;0,"LEAK RISK","OK"))</f>
        <v/>
      </c>
      <c r="Z1768" s="30" t="n"/>
    </row>
    <row r="1769">
      <c r="A1769" s="30" t="n"/>
      <c r="B1769" s="30" t="n"/>
      <c r="C1769" s="30" t="n"/>
      <c r="D1769" s="30" t="n"/>
      <c r="E1769" s="30" t="n"/>
      <c r="F1769" s="30" t="n"/>
      <c r="G1769" s="30" t="n"/>
      <c r="H1769" s="30" t="n"/>
      <c r="I1769" s="31" t="n"/>
      <c r="J1769" s="30" t="n"/>
      <c r="K1769" s="30" t="n"/>
      <c r="L1769" s="30" t="n"/>
      <c r="M1769" s="30" t="n"/>
      <c r="N1769" s="32" t="n"/>
      <c r="O1769" s="30" t="n"/>
      <c r="P1769" s="32" t="n"/>
      <c r="Q1769" s="30" t="n"/>
      <c r="R1769" s="32" t="n"/>
      <c r="S1769" s="30" t="n"/>
      <c r="T1769" s="30" t="n"/>
      <c r="U1769" s="30" t="n"/>
      <c r="V1769" s="30" t="n"/>
      <c r="W1769" s="29">
        <f>IF(H1769="","",IF(H1769="Kenya","Yes","No"))</f>
        <v/>
      </c>
      <c r="X1769" s="29">
        <f>IF(B1769="","",IF(COUNTIF($B$5:$B$3004,B1769)&gt;1,"DUPLICATE","OK"))</f>
        <v/>
      </c>
      <c r="Y1769" s="29">
        <f>IF(OR(U1769="",V1769="",V1769="Excluded"),"",IF(COUNTIFS($U$5:$U$3004,U1769,$V$5:$V$3004,"&lt;&gt;"&amp;V1769,$V$5:$V$3004,"&lt;&gt;",$V$5:$V$3004,"&lt;&gt;Excluded")&gt;0,"LEAK RISK","OK"))</f>
        <v/>
      </c>
      <c r="Z1769" s="30" t="n"/>
    </row>
    <row r="1770">
      <c r="A1770" s="30" t="n"/>
      <c r="B1770" s="30" t="n"/>
      <c r="C1770" s="30" t="n"/>
      <c r="D1770" s="30" t="n"/>
      <c r="E1770" s="30" t="n"/>
      <c r="F1770" s="30" t="n"/>
      <c r="G1770" s="30" t="n"/>
      <c r="H1770" s="30" t="n"/>
      <c r="I1770" s="31" t="n"/>
      <c r="J1770" s="30" t="n"/>
      <c r="K1770" s="30" t="n"/>
      <c r="L1770" s="30" t="n"/>
      <c r="M1770" s="30" t="n"/>
      <c r="N1770" s="32" t="n"/>
      <c r="O1770" s="30" t="n"/>
      <c r="P1770" s="32" t="n"/>
      <c r="Q1770" s="30" t="n"/>
      <c r="R1770" s="32" t="n"/>
      <c r="S1770" s="30" t="n"/>
      <c r="T1770" s="30" t="n"/>
      <c r="U1770" s="30" t="n"/>
      <c r="V1770" s="30" t="n"/>
      <c r="W1770" s="29">
        <f>IF(H1770="","",IF(H1770="Kenya","Yes","No"))</f>
        <v/>
      </c>
      <c r="X1770" s="29">
        <f>IF(B1770="","",IF(COUNTIF($B$5:$B$3004,B1770)&gt;1,"DUPLICATE","OK"))</f>
        <v/>
      </c>
      <c r="Y1770" s="29">
        <f>IF(OR(U1770="",V1770="",V1770="Excluded"),"",IF(COUNTIFS($U$5:$U$3004,U1770,$V$5:$V$3004,"&lt;&gt;"&amp;V1770,$V$5:$V$3004,"&lt;&gt;",$V$5:$V$3004,"&lt;&gt;Excluded")&gt;0,"LEAK RISK","OK"))</f>
        <v/>
      </c>
      <c r="Z1770" s="30" t="n"/>
    </row>
    <row r="1771">
      <c r="A1771" s="30" t="n"/>
      <c r="B1771" s="30" t="n"/>
      <c r="C1771" s="30" t="n"/>
      <c r="D1771" s="30" t="n"/>
      <c r="E1771" s="30" t="n"/>
      <c r="F1771" s="30" t="n"/>
      <c r="G1771" s="30" t="n"/>
      <c r="H1771" s="30" t="n"/>
      <c r="I1771" s="31" t="n"/>
      <c r="J1771" s="30" t="n"/>
      <c r="K1771" s="30" t="n"/>
      <c r="L1771" s="30" t="n"/>
      <c r="M1771" s="30" t="n"/>
      <c r="N1771" s="32" t="n"/>
      <c r="O1771" s="30" t="n"/>
      <c r="P1771" s="32" t="n"/>
      <c r="Q1771" s="30" t="n"/>
      <c r="R1771" s="32" t="n"/>
      <c r="S1771" s="30" t="n"/>
      <c r="T1771" s="30" t="n"/>
      <c r="U1771" s="30" t="n"/>
      <c r="V1771" s="30" t="n"/>
      <c r="W1771" s="29">
        <f>IF(H1771="","",IF(H1771="Kenya","Yes","No"))</f>
        <v/>
      </c>
      <c r="X1771" s="29">
        <f>IF(B1771="","",IF(COUNTIF($B$5:$B$3004,B1771)&gt;1,"DUPLICATE","OK"))</f>
        <v/>
      </c>
      <c r="Y1771" s="29">
        <f>IF(OR(U1771="",V1771="",V1771="Excluded"),"",IF(COUNTIFS($U$5:$U$3004,U1771,$V$5:$V$3004,"&lt;&gt;"&amp;V1771,$V$5:$V$3004,"&lt;&gt;",$V$5:$V$3004,"&lt;&gt;Excluded")&gt;0,"LEAK RISK","OK"))</f>
        <v/>
      </c>
      <c r="Z1771" s="30" t="n"/>
    </row>
    <row r="1772">
      <c r="A1772" s="30" t="n"/>
      <c r="B1772" s="30" t="n"/>
      <c r="C1772" s="30" t="n"/>
      <c r="D1772" s="30" t="n"/>
      <c r="E1772" s="30" t="n"/>
      <c r="F1772" s="30" t="n"/>
      <c r="G1772" s="30" t="n"/>
      <c r="H1772" s="30" t="n"/>
      <c r="I1772" s="31" t="n"/>
      <c r="J1772" s="30" t="n"/>
      <c r="K1772" s="30" t="n"/>
      <c r="L1772" s="30" t="n"/>
      <c r="M1772" s="30" t="n"/>
      <c r="N1772" s="32" t="n"/>
      <c r="O1772" s="30" t="n"/>
      <c r="P1772" s="32" t="n"/>
      <c r="Q1772" s="30" t="n"/>
      <c r="R1772" s="32" t="n"/>
      <c r="S1772" s="30" t="n"/>
      <c r="T1772" s="30" t="n"/>
      <c r="U1772" s="30" t="n"/>
      <c r="V1772" s="30" t="n"/>
      <c r="W1772" s="29">
        <f>IF(H1772="","",IF(H1772="Kenya","Yes","No"))</f>
        <v/>
      </c>
      <c r="X1772" s="29">
        <f>IF(B1772="","",IF(COUNTIF($B$5:$B$3004,B1772)&gt;1,"DUPLICATE","OK"))</f>
        <v/>
      </c>
      <c r="Y1772" s="29">
        <f>IF(OR(U1772="",V1772="",V1772="Excluded"),"",IF(COUNTIFS($U$5:$U$3004,U1772,$V$5:$V$3004,"&lt;&gt;"&amp;V1772,$V$5:$V$3004,"&lt;&gt;",$V$5:$V$3004,"&lt;&gt;Excluded")&gt;0,"LEAK RISK","OK"))</f>
        <v/>
      </c>
      <c r="Z1772" s="30" t="n"/>
    </row>
    <row r="1773">
      <c r="A1773" s="30" t="n"/>
      <c r="B1773" s="30" t="n"/>
      <c r="C1773" s="30" t="n"/>
      <c r="D1773" s="30" t="n"/>
      <c r="E1773" s="30" t="n"/>
      <c r="F1773" s="30" t="n"/>
      <c r="G1773" s="30" t="n"/>
      <c r="H1773" s="30" t="n"/>
      <c r="I1773" s="31" t="n"/>
      <c r="J1773" s="30" t="n"/>
      <c r="K1773" s="30" t="n"/>
      <c r="L1773" s="30" t="n"/>
      <c r="M1773" s="30" t="n"/>
      <c r="N1773" s="32" t="n"/>
      <c r="O1773" s="30" t="n"/>
      <c r="P1773" s="32" t="n"/>
      <c r="Q1773" s="30" t="n"/>
      <c r="R1773" s="32" t="n"/>
      <c r="S1773" s="30" t="n"/>
      <c r="T1773" s="30" t="n"/>
      <c r="U1773" s="30" t="n"/>
      <c r="V1773" s="30" t="n"/>
      <c r="W1773" s="29">
        <f>IF(H1773="","",IF(H1773="Kenya","Yes","No"))</f>
        <v/>
      </c>
      <c r="X1773" s="29">
        <f>IF(B1773="","",IF(COUNTIF($B$5:$B$3004,B1773)&gt;1,"DUPLICATE","OK"))</f>
        <v/>
      </c>
      <c r="Y1773" s="29">
        <f>IF(OR(U1773="",V1773="",V1773="Excluded"),"",IF(COUNTIFS($U$5:$U$3004,U1773,$V$5:$V$3004,"&lt;&gt;"&amp;V1773,$V$5:$V$3004,"&lt;&gt;",$V$5:$V$3004,"&lt;&gt;Excluded")&gt;0,"LEAK RISK","OK"))</f>
        <v/>
      </c>
      <c r="Z1773" s="30" t="n"/>
    </row>
    <row r="1774">
      <c r="A1774" s="30" t="n"/>
      <c r="B1774" s="30" t="n"/>
      <c r="C1774" s="30" t="n"/>
      <c r="D1774" s="30" t="n"/>
      <c r="E1774" s="30" t="n"/>
      <c r="F1774" s="30" t="n"/>
      <c r="G1774" s="30" t="n"/>
      <c r="H1774" s="30" t="n"/>
      <c r="I1774" s="31" t="n"/>
      <c r="J1774" s="30" t="n"/>
      <c r="K1774" s="30" t="n"/>
      <c r="L1774" s="30" t="n"/>
      <c r="M1774" s="30" t="n"/>
      <c r="N1774" s="32" t="n"/>
      <c r="O1774" s="30" t="n"/>
      <c r="P1774" s="32" t="n"/>
      <c r="Q1774" s="30" t="n"/>
      <c r="R1774" s="32" t="n"/>
      <c r="S1774" s="30" t="n"/>
      <c r="T1774" s="30" t="n"/>
      <c r="U1774" s="30" t="n"/>
      <c r="V1774" s="30" t="n"/>
      <c r="W1774" s="29">
        <f>IF(H1774="","",IF(H1774="Kenya","Yes","No"))</f>
        <v/>
      </c>
      <c r="X1774" s="29">
        <f>IF(B1774="","",IF(COUNTIF($B$5:$B$3004,B1774)&gt;1,"DUPLICATE","OK"))</f>
        <v/>
      </c>
      <c r="Y1774" s="29">
        <f>IF(OR(U1774="",V1774="",V1774="Excluded"),"",IF(COUNTIFS($U$5:$U$3004,U1774,$V$5:$V$3004,"&lt;&gt;"&amp;V1774,$V$5:$V$3004,"&lt;&gt;",$V$5:$V$3004,"&lt;&gt;Excluded")&gt;0,"LEAK RISK","OK"))</f>
        <v/>
      </c>
      <c r="Z1774" s="30" t="n"/>
    </row>
    <row r="1775">
      <c r="A1775" s="30" t="n"/>
      <c r="B1775" s="30" t="n"/>
      <c r="C1775" s="30" t="n"/>
      <c r="D1775" s="30" t="n"/>
      <c r="E1775" s="30" t="n"/>
      <c r="F1775" s="30" t="n"/>
      <c r="G1775" s="30" t="n"/>
      <c r="H1775" s="30" t="n"/>
      <c r="I1775" s="31" t="n"/>
      <c r="J1775" s="30" t="n"/>
      <c r="K1775" s="30" t="n"/>
      <c r="L1775" s="30" t="n"/>
      <c r="M1775" s="30" t="n"/>
      <c r="N1775" s="32" t="n"/>
      <c r="O1775" s="30" t="n"/>
      <c r="P1775" s="32" t="n"/>
      <c r="Q1775" s="30" t="n"/>
      <c r="R1775" s="32" t="n"/>
      <c r="S1775" s="30" t="n"/>
      <c r="T1775" s="30" t="n"/>
      <c r="U1775" s="30" t="n"/>
      <c r="V1775" s="30" t="n"/>
      <c r="W1775" s="29">
        <f>IF(H1775="","",IF(H1775="Kenya","Yes","No"))</f>
        <v/>
      </c>
      <c r="X1775" s="29">
        <f>IF(B1775="","",IF(COUNTIF($B$5:$B$3004,B1775)&gt;1,"DUPLICATE","OK"))</f>
        <v/>
      </c>
      <c r="Y1775" s="29">
        <f>IF(OR(U1775="",V1775="",V1775="Excluded"),"",IF(COUNTIFS($U$5:$U$3004,U1775,$V$5:$V$3004,"&lt;&gt;"&amp;V1775,$V$5:$V$3004,"&lt;&gt;",$V$5:$V$3004,"&lt;&gt;Excluded")&gt;0,"LEAK RISK","OK"))</f>
        <v/>
      </c>
      <c r="Z1775" s="30" t="n"/>
    </row>
    <row r="1776">
      <c r="A1776" s="30" t="n"/>
      <c r="B1776" s="30" t="n"/>
      <c r="C1776" s="30" t="n"/>
      <c r="D1776" s="30" t="n"/>
      <c r="E1776" s="30" t="n"/>
      <c r="F1776" s="30" t="n"/>
      <c r="G1776" s="30" t="n"/>
      <c r="H1776" s="30" t="n"/>
      <c r="I1776" s="31" t="n"/>
      <c r="J1776" s="30" t="n"/>
      <c r="K1776" s="30" t="n"/>
      <c r="L1776" s="30" t="n"/>
      <c r="M1776" s="30" t="n"/>
      <c r="N1776" s="32" t="n"/>
      <c r="O1776" s="30" t="n"/>
      <c r="P1776" s="32" t="n"/>
      <c r="Q1776" s="30" t="n"/>
      <c r="R1776" s="32" t="n"/>
      <c r="S1776" s="30" t="n"/>
      <c r="T1776" s="30" t="n"/>
      <c r="U1776" s="30" t="n"/>
      <c r="V1776" s="30" t="n"/>
      <c r="W1776" s="29">
        <f>IF(H1776="","",IF(H1776="Kenya","Yes","No"))</f>
        <v/>
      </c>
      <c r="X1776" s="29">
        <f>IF(B1776="","",IF(COUNTIF($B$5:$B$3004,B1776)&gt;1,"DUPLICATE","OK"))</f>
        <v/>
      </c>
      <c r="Y1776" s="29">
        <f>IF(OR(U1776="",V1776="",V1776="Excluded"),"",IF(COUNTIFS($U$5:$U$3004,U1776,$V$5:$V$3004,"&lt;&gt;"&amp;V1776,$V$5:$V$3004,"&lt;&gt;",$V$5:$V$3004,"&lt;&gt;Excluded")&gt;0,"LEAK RISK","OK"))</f>
        <v/>
      </c>
      <c r="Z1776" s="30" t="n"/>
    </row>
    <row r="1777">
      <c r="A1777" s="30" t="n"/>
      <c r="B1777" s="30" t="n"/>
      <c r="C1777" s="30" t="n"/>
      <c r="D1777" s="30" t="n"/>
      <c r="E1777" s="30" t="n"/>
      <c r="F1777" s="30" t="n"/>
      <c r="G1777" s="30" t="n"/>
      <c r="H1777" s="30" t="n"/>
      <c r="I1777" s="31" t="n"/>
      <c r="J1777" s="30" t="n"/>
      <c r="K1777" s="30" t="n"/>
      <c r="L1777" s="30" t="n"/>
      <c r="M1777" s="30" t="n"/>
      <c r="N1777" s="32" t="n"/>
      <c r="O1777" s="30" t="n"/>
      <c r="P1777" s="32" t="n"/>
      <c r="Q1777" s="30" t="n"/>
      <c r="R1777" s="32" t="n"/>
      <c r="S1777" s="30" t="n"/>
      <c r="T1777" s="30" t="n"/>
      <c r="U1777" s="30" t="n"/>
      <c r="V1777" s="30" t="n"/>
      <c r="W1777" s="29">
        <f>IF(H1777="","",IF(H1777="Kenya","Yes","No"))</f>
        <v/>
      </c>
      <c r="X1777" s="29">
        <f>IF(B1777="","",IF(COUNTIF($B$5:$B$3004,B1777)&gt;1,"DUPLICATE","OK"))</f>
        <v/>
      </c>
      <c r="Y1777" s="29">
        <f>IF(OR(U1777="",V1777="",V1777="Excluded"),"",IF(COUNTIFS($U$5:$U$3004,U1777,$V$5:$V$3004,"&lt;&gt;"&amp;V1777,$V$5:$V$3004,"&lt;&gt;",$V$5:$V$3004,"&lt;&gt;Excluded")&gt;0,"LEAK RISK","OK"))</f>
        <v/>
      </c>
      <c r="Z1777" s="30" t="n"/>
    </row>
    <row r="1778">
      <c r="A1778" s="30" t="n"/>
      <c r="B1778" s="30" t="n"/>
      <c r="C1778" s="30" t="n"/>
      <c r="D1778" s="30" t="n"/>
      <c r="E1778" s="30" t="n"/>
      <c r="F1778" s="30" t="n"/>
      <c r="G1778" s="30" t="n"/>
      <c r="H1778" s="30" t="n"/>
      <c r="I1778" s="31" t="n"/>
      <c r="J1778" s="30" t="n"/>
      <c r="K1778" s="30" t="n"/>
      <c r="L1778" s="30" t="n"/>
      <c r="M1778" s="30" t="n"/>
      <c r="N1778" s="32" t="n"/>
      <c r="O1778" s="30" t="n"/>
      <c r="P1778" s="32" t="n"/>
      <c r="Q1778" s="30" t="n"/>
      <c r="R1778" s="32" t="n"/>
      <c r="S1778" s="30" t="n"/>
      <c r="T1778" s="30" t="n"/>
      <c r="U1778" s="30" t="n"/>
      <c r="V1778" s="30" t="n"/>
      <c r="W1778" s="29">
        <f>IF(H1778="","",IF(H1778="Kenya","Yes","No"))</f>
        <v/>
      </c>
      <c r="X1778" s="29">
        <f>IF(B1778="","",IF(COUNTIF($B$5:$B$3004,B1778)&gt;1,"DUPLICATE","OK"))</f>
        <v/>
      </c>
      <c r="Y1778" s="29">
        <f>IF(OR(U1778="",V1778="",V1778="Excluded"),"",IF(COUNTIFS($U$5:$U$3004,U1778,$V$5:$V$3004,"&lt;&gt;"&amp;V1778,$V$5:$V$3004,"&lt;&gt;",$V$5:$V$3004,"&lt;&gt;Excluded")&gt;0,"LEAK RISK","OK"))</f>
        <v/>
      </c>
      <c r="Z1778" s="30" t="n"/>
    </row>
    <row r="1779">
      <c r="A1779" s="30" t="n"/>
      <c r="B1779" s="30" t="n"/>
      <c r="C1779" s="30" t="n"/>
      <c r="D1779" s="30" t="n"/>
      <c r="E1779" s="30" t="n"/>
      <c r="F1779" s="30" t="n"/>
      <c r="G1779" s="30" t="n"/>
      <c r="H1779" s="30" t="n"/>
      <c r="I1779" s="31" t="n"/>
      <c r="J1779" s="30" t="n"/>
      <c r="K1779" s="30" t="n"/>
      <c r="L1779" s="30" t="n"/>
      <c r="M1779" s="30" t="n"/>
      <c r="N1779" s="32" t="n"/>
      <c r="O1779" s="30" t="n"/>
      <c r="P1779" s="32" t="n"/>
      <c r="Q1779" s="30" t="n"/>
      <c r="R1779" s="32" t="n"/>
      <c r="S1779" s="30" t="n"/>
      <c r="T1779" s="30" t="n"/>
      <c r="U1779" s="30" t="n"/>
      <c r="V1779" s="30" t="n"/>
      <c r="W1779" s="29">
        <f>IF(H1779="","",IF(H1779="Kenya","Yes","No"))</f>
        <v/>
      </c>
      <c r="X1779" s="29">
        <f>IF(B1779="","",IF(COUNTIF($B$5:$B$3004,B1779)&gt;1,"DUPLICATE","OK"))</f>
        <v/>
      </c>
      <c r="Y1779" s="29">
        <f>IF(OR(U1779="",V1779="",V1779="Excluded"),"",IF(COUNTIFS($U$5:$U$3004,U1779,$V$5:$V$3004,"&lt;&gt;"&amp;V1779,$V$5:$V$3004,"&lt;&gt;",$V$5:$V$3004,"&lt;&gt;Excluded")&gt;0,"LEAK RISK","OK"))</f>
        <v/>
      </c>
      <c r="Z1779" s="30" t="n"/>
    </row>
    <row r="1780">
      <c r="A1780" s="30" t="n"/>
      <c r="B1780" s="30" t="n"/>
      <c r="C1780" s="30" t="n"/>
      <c r="D1780" s="30" t="n"/>
      <c r="E1780" s="30" t="n"/>
      <c r="F1780" s="30" t="n"/>
      <c r="G1780" s="30" t="n"/>
      <c r="H1780" s="30" t="n"/>
      <c r="I1780" s="31" t="n"/>
      <c r="J1780" s="30" t="n"/>
      <c r="K1780" s="30" t="n"/>
      <c r="L1780" s="30" t="n"/>
      <c r="M1780" s="30" t="n"/>
      <c r="N1780" s="32" t="n"/>
      <c r="O1780" s="30" t="n"/>
      <c r="P1780" s="32" t="n"/>
      <c r="Q1780" s="30" t="n"/>
      <c r="R1780" s="32" t="n"/>
      <c r="S1780" s="30" t="n"/>
      <c r="T1780" s="30" t="n"/>
      <c r="U1780" s="30" t="n"/>
      <c r="V1780" s="30" t="n"/>
      <c r="W1780" s="29">
        <f>IF(H1780="","",IF(H1780="Kenya","Yes","No"))</f>
        <v/>
      </c>
      <c r="X1780" s="29">
        <f>IF(B1780="","",IF(COUNTIF($B$5:$B$3004,B1780)&gt;1,"DUPLICATE","OK"))</f>
        <v/>
      </c>
      <c r="Y1780" s="29">
        <f>IF(OR(U1780="",V1780="",V1780="Excluded"),"",IF(COUNTIFS($U$5:$U$3004,U1780,$V$5:$V$3004,"&lt;&gt;"&amp;V1780,$V$5:$V$3004,"&lt;&gt;",$V$5:$V$3004,"&lt;&gt;Excluded")&gt;0,"LEAK RISK","OK"))</f>
        <v/>
      </c>
      <c r="Z1780" s="30" t="n"/>
    </row>
    <row r="1781">
      <c r="A1781" s="30" t="n"/>
      <c r="B1781" s="30" t="n"/>
      <c r="C1781" s="30" t="n"/>
      <c r="D1781" s="30" t="n"/>
      <c r="E1781" s="30" t="n"/>
      <c r="F1781" s="30" t="n"/>
      <c r="G1781" s="30" t="n"/>
      <c r="H1781" s="30" t="n"/>
      <c r="I1781" s="31" t="n"/>
      <c r="J1781" s="30" t="n"/>
      <c r="K1781" s="30" t="n"/>
      <c r="L1781" s="30" t="n"/>
      <c r="M1781" s="30" t="n"/>
      <c r="N1781" s="32" t="n"/>
      <c r="O1781" s="30" t="n"/>
      <c r="P1781" s="32" t="n"/>
      <c r="Q1781" s="30" t="n"/>
      <c r="R1781" s="32" t="n"/>
      <c r="S1781" s="30" t="n"/>
      <c r="T1781" s="30" t="n"/>
      <c r="U1781" s="30" t="n"/>
      <c r="V1781" s="30" t="n"/>
      <c r="W1781" s="29">
        <f>IF(H1781="","",IF(H1781="Kenya","Yes","No"))</f>
        <v/>
      </c>
      <c r="X1781" s="29">
        <f>IF(B1781="","",IF(COUNTIF($B$5:$B$3004,B1781)&gt;1,"DUPLICATE","OK"))</f>
        <v/>
      </c>
      <c r="Y1781" s="29">
        <f>IF(OR(U1781="",V1781="",V1781="Excluded"),"",IF(COUNTIFS($U$5:$U$3004,U1781,$V$5:$V$3004,"&lt;&gt;"&amp;V1781,$V$5:$V$3004,"&lt;&gt;",$V$5:$V$3004,"&lt;&gt;Excluded")&gt;0,"LEAK RISK","OK"))</f>
        <v/>
      </c>
      <c r="Z1781" s="30" t="n"/>
    </row>
    <row r="1782">
      <c r="A1782" s="30" t="n"/>
      <c r="B1782" s="30" t="n"/>
      <c r="C1782" s="30" t="n"/>
      <c r="D1782" s="30" t="n"/>
      <c r="E1782" s="30" t="n"/>
      <c r="F1782" s="30" t="n"/>
      <c r="G1782" s="30" t="n"/>
      <c r="H1782" s="30" t="n"/>
      <c r="I1782" s="31" t="n"/>
      <c r="J1782" s="30" t="n"/>
      <c r="K1782" s="30" t="n"/>
      <c r="L1782" s="30" t="n"/>
      <c r="M1782" s="30" t="n"/>
      <c r="N1782" s="32" t="n"/>
      <c r="O1782" s="30" t="n"/>
      <c r="P1782" s="32" t="n"/>
      <c r="Q1782" s="30" t="n"/>
      <c r="R1782" s="32" t="n"/>
      <c r="S1782" s="30" t="n"/>
      <c r="T1782" s="30" t="n"/>
      <c r="U1782" s="30" t="n"/>
      <c r="V1782" s="30" t="n"/>
      <c r="W1782" s="29">
        <f>IF(H1782="","",IF(H1782="Kenya","Yes","No"))</f>
        <v/>
      </c>
      <c r="X1782" s="29">
        <f>IF(B1782="","",IF(COUNTIF($B$5:$B$3004,B1782)&gt;1,"DUPLICATE","OK"))</f>
        <v/>
      </c>
      <c r="Y1782" s="29">
        <f>IF(OR(U1782="",V1782="",V1782="Excluded"),"",IF(COUNTIFS($U$5:$U$3004,U1782,$V$5:$V$3004,"&lt;&gt;"&amp;V1782,$V$5:$V$3004,"&lt;&gt;",$V$5:$V$3004,"&lt;&gt;Excluded")&gt;0,"LEAK RISK","OK"))</f>
        <v/>
      </c>
      <c r="Z1782" s="30" t="n"/>
    </row>
    <row r="1783">
      <c r="A1783" s="30" t="n"/>
      <c r="B1783" s="30" t="n"/>
      <c r="C1783" s="30" t="n"/>
      <c r="D1783" s="30" t="n"/>
      <c r="E1783" s="30" t="n"/>
      <c r="F1783" s="30" t="n"/>
      <c r="G1783" s="30" t="n"/>
      <c r="H1783" s="30" t="n"/>
      <c r="I1783" s="31" t="n"/>
      <c r="J1783" s="30" t="n"/>
      <c r="K1783" s="30" t="n"/>
      <c r="L1783" s="30" t="n"/>
      <c r="M1783" s="30" t="n"/>
      <c r="N1783" s="32" t="n"/>
      <c r="O1783" s="30" t="n"/>
      <c r="P1783" s="32" t="n"/>
      <c r="Q1783" s="30" t="n"/>
      <c r="R1783" s="32" t="n"/>
      <c r="S1783" s="30" t="n"/>
      <c r="T1783" s="30" t="n"/>
      <c r="U1783" s="30" t="n"/>
      <c r="V1783" s="30" t="n"/>
      <c r="W1783" s="29">
        <f>IF(H1783="","",IF(H1783="Kenya","Yes","No"))</f>
        <v/>
      </c>
      <c r="X1783" s="29">
        <f>IF(B1783="","",IF(COUNTIF($B$5:$B$3004,B1783)&gt;1,"DUPLICATE","OK"))</f>
        <v/>
      </c>
      <c r="Y1783" s="29">
        <f>IF(OR(U1783="",V1783="",V1783="Excluded"),"",IF(COUNTIFS($U$5:$U$3004,U1783,$V$5:$V$3004,"&lt;&gt;"&amp;V1783,$V$5:$V$3004,"&lt;&gt;",$V$5:$V$3004,"&lt;&gt;Excluded")&gt;0,"LEAK RISK","OK"))</f>
        <v/>
      </c>
      <c r="Z1783" s="30" t="n"/>
    </row>
    <row r="1784">
      <c r="A1784" s="30" t="n"/>
      <c r="B1784" s="30" t="n"/>
      <c r="C1784" s="30" t="n"/>
      <c r="D1784" s="30" t="n"/>
      <c r="E1784" s="30" t="n"/>
      <c r="F1784" s="30" t="n"/>
      <c r="G1784" s="30" t="n"/>
      <c r="H1784" s="30" t="n"/>
      <c r="I1784" s="31" t="n"/>
      <c r="J1784" s="30" t="n"/>
      <c r="K1784" s="30" t="n"/>
      <c r="L1784" s="30" t="n"/>
      <c r="M1784" s="30" t="n"/>
      <c r="N1784" s="32" t="n"/>
      <c r="O1784" s="30" t="n"/>
      <c r="P1784" s="32" t="n"/>
      <c r="Q1784" s="30" t="n"/>
      <c r="R1784" s="32" t="n"/>
      <c r="S1784" s="30" t="n"/>
      <c r="T1784" s="30" t="n"/>
      <c r="U1784" s="30" t="n"/>
      <c r="V1784" s="30" t="n"/>
      <c r="W1784" s="29">
        <f>IF(H1784="","",IF(H1784="Kenya","Yes","No"))</f>
        <v/>
      </c>
      <c r="X1784" s="29">
        <f>IF(B1784="","",IF(COUNTIF($B$5:$B$3004,B1784)&gt;1,"DUPLICATE","OK"))</f>
        <v/>
      </c>
      <c r="Y1784" s="29">
        <f>IF(OR(U1784="",V1784="",V1784="Excluded"),"",IF(COUNTIFS($U$5:$U$3004,U1784,$V$5:$V$3004,"&lt;&gt;"&amp;V1784,$V$5:$V$3004,"&lt;&gt;",$V$5:$V$3004,"&lt;&gt;Excluded")&gt;0,"LEAK RISK","OK"))</f>
        <v/>
      </c>
      <c r="Z1784" s="30" t="n"/>
    </row>
    <row r="1785">
      <c r="A1785" s="30" t="n"/>
      <c r="B1785" s="30" t="n"/>
      <c r="C1785" s="30" t="n"/>
      <c r="D1785" s="30" t="n"/>
      <c r="E1785" s="30" t="n"/>
      <c r="F1785" s="30" t="n"/>
      <c r="G1785" s="30" t="n"/>
      <c r="H1785" s="30" t="n"/>
      <c r="I1785" s="31" t="n"/>
      <c r="J1785" s="30" t="n"/>
      <c r="K1785" s="30" t="n"/>
      <c r="L1785" s="30" t="n"/>
      <c r="M1785" s="30" t="n"/>
      <c r="N1785" s="32" t="n"/>
      <c r="O1785" s="30" t="n"/>
      <c r="P1785" s="32" t="n"/>
      <c r="Q1785" s="30" t="n"/>
      <c r="R1785" s="32" t="n"/>
      <c r="S1785" s="30" t="n"/>
      <c r="T1785" s="30" t="n"/>
      <c r="U1785" s="30" t="n"/>
      <c r="V1785" s="30" t="n"/>
      <c r="W1785" s="29">
        <f>IF(H1785="","",IF(H1785="Kenya","Yes","No"))</f>
        <v/>
      </c>
      <c r="X1785" s="29">
        <f>IF(B1785="","",IF(COUNTIF($B$5:$B$3004,B1785)&gt;1,"DUPLICATE","OK"))</f>
        <v/>
      </c>
      <c r="Y1785" s="29">
        <f>IF(OR(U1785="",V1785="",V1785="Excluded"),"",IF(COUNTIFS($U$5:$U$3004,U1785,$V$5:$V$3004,"&lt;&gt;"&amp;V1785,$V$5:$V$3004,"&lt;&gt;",$V$5:$V$3004,"&lt;&gt;Excluded")&gt;0,"LEAK RISK","OK"))</f>
        <v/>
      </c>
      <c r="Z1785" s="30" t="n"/>
    </row>
    <row r="1786">
      <c r="A1786" s="30" t="n"/>
      <c r="B1786" s="30" t="n"/>
      <c r="C1786" s="30" t="n"/>
      <c r="D1786" s="30" t="n"/>
      <c r="E1786" s="30" t="n"/>
      <c r="F1786" s="30" t="n"/>
      <c r="G1786" s="30" t="n"/>
      <c r="H1786" s="30" t="n"/>
      <c r="I1786" s="31" t="n"/>
      <c r="J1786" s="30" t="n"/>
      <c r="K1786" s="30" t="n"/>
      <c r="L1786" s="30" t="n"/>
      <c r="M1786" s="30" t="n"/>
      <c r="N1786" s="32" t="n"/>
      <c r="O1786" s="30" t="n"/>
      <c r="P1786" s="32" t="n"/>
      <c r="Q1786" s="30" t="n"/>
      <c r="R1786" s="32" t="n"/>
      <c r="S1786" s="30" t="n"/>
      <c r="T1786" s="30" t="n"/>
      <c r="U1786" s="30" t="n"/>
      <c r="V1786" s="30" t="n"/>
      <c r="W1786" s="29">
        <f>IF(H1786="","",IF(H1786="Kenya","Yes","No"))</f>
        <v/>
      </c>
      <c r="X1786" s="29">
        <f>IF(B1786="","",IF(COUNTIF($B$5:$B$3004,B1786)&gt;1,"DUPLICATE","OK"))</f>
        <v/>
      </c>
      <c r="Y1786" s="29">
        <f>IF(OR(U1786="",V1786="",V1786="Excluded"),"",IF(COUNTIFS($U$5:$U$3004,U1786,$V$5:$V$3004,"&lt;&gt;"&amp;V1786,$V$5:$V$3004,"&lt;&gt;",$V$5:$V$3004,"&lt;&gt;Excluded")&gt;0,"LEAK RISK","OK"))</f>
        <v/>
      </c>
      <c r="Z1786" s="30" t="n"/>
    </row>
    <row r="1787">
      <c r="A1787" s="30" t="n"/>
      <c r="B1787" s="30" t="n"/>
      <c r="C1787" s="30" t="n"/>
      <c r="D1787" s="30" t="n"/>
      <c r="E1787" s="30" t="n"/>
      <c r="F1787" s="30" t="n"/>
      <c r="G1787" s="30" t="n"/>
      <c r="H1787" s="30" t="n"/>
      <c r="I1787" s="31" t="n"/>
      <c r="J1787" s="30" t="n"/>
      <c r="K1787" s="30" t="n"/>
      <c r="L1787" s="30" t="n"/>
      <c r="M1787" s="30" t="n"/>
      <c r="N1787" s="32" t="n"/>
      <c r="O1787" s="30" t="n"/>
      <c r="P1787" s="32" t="n"/>
      <c r="Q1787" s="30" t="n"/>
      <c r="R1787" s="32" t="n"/>
      <c r="S1787" s="30" t="n"/>
      <c r="T1787" s="30" t="n"/>
      <c r="U1787" s="30" t="n"/>
      <c r="V1787" s="30" t="n"/>
      <c r="W1787" s="29">
        <f>IF(H1787="","",IF(H1787="Kenya","Yes","No"))</f>
        <v/>
      </c>
      <c r="X1787" s="29">
        <f>IF(B1787="","",IF(COUNTIF($B$5:$B$3004,B1787)&gt;1,"DUPLICATE","OK"))</f>
        <v/>
      </c>
      <c r="Y1787" s="29">
        <f>IF(OR(U1787="",V1787="",V1787="Excluded"),"",IF(COUNTIFS($U$5:$U$3004,U1787,$V$5:$V$3004,"&lt;&gt;"&amp;V1787,$V$5:$V$3004,"&lt;&gt;",$V$5:$V$3004,"&lt;&gt;Excluded")&gt;0,"LEAK RISK","OK"))</f>
        <v/>
      </c>
      <c r="Z1787" s="30" t="n"/>
    </row>
    <row r="1788">
      <c r="A1788" s="30" t="n"/>
      <c r="B1788" s="30" t="n"/>
      <c r="C1788" s="30" t="n"/>
      <c r="D1788" s="30" t="n"/>
      <c r="E1788" s="30" t="n"/>
      <c r="F1788" s="30" t="n"/>
      <c r="G1788" s="30" t="n"/>
      <c r="H1788" s="30" t="n"/>
      <c r="I1788" s="31" t="n"/>
      <c r="J1788" s="30" t="n"/>
      <c r="K1788" s="30" t="n"/>
      <c r="L1788" s="30" t="n"/>
      <c r="M1788" s="30" t="n"/>
      <c r="N1788" s="32" t="n"/>
      <c r="O1788" s="30" t="n"/>
      <c r="P1788" s="32" t="n"/>
      <c r="Q1788" s="30" t="n"/>
      <c r="R1788" s="32" t="n"/>
      <c r="S1788" s="30" t="n"/>
      <c r="T1788" s="30" t="n"/>
      <c r="U1788" s="30" t="n"/>
      <c r="V1788" s="30" t="n"/>
      <c r="W1788" s="29">
        <f>IF(H1788="","",IF(H1788="Kenya","Yes","No"))</f>
        <v/>
      </c>
      <c r="X1788" s="29">
        <f>IF(B1788="","",IF(COUNTIF($B$5:$B$3004,B1788)&gt;1,"DUPLICATE","OK"))</f>
        <v/>
      </c>
      <c r="Y1788" s="29">
        <f>IF(OR(U1788="",V1788="",V1788="Excluded"),"",IF(COUNTIFS($U$5:$U$3004,U1788,$V$5:$V$3004,"&lt;&gt;"&amp;V1788,$V$5:$V$3004,"&lt;&gt;",$V$5:$V$3004,"&lt;&gt;Excluded")&gt;0,"LEAK RISK","OK"))</f>
        <v/>
      </c>
      <c r="Z1788" s="30" t="n"/>
    </row>
    <row r="1789">
      <c r="A1789" s="30" t="n"/>
      <c r="B1789" s="30" t="n"/>
      <c r="C1789" s="30" t="n"/>
      <c r="D1789" s="30" t="n"/>
      <c r="E1789" s="30" t="n"/>
      <c r="F1789" s="30" t="n"/>
      <c r="G1789" s="30" t="n"/>
      <c r="H1789" s="30" t="n"/>
      <c r="I1789" s="31" t="n"/>
      <c r="J1789" s="30" t="n"/>
      <c r="K1789" s="30" t="n"/>
      <c r="L1789" s="30" t="n"/>
      <c r="M1789" s="30" t="n"/>
      <c r="N1789" s="32" t="n"/>
      <c r="O1789" s="30" t="n"/>
      <c r="P1789" s="32" t="n"/>
      <c r="Q1789" s="30" t="n"/>
      <c r="R1789" s="32" t="n"/>
      <c r="S1789" s="30" t="n"/>
      <c r="T1789" s="30" t="n"/>
      <c r="U1789" s="30" t="n"/>
      <c r="V1789" s="30" t="n"/>
      <c r="W1789" s="29">
        <f>IF(H1789="","",IF(H1789="Kenya","Yes","No"))</f>
        <v/>
      </c>
      <c r="X1789" s="29">
        <f>IF(B1789="","",IF(COUNTIF($B$5:$B$3004,B1789)&gt;1,"DUPLICATE","OK"))</f>
        <v/>
      </c>
      <c r="Y1789" s="29">
        <f>IF(OR(U1789="",V1789="",V1789="Excluded"),"",IF(COUNTIFS($U$5:$U$3004,U1789,$V$5:$V$3004,"&lt;&gt;"&amp;V1789,$V$5:$V$3004,"&lt;&gt;",$V$5:$V$3004,"&lt;&gt;Excluded")&gt;0,"LEAK RISK","OK"))</f>
        <v/>
      </c>
      <c r="Z1789" s="30" t="n"/>
    </row>
    <row r="1790">
      <c r="A1790" s="30" t="n"/>
      <c r="B1790" s="30" t="n"/>
      <c r="C1790" s="30" t="n"/>
      <c r="D1790" s="30" t="n"/>
      <c r="E1790" s="30" t="n"/>
      <c r="F1790" s="30" t="n"/>
      <c r="G1790" s="30" t="n"/>
      <c r="H1790" s="30" t="n"/>
      <c r="I1790" s="31" t="n"/>
      <c r="J1790" s="30" t="n"/>
      <c r="K1790" s="30" t="n"/>
      <c r="L1790" s="30" t="n"/>
      <c r="M1790" s="30" t="n"/>
      <c r="N1790" s="32" t="n"/>
      <c r="O1790" s="30" t="n"/>
      <c r="P1790" s="32" t="n"/>
      <c r="Q1790" s="30" t="n"/>
      <c r="R1790" s="32" t="n"/>
      <c r="S1790" s="30" t="n"/>
      <c r="T1790" s="30" t="n"/>
      <c r="U1790" s="30" t="n"/>
      <c r="V1790" s="30" t="n"/>
      <c r="W1790" s="29">
        <f>IF(H1790="","",IF(H1790="Kenya","Yes","No"))</f>
        <v/>
      </c>
      <c r="X1790" s="29">
        <f>IF(B1790="","",IF(COUNTIF($B$5:$B$3004,B1790)&gt;1,"DUPLICATE","OK"))</f>
        <v/>
      </c>
      <c r="Y1790" s="29">
        <f>IF(OR(U1790="",V1790="",V1790="Excluded"),"",IF(COUNTIFS($U$5:$U$3004,U1790,$V$5:$V$3004,"&lt;&gt;"&amp;V1790,$V$5:$V$3004,"&lt;&gt;",$V$5:$V$3004,"&lt;&gt;Excluded")&gt;0,"LEAK RISK","OK"))</f>
        <v/>
      </c>
      <c r="Z1790" s="30" t="n"/>
    </row>
    <row r="1791">
      <c r="A1791" s="30" t="n"/>
      <c r="B1791" s="30" t="n"/>
      <c r="C1791" s="30" t="n"/>
      <c r="D1791" s="30" t="n"/>
      <c r="E1791" s="30" t="n"/>
      <c r="F1791" s="30" t="n"/>
      <c r="G1791" s="30" t="n"/>
      <c r="H1791" s="30" t="n"/>
      <c r="I1791" s="31" t="n"/>
      <c r="J1791" s="30" t="n"/>
      <c r="K1791" s="30" t="n"/>
      <c r="L1791" s="30" t="n"/>
      <c r="M1791" s="30" t="n"/>
      <c r="N1791" s="32" t="n"/>
      <c r="O1791" s="30" t="n"/>
      <c r="P1791" s="32" t="n"/>
      <c r="Q1791" s="30" t="n"/>
      <c r="R1791" s="32" t="n"/>
      <c r="S1791" s="30" t="n"/>
      <c r="T1791" s="30" t="n"/>
      <c r="U1791" s="30" t="n"/>
      <c r="V1791" s="30" t="n"/>
      <c r="W1791" s="29">
        <f>IF(H1791="","",IF(H1791="Kenya","Yes","No"))</f>
        <v/>
      </c>
      <c r="X1791" s="29">
        <f>IF(B1791="","",IF(COUNTIF($B$5:$B$3004,B1791)&gt;1,"DUPLICATE","OK"))</f>
        <v/>
      </c>
      <c r="Y1791" s="29">
        <f>IF(OR(U1791="",V1791="",V1791="Excluded"),"",IF(COUNTIFS($U$5:$U$3004,U1791,$V$5:$V$3004,"&lt;&gt;"&amp;V1791,$V$5:$V$3004,"&lt;&gt;",$V$5:$V$3004,"&lt;&gt;Excluded")&gt;0,"LEAK RISK","OK"))</f>
        <v/>
      </c>
      <c r="Z1791" s="30" t="n"/>
    </row>
    <row r="1792">
      <c r="A1792" s="30" t="n"/>
      <c r="B1792" s="30" t="n"/>
      <c r="C1792" s="30" t="n"/>
      <c r="D1792" s="30" t="n"/>
      <c r="E1792" s="30" t="n"/>
      <c r="F1792" s="30" t="n"/>
      <c r="G1792" s="30" t="n"/>
      <c r="H1792" s="30" t="n"/>
      <c r="I1792" s="31" t="n"/>
      <c r="J1792" s="30" t="n"/>
      <c r="K1792" s="30" t="n"/>
      <c r="L1792" s="30" t="n"/>
      <c r="M1792" s="30" t="n"/>
      <c r="N1792" s="32" t="n"/>
      <c r="O1792" s="30" t="n"/>
      <c r="P1792" s="32" t="n"/>
      <c r="Q1792" s="30" t="n"/>
      <c r="R1792" s="32" t="n"/>
      <c r="S1792" s="30" t="n"/>
      <c r="T1792" s="30" t="n"/>
      <c r="U1792" s="30" t="n"/>
      <c r="V1792" s="30" t="n"/>
      <c r="W1792" s="29">
        <f>IF(H1792="","",IF(H1792="Kenya","Yes","No"))</f>
        <v/>
      </c>
      <c r="X1792" s="29">
        <f>IF(B1792="","",IF(COUNTIF($B$5:$B$3004,B1792)&gt;1,"DUPLICATE","OK"))</f>
        <v/>
      </c>
      <c r="Y1792" s="29">
        <f>IF(OR(U1792="",V1792="",V1792="Excluded"),"",IF(COUNTIFS($U$5:$U$3004,U1792,$V$5:$V$3004,"&lt;&gt;"&amp;V1792,$V$5:$V$3004,"&lt;&gt;",$V$5:$V$3004,"&lt;&gt;Excluded")&gt;0,"LEAK RISK","OK"))</f>
        <v/>
      </c>
      <c r="Z1792" s="30" t="n"/>
    </row>
    <row r="1793">
      <c r="A1793" s="30" t="n"/>
      <c r="B1793" s="30" t="n"/>
      <c r="C1793" s="30" t="n"/>
      <c r="D1793" s="30" t="n"/>
      <c r="E1793" s="30" t="n"/>
      <c r="F1793" s="30" t="n"/>
      <c r="G1793" s="30" t="n"/>
      <c r="H1793" s="30" t="n"/>
      <c r="I1793" s="31" t="n"/>
      <c r="J1793" s="30" t="n"/>
      <c r="K1793" s="30" t="n"/>
      <c r="L1793" s="30" t="n"/>
      <c r="M1793" s="30" t="n"/>
      <c r="N1793" s="32" t="n"/>
      <c r="O1793" s="30" t="n"/>
      <c r="P1793" s="32" t="n"/>
      <c r="Q1793" s="30" t="n"/>
      <c r="R1793" s="32" t="n"/>
      <c r="S1793" s="30" t="n"/>
      <c r="T1793" s="30" t="n"/>
      <c r="U1793" s="30" t="n"/>
      <c r="V1793" s="30" t="n"/>
      <c r="W1793" s="29">
        <f>IF(H1793="","",IF(H1793="Kenya","Yes","No"))</f>
        <v/>
      </c>
      <c r="X1793" s="29">
        <f>IF(B1793="","",IF(COUNTIF($B$5:$B$3004,B1793)&gt;1,"DUPLICATE","OK"))</f>
        <v/>
      </c>
      <c r="Y1793" s="29">
        <f>IF(OR(U1793="",V1793="",V1793="Excluded"),"",IF(COUNTIFS($U$5:$U$3004,U1793,$V$5:$V$3004,"&lt;&gt;"&amp;V1793,$V$5:$V$3004,"&lt;&gt;",$V$5:$V$3004,"&lt;&gt;Excluded")&gt;0,"LEAK RISK","OK"))</f>
        <v/>
      </c>
      <c r="Z1793" s="30" t="n"/>
    </row>
    <row r="1794">
      <c r="A1794" s="30" t="n"/>
      <c r="B1794" s="30" t="n"/>
      <c r="C1794" s="30" t="n"/>
      <c r="D1794" s="30" t="n"/>
      <c r="E1794" s="30" t="n"/>
      <c r="F1794" s="30" t="n"/>
      <c r="G1794" s="30" t="n"/>
      <c r="H1794" s="30" t="n"/>
      <c r="I1794" s="31" t="n"/>
      <c r="J1794" s="30" t="n"/>
      <c r="K1794" s="30" t="n"/>
      <c r="L1794" s="30" t="n"/>
      <c r="M1794" s="30" t="n"/>
      <c r="N1794" s="32" t="n"/>
      <c r="O1794" s="30" t="n"/>
      <c r="P1794" s="32" t="n"/>
      <c r="Q1794" s="30" t="n"/>
      <c r="R1794" s="32" t="n"/>
      <c r="S1794" s="30" t="n"/>
      <c r="T1794" s="30" t="n"/>
      <c r="U1794" s="30" t="n"/>
      <c r="V1794" s="30" t="n"/>
      <c r="W1794" s="29">
        <f>IF(H1794="","",IF(H1794="Kenya","Yes","No"))</f>
        <v/>
      </c>
      <c r="X1794" s="29">
        <f>IF(B1794="","",IF(COUNTIF($B$5:$B$3004,B1794)&gt;1,"DUPLICATE","OK"))</f>
        <v/>
      </c>
      <c r="Y1794" s="29">
        <f>IF(OR(U1794="",V1794="",V1794="Excluded"),"",IF(COUNTIFS($U$5:$U$3004,U1794,$V$5:$V$3004,"&lt;&gt;"&amp;V1794,$V$5:$V$3004,"&lt;&gt;",$V$5:$V$3004,"&lt;&gt;Excluded")&gt;0,"LEAK RISK","OK"))</f>
        <v/>
      </c>
      <c r="Z1794" s="30" t="n"/>
    </row>
    <row r="1795">
      <c r="A1795" s="30" t="n"/>
      <c r="B1795" s="30" t="n"/>
      <c r="C1795" s="30" t="n"/>
      <c r="D1795" s="30" t="n"/>
      <c r="E1795" s="30" t="n"/>
      <c r="F1795" s="30" t="n"/>
      <c r="G1795" s="30" t="n"/>
      <c r="H1795" s="30" t="n"/>
      <c r="I1795" s="31" t="n"/>
      <c r="J1795" s="30" t="n"/>
      <c r="K1795" s="30" t="n"/>
      <c r="L1795" s="30" t="n"/>
      <c r="M1795" s="30" t="n"/>
      <c r="N1795" s="32" t="n"/>
      <c r="O1795" s="30" t="n"/>
      <c r="P1795" s="32" t="n"/>
      <c r="Q1795" s="30" t="n"/>
      <c r="R1795" s="32" t="n"/>
      <c r="S1795" s="30" t="n"/>
      <c r="T1795" s="30" t="n"/>
      <c r="U1795" s="30" t="n"/>
      <c r="V1795" s="30" t="n"/>
      <c r="W1795" s="29">
        <f>IF(H1795="","",IF(H1795="Kenya","Yes","No"))</f>
        <v/>
      </c>
      <c r="X1795" s="29">
        <f>IF(B1795="","",IF(COUNTIF($B$5:$B$3004,B1795)&gt;1,"DUPLICATE","OK"))</f>
        <v/>
      </c>
      <c r="Y1795" s="29">
        <f>IF(OR(U1795="",V1795="",V1795="Excluded"),"",IF(COUNTIFS($U$5:$U$3004,U1795,$V$5:$V$3004,"&lt;&gt;"&amp;V1795,$V$5:$V$3004,"&lt;&gt;",$V$5:$V$3004,"&lt;&gt;Excluded")&gt;0,"LEAK RISK","OK"))</f>
        <v/>
      </c>
      <c r="Z1795" s="30" t="n"/>
    </row>
    <row r="1796">
      <c r="A1796" s="30" t="n"/>
      <c r="B1796" s="30" t="n"/>
      <c r="C1796" s="30" t="n"/>
      <c r="D1796" s="30" t="n"/>
      <c r="E1796" s="30" t="n"/>
      <c r="F1796" s="30" t="n"/>
      <c r="G1796" s="30" t="n"/>
      <c r="H1796" s="30" t="n"/>
      <c r="I1796" s="31" t="n"/>
      <c r="J1796" s="30" t="n"/>
      <c r="K1796" s="30" t="n"/>
      <c r="L1796" s="30" t="n"/>
      <c r="M1796" s="30" t="n"/>
      <c r="N1796" s="32" t="n"/>
      <c r="O1796" s="30" t="n"/>
      <c r="P1796" s="32" t="n"/>
      <c r="Q1796" s="30" t="n"/>
      <c r="R1796" s="32" t="n"/>
      <c r="S1796" s="30" t="n"/>
      <c r="T1796" s="30" t="n"/>
      <c r="U1796" s="30" t="n"/>
      <c r="V1796" s="30" t="n"/>
      <c r="W1796" s="29">
        <f>IF(H1796="","",IF(H1796="Kenya","Yes","No"))</f>
        <v/>
      </c>
      <c r="X1796" s="29">
        <f>IF(B1796="","",IF(COUNTIF($B$5:$B$3004,B1796)&gt;1,"DUPLICATE","OK"))</f>
        <v/>
      </c>
      <c r="Y1796" s="29">
        <f>IF(OR(U1796="",V1796="",V1796="Excluded"),"",IF(COUNTIFS($U$5:$U$3004,U1796,$V$5:$V$3004,"&lt;&gt;"&amp;V1796,$V$5:$V$3004,"&lt;&gt;",$V$5:$V$3004,"&lt;&gt;Excluded")&gt;0,"LEAK RISK","OK"))</f>
        <v/>
      </c>
      <c r="Z1796" s="30" t="n"/>
    </row>
    <row r="1797">
      <c r="A1797" s="30" t="n"/>
      <c r="B1797" s="30" t="n"/>
      <c r="C1797" s="30" t="n"/>
      <c r="D1797" s="30" t="n"/>
      <c r="E1797" s="30" t="n"/>
      <c r="F1797" s="30" t="n"/>
      <c r="G1797" s="30" t="n"/>
      <c r="H1797" s="30" t="n"/>
      <c r="I1797" s="31" t="n"/>
      <c r="J1797" s="30" t="n"/>
      <c r="K1797" s="30" t="n"/>
      <c r="L1797" s="30" t="n"/>
      <c r="M1797" s="30" t="n"/>
      <c r="N1797" s="32" t="n"/>
      <c r="O1797" s="30" t="n"/>
      <c r="P1797" s="32" t="n"/>
      <c r="Q1797" s="30" t="n"/>
      <c r="R1797" s="32" t="n"/>
      <c r="S1797" s="30" t="n"/>
      <c r="T1797" s="30" t="n"/>
      <c r="U1797" s="30" t="n"/>
      <c r="V1797" s="30" t="n"/>
      <c r="W1797" s="29">
        <f>IF(H1797="","",IF(H1797="Kenya","Yes","No"))</f>
        <v/>
      </c>
      <c r="X1797" s="29">
        <f>IF(B1797="","",IF(COUNTIF($B$5:$B$3004,B1797)&gt;1,"DUPLICATE","OK"))</f>
        <v/>
      </c>
      <c r="Y1797" s="29">
        <f>IF(OR(U1797="",V1797="",V1797="Excluded"),"",IF(COUNTIFS($U$5:$U$3004,U1797,$V$5:$V$3004,"&lt;&gt;"&amp;V1797,$V$5:$V$3004,"&lt;&gt;",$V$5:$V$3004,"&lt;&gt;Excluded")&gt;0,"LEAK RISK","OK"))</f>
        <v/>
      </c>
      <c r="Z1797" s="30" t="n"/>
    </row>
    <row r="1798">
      <c r="A1798" s="30" t="n"/>
      <c r="B1798" s="30" t="n"/>
      <c r="C1798" s="30" t="n"/>
      <c r="D1798" s="30" t="n"/>
      <c r="E1798" s="30" t="n"/>
      <c r="F1798" s="30" t="n"/>
      <c r="G1798" s="30" t="n"/>
      <c r="H1798" s="30" t="n"/>
      <c r="I1798" s="31" t="n"/>
      <c r="J1798" s="30" t="n"/>
      <c r="K1798" s="30" t="n"/>
      <c r="L1798" s="30" t="n"/>
      <c r="M1798" s="30" t="n"/>
      <c r="N1798" s="32" t="n"/>
      <c r="O1798" s="30" t="n"/>
      <c r="P1798" s="32" t="n"/>
      <c r="Q1798" s="30" t="n"/>
      <c r="R1798" s="32" t="n"/>
      <c r="S1798" s="30" t="n"/>
      <c r="T1798" s="30" t="n"/>
      <c r="U1798" s="30" t="n"/>
      <c r="V1798" s="30" t="n"/>
      <c r="W1798" s="29">
        <f>IF(H1798="","",IF(H1798="Kenya","Yes","No"))</f>
        <v/>
      </c>
      <c r="X1798" s="29">
        <f>IF(B1798="","",IF(COUNTIF($B$5:$B$3004,B1798)&gt;1,"DUPLICATE","OK"))</f>
        <v/>
      </c>
      <c r="Y1798" s="29">
        <f>IF(OR(U1798="",V1798="",V1798="Excluded"),"",IF(COUNTIFS($U$5:$U$3004,U1798,$V$5:$V$3004,"&lt;&gt;"&amp;V1798,$V$5:$V$3004,"&lt;&gt;",$V$5:$V$3004,"&lt;&gt;Excluded")&gt;0,"LEAK RISK","OK"))</f>
        <v/>
      </c>
      <c r="Z1798" s="30" t="n"/>
    </row>
    <row r="1799">
      <c r="A1799" s="30" t="n"/>
      <c r="B1799" s="30" t="n"/>
      <c r="C1799" s="30" t="n"/>
      <c r="D1799" s="30" t="n"/>
      <c r="E1799" s="30" t="n"/>
      <c r="F1799" s="30" t="n"/>
      <c r="G1799" s="30" t="n"/>
      <c r="H1799" s="30" t="n"/>
      <c r="I1799" s="31" t="n"/>
      <c r="J1799" s="30" t="n"/>
      <c r="K1799" s="30" t="n"/>
      <c r="L1799" s="30" t="n"/>
      <c r="M1799" s="30" t="n"/>
      <c r="N1799" s="32" t="n"/>
      <c r="O1799" s="30" t="n"/>
      <c r="P1799" s="32" t="n"/>
      <c r="Q1799" s="30" t="n"/>
      <c r="R1799" s="32" t="n"/>
      <c r="S1799" s="30" t="n"/>
      <c r="T1799" s="30" t="n"/>
      <c r="U1799" s="30" t="n"/>
      <c r="V1799" s="30" t="n"/>
      <c r="W1799" s="29">
        <f>IF(H1799="","",IF(H1799="Kenya","Yes","No"))</f>
        <v/>
      </c>
      <c r="X1799" s="29">
        <f>IF(B1799="","",IF(COUNTIF($B$5:$B$3004,B1799)&gt;1,"DUPLICATE","OK"))</f>
        <v/>
      </c>
      <c r="Y1799" s="29">
        <f>IF(OR(U1799="",V1799="",V1799="Excluded"),"",IF(COUNTIFS($U$5:$U$3004,U1799,$V$5:$V$3004,"&lt;&gt;"&amp;V1799,$V$5:$V$3004,"&lt;&gt;",$V$5:$V$3004,"&lt;&gt;Excluded")&gt;0,"LEAK RISK","OK"))</f>
        <v/>
      </c>
      <c r="Z1799" s="30" t="n"/>
    </row>
    <row r="1800">
      <c r="A1800" s="30" t="n"/>
      <c r="B1800" s="30" t="n"/>
      <c r="C1800" s="30" t="n"/>
      <c r="D1800" s="30" t="n"/>
      <c r="E1800" s="30" t="n"/>
      <c r="F1800" s="30" t="n"/>
      <c r="G1800" s="30" t="n"/>
      <c r="H1800" s="30" t="n"/>
      <c r="I1800" s="31" t="n"/>
      <c r="J1800" s="30" t="n"/>
      <c r="K1800" s="30" t="n"/>
      <c r="L1800" s="30" t="n"/>
      <c r="M1800" s="30" t="n"/>
      <c r="N1800" s="32" t="n"/>
      <c r="O1800" s="30" t="n"/>
      <c r="P1800" s="32" t="n"/>
      <c r="Q1800" s="30" t="n"/>
      <c r="R1800" s="32" t="n"/>
      <c r="S1800" s="30" t="n"/>
      <c r="T1800" s="30" t="n"/>
      <c r="U1800" s="30" t="n"/>
      <c r="V1800" s="30" t="n"/>
      <c r="W1800" s="29">
        <f>IF(H1800="","",IF(H1800="Kenya","Yes","No"))</f>
        <v/>
      </c>
      <c r="X1800" s="29">
        <f>IF(B1800="","",IF(COUNTIF($B$5:$B$3004,B1800)&gt;1,"DUPLICATE","OK"))</f>
        <v/>
      </c>
      <c r="Y1800" s="29">
        <f>IF(OR(U1800="",V1800="",V1800="Excluded"),"",IF(COUNTIFS($U$5:$U$3004,U1800,$V$5:$V$3004,"&lt;&gt;"&amp;V1800,$V$5:$V$3004,"&lt;&gt;",$V$5:$V$3004,"&lt;&gt;Excluded")&gt;0,"LEAK RISK","OK"))</f>
        <v/>
      </c>
      <c r="Z1800" s="30" t="n"/>
    </row>
    <row r="1801">
      <c r="A1801" s="30" t="n"/>
      <c r="B1801" s="30" t="n"/>
      <c r="C1801" s="30" t="n"/>
      <c r="D1801" s="30" t="n"/>
      <c r="E1801" s="30" t="n"/>
      <c r="F1801" s="30" t="n"/>
      <c r="G1801" s="30" t="n"/>
      <c r="H1801" s="30" t="n"/>
      <c r="I1801" s="31" t="n"/>
      <c r="J1801" s="30" t="n"/>
      <c r="K1801" s="30" t="n"/>
      <c r="L1801" s="30" t="n"/>
      <c r="M1801" s="30" t="n"/>
      <c r="N1801" s="32" t="n"/>
      <c r="O1801" s="30" t="n"/>
      <c r="P1801" s="32" t="n"/>
      <c r="Q1801" s="30" t="n"/>
      <c r="R1801" s="32" t="n"/>
      <c r="S1801" s="30" t="n"/>
      <c r="T1801" s="30" t="n"/>
      <c r="U1801" s="30" t="n"/>
      <c r="V1801" s="30" t="n"/>
      <c r="W1801" s="29">
        <f>IF(H1801="","",IF(H1801="Kenya","Yes","No"))</f>
        <v/>
      </c>
      <c r="X1801" s="29">
        <f>IF(B1801="","",IF(COUNTIF($B$5:$B$3004,B1801)&gt;1,"DUPLICATE","OK"))</f>
        <v/>
      </c>
      <c r="Y1801" s="29">
        <f>IF(OR(U1801="",V1801="",V1801="Excluded"),"",IF(COUNTIFS($U$5:$U$3004,U1801,$V$5:$V$3004,"&lt;&gt;"&amp;V1801,$V$5:$V$3004,"&lt;&gt;",$V$5:$V$3004,"&lt;&gt;Excluded")&gt;0,"LEAK RISK","OK"))</f>
        <v/>
      </c>
      <c r="Z1801" s="30" t="n"/>
    </row>
    <row r="1802">
      <c r="A1802" s="30" t="n"/>
      <c r="B1802" s="30" t="n"/>
      <c r="C1802" s="30" t="n"/>
      <c r="D1802" s="30" t="n"/>
      <c r="E1802" s="30" t="n"/>
      <c r="F1802" s="30" t="n"/>
      <c r="G1802" s="30" t="n"/>
      <c r="H1802" s="30" t="n"/>
      <c r="I1802" s="31" t="n"/>
      <c r="J1802" s="30" t="n"/>
      <c r="K1802" s="30" t="n"/>
      <c r="L1802" s="30" t="n"/>
      <c r="M1802" s="30" t="n"/>
      <c r="N1802" s="32" t="n"/>
      <c r="O1802" s="30" t="n"/>
      <c r="P1802" s="32" t="n"/>
      <c r="Q1802" s="30" t="n"/>
      <c r="R1802" s="32" t="n"/>
      <c r="S1802" s="30" t="n"/>
      <c r="T1802" s="30" t="n"/>
      <c r="U1802" s="30" t="n"/>
      <c r="V1802" s="30" t="n"/>
      <c r="W1802" s="29">
        <f>IF(H1802="","",IF(H1802="Kenya","Yes","No"))</f>
        <v/>
      </c>
      <c r="X1802" s="29">
        <f>IF(B1802="","",IF(COUNTIF($B$5:$B$3004,B1802)&gt;1,"DUPLICATE","OK"))</f>
        <v/>
      </c>
      <c r="Y1802" s="29">
        <f>IF(OR(U1802="",V1802="",V1802="Excluded"),"",IF(COUNTIFS($U$5:$U$3004,U1802,$V$5:$V$3004,"&lt;&gt;"&amp;V1802,$V$5:$V$3004,"&lt;&gt;",$V$5:$V$3004,"&lt;&gt;Excluded")&gt;0,"LEAK RISK","OK"))</f>
        <v/>
      </c>
      <c r="Z1802" s="30" t="n"/>
    </row>
    <row r="1803">
      <c r="A1803" s="30" t="n"/>
      <c r="B1803" s="30" t="n"/>
      <c r="C1803" s="30" t="n"/>
      <c r="D1803" s="30" t="n"/>
      <c r="E1803" s="30" t="n"/>
      <c r="F1803" s="30" t="n"/>
      <c r="G1803" s="30" t="n"/>
      <c r="H1803" s="30" t="n"/>
      <c r="I1803" s="31" t="n"/>
      <c r="J1803" s="30" t="n"/>
      <c r="K1803" s="30" t="n"/>
      <c r="L1803" s="30" t="n"/>
      <c r="M1803" s="30" t="n"/>
      <c r="N1803" s="32" t="n"/>
      <c r="O1803" s="30" t="n"/>
      <c r="P1803" s="32" t="n"/>
      <c r="Q1803" s="30" t="n"/>
      <c r="R1803" s="32" t="n"/>
      <c r="S1803" s="30" t="n"/>
      <c r="T1803" s="30" t="n"/>
      <c r="U1803" s="30" t="n"/>
      <c r="V1803" s="30" t="n"/>
      <c r="W1803" s="29">
        <f>IF(H1803="","",IF(H1803="Kenya","Yes","No"))</f>
        <v/>
      </c>
      <c r="X1803" s="29">
        <f>IF(B1803="","",IF(COUNTIF($B$5:$B$3004,B1803)&gt;1,"DUPLICATE","OK"))</f>
        <v/>
      </c>
      <c r="Y1803" s="29">
        <f>IF(OR(U1803="",V1803="",V1803="Excluded"),"",IF(COUNTIFS($U$5:$U$3004,U1803,$V$5:$V$3004,"&lt;&gt;"&amp;V1803,$V$5:$V$3004,"&lt;&gt;",$V$5:$V$3004,"&lt;&gt;Excluded")&gt;0,"LEAK RISK","OK"))</f>
        <v/>
      </c>
      <c r="Z1803" s="30" t="n"/>
    </row>
    <row r="1804">
      <c r="A1804" s="30" t="n"/>
      <c r="B1804" s="30" t="n"/>
      <c r="C1804" s="30" t="n"/>
      <c r="D1804" s="30" t="n"/>
      <c r="E1804" s="30" t="n"/>
      <c r="F1804" s="30" t="n"/>
      <c r="G1804" s="30" t="n"/>
      <c r="H1804" s="30" t="n"/>
      <c r="I1804" s="31" t="n"/>
      <c r="J1804" s="30" t="n"/>
      <c r="K1804" s="30" t="n"/>
      <c r="L1804" s="30" t="n"/>
      <c r="M1804" s="30" t="n"/>
      <c r="N1804" s="32" t="n"/>
      <c r="O1804" s="30" t="n"/>
      <c r="P1804" s="32" t="n"/>
      <c r="Q1804" s="30" t="n"/>
      <c r="R1804" s="32" t="n"/>
      <c r="S1804" s="30" t="n"/>
      <c r="T1804" s="30" t="n"/>
      <c r="U1804" s="30" t="n"/>
      <c r="V1804" s="30" t="n"/>
      <c r="W1804" s="29">
        <f>IF(H1804="","",IF(H1804="Kenya","Yes","No"))</f>
        <v/>
      </c>
      <c r="X1804" s="29">
        <f>IF(B1804="","",IF(COUNTIF($B$5:$B$3004,B1804)&gt;1,"DUPLICATE","OK"))</f>
        <v/>
      </c>
      <c r="Y1804" s="29">
        <f>IF(OR(U1804="",V1804="",V1804="Excluded"),"",IF(COUNTIFS($U$5:$U$3004,U1804,$V$5:$V$3004,"&lt;&gt;"&amp;V1804,$V$5:$V$3004,"&lt;&gt;",$V$5:$V$3004,"&lt;&gt;Excluded")&gt;0,"LEAK RISK","OK"))</f>
        <v/>
      </c>
      <c r="Z1804" s="30" t="n"/>
    </row>
    <row r="1805">
      <c r="A1805" s="30" t="n"/>
      <c r="B1805" s="30" t="n"/>
      <c r="C1805" s="30" t="n"/>
      <c r="D1805" s="30" t="n"/>
      <c r="E1805" s="30" t="n"/>
      <c r="F1805" s="30" t="n"/>
      <c r="G1805" s="30" t="n"/>
      <c r="H1805" s="30" t="n"/>
      <c r="I1805" s="31" t="n"/>
      <c r="J1805" s="30" t="n"/>
      <c r="K1805" s="30" t="n"/>
      <c r="L1805" s="30" t="n"/>
      <c r="M1805" s="30" t="n"/>
      <c r="N1805" s="32" t="n"/>
      <c r="O1805" s="30" t="n"/>
      <c r="P1805" s="32" t="n"/>
      <c r="Q1805" s="30" t="n"/>
      <c r="R1805" s="32" t="n"/>
      <c r="S1805" s="30" t="n"/>
      <c r="T1805" s="30" t="n"/>
      <c r="U1805" s="30" t="n"/>
      <c r="V1805" s="30" t="n"/>
      <c r="W1805" s="29">
        <f>IF(H1805="","",IF(H1805="Kenya","Yes","No"))</f>
        <v/>
      </c>
      <c r="X1805" s="29">
        <f>IF(B1805="","",IF(COUNTIF($B$5:$B$3004,B1805)&gt;1,"DUPLICATE","OK"))</f>
        <v/>
      </c>
      <c r="Y1805" s="29">
        <f>IF(OR(U1805="",V1805="",V1805="Excluded"),"",IF(COUNTIFS($U$5:$U$3004,U1805,$V$5:$V$3004,"&lt;&gt;"&amp;V1805,$V$5:$V$3004,"&lt;&gt;",$V$5:$V$3004,"&lt;&gt;Excluded")&gt;0,"LEAK RISK","OK"))</f>
        <v/>
      </c>
      <c r="Z1805" s="30" t="n"/>
    </row>
    <row r="1806">
      <c r="A1806" s="30" t="n"/>
      <c r="B1806" s="30" t="n"/>
      <c r="C1806" s="30" t="n"/>
      <c r="D1806" s="30" t="n"/>
      <c r="E1806" s="30" t="n"/>
      <c r="F1806" s="30" t="n"/>
      <c r="G1806" s="30" t="n"/>
      <c r="H1806" s="30" t="n"/>
      <c r="I1806" s="31" t="n"/>
      <c r="J1806" s="30" t="n"/>
      <c r="K1806" s="30" t="n"/>
      <c r="L1806" s="30" t="n"/>
      <c r="M1806" s="30" t="n"/>
      <c r="N1806" s="32" t="n"/>
      <c r="O1806" s="30" t="n"/>
      <c r="P1806" s="32" t="n"/>
      <c r="Q1806" s="30" t="n"/>
      <c r="R1806" s="32" t="n"/>
      <c r="S1806" s="30" t="n"/>
      <c r="T1806" s="30" t="n"/>
      <c r="U1806" s="30" t="n"/>
      <c r="V1806" s="30" t="n"/>
      <c r="W1806" s="29">
        <f>IF(H1806="","",IF(H1806="Kenya","Yes","No"))</f>
        <v/>
      </c>
      <c r="X1806" s="29">
        <f>IF(B1806="","",IF(COUNTIF($B$5:$B$3004,B1806)&gt;1,"DUPLICATE","OK"))</f>
        <v/>
      </c>
      <c r="Y1806" s="29">
        <f>IF(OR(U1806="",V1806="",V1806="Excluded"),"",IF(COUNTIFS($U$5:$U$3004,U1806,$V$5:$V$3004,"&lt;&gt;"&amp;V1806,$V$5:$V$3004,"&lt;&gt;",$V$5:$V$3004,"&lt;&gt;Excluded")&gt;0,"LEAK RISK","OK"))</f>
        <v/>
      </c>
      <c r="Z1806" s="30" t="n"/>
    </row>
    <row r="1807">
      <c r="A1807" s="30" t="n"/>
      <c r="B1807" s="30" t="n"/>
      <c r="C1807" s="30" t="n"/>
      <c r="D1807" s="30" t="n"/>
      <c r="E1807" s="30" t="n"/>
      <c r="F1807" s="30" t="n"/>
      <c r="G1807" s="30" t="n"/>
      <c r="H1807" s="30" t="n"/>
      <c r="I1807" s="31" t="n"/>
      <c r="J1807" s="30" t="n"/>
      <c r="K1807" s="30" t="n"/>
      <c r="L1807" s="30" t="n"/>
      <c r="M1807" s="30" t="n"/>
      <c r="N1807" s="32" t="n"/>
      <c r="O1807" s="30" t="n"/>
      <c r="P1807" s="32" t="n"/>
      <c r="Q1807" s="30" t="n"/>
      <c r="R1807" s="32" t="n"/>
      <c r="S1807" s="30" t="n"/>
      <c r="T1807" s="30" t="n"/>
      <c r="U1807" s="30" t="n"/>
      <c r="V1807" s="30" t="n"/>
      <c r="W1807" s="29">
        <f>IF(H1807="","",IF(H1807="Kenya","Yes","No"))</f>
        <v/>
      </c>
      <c r="X1807" s="29">
        <f>IF(B1807="","",IF(COUNTIF($B$5:$B$3004,B1807)&gt;1,"DUPLICATE","OK"))</f>
        <v/>
      </c>
      <c r="Y1807" s="29">
        <f>IF(OR(U1807="",V1807="",V1807="Excluded"),"",IF(COUNTIFS($U$5:$U$3004,U1807,$V$5:$V$3004,"&lt;&gt;"&amp;V1807,$V$5:$V$3004,"&lt;&gt;",$V$5:$V$3004,"&lt;&gt;Excluded")&gt;0,"LEAK RISK","OK"))</f>
        <v/>
      </c>
      <c r="Z1807" s="30" t="n"/>
    </row>
    <row r="1808">
      <c r="A1808" s="30" t="n"/>
      <c r="B1808" s="30" t="n"/>
      <c r="C1808" s="30" t="n"/>
      <c r="D1808" s="30" t="n"/>
      <c r="E1808" s="30" t="n"/>
      <c r="F1808" s="30" t="n"/>
      <c r="G1808" s="30" t="n"/>
      <c r="H1808" s="30" t="n"/>
      <c r="I1808" s="31" t="n"/>
      <c r="J1808" s="30" t="n"/>
      <c r="K1808" s="30" t="n"/>
      <c r="L1808" s="30" t="n"/>
      <c r="M1808" s="30" t="n"/>
      <c r="N1808" s="32" t="n"/>
      <c r="O1808" s="30" t="n"/>
      <c r="P1808" s="32" t="n"/>
      <c r="Q1808" s="30" t="n"/>
      <c r="R1808" s="32" t="n"/>
      <c r="S1808" s="30" t="n"/>
      <c r="T1808" s="30" t="n"/>
      <c r="U1808" s="30" t="n"/>
      <c r="V1808" s="30" t="n"/>
      <c r="W1808" s="29">
        <f>IF(H1808="","",IF(H1808="Kenya","Yes","No"))</f>
        <v/>
      </c>
      <c r="X1808" s="29">
        <f>IF(B1808="","",IF(COUNTIF($B$5:$B$3004,B1808)&gt;1,"DUPLICATE","OK"))</f>
        <v/>
      </c>
      <c r="Y1808" s="29">
        <f>IF(OR(U1808="",V1808="",V1808="Excluded"),"",IF(COUNTIFS($U$5:$U$3004,U1808,$V$5:$V$3004,"&lt;&gt;"&amp;V1808,$V$5:$V$3004,"&lt;&gt;",$V$5:$V$3004,"&lt;&gt;Excluded")&gt;0,"LEAK RISK","OK"))</f>
        <v/>
      </c>
      <c r="Z1808" s="30" t="n"/>
    </row>
    <row r="1809">
      <c r="A1809" s="30" t="n"/>
      <c r="B1809" s="30" t="n"/>
      <c r="C1809" s="30" t="n"/>
      <c r="D1809" s="30" t="n"/>
      <c r="E1809" s="30" t="n"/>
      <c r="F1809" s="30" t="n"/>
      <c r="G1809" s="30" t="n"/>
      <c r="H1809" s="30" t="n"/>
      <c r="I1809" s="31" t="n"/>
      <c r="J1809" s="30" t="n"/>
      <c r="K1809" s="30" t="n"/>
      <c r="L1809" s="30" t="n"/>
      <c r="M1809" s="30" t="n"/>
      <c r="N1809" s="32" t="n"/>
      <c r="O1809" s="30" t="n"/>
      <c r="P1809" s="32" t="n"/>
      <c r="Q1809" s="30" t="n"/>
      <c r="R1809" s="32" t="n"/>
      <c r="S1809" s="30" t="n"/>
      <c r="T1809" s="30" t="n"/>
      <c r="U1809" s="30" t="n"/>
      <c r="V1809" s="30" t="n"/>
      <c r="W1809" s="29">
        <f>IF(H1809="","",IF(H1809="Kenya","Yes","No"))</f>
        <v/>
      </c>
      <c r="X1809" s="29">
        <f>IF(B1809="","",IF(COUNTIF($B$5:$B$3004,B1809)&gt;1,"DUPLICATE","OK"))</f>
        <v/>
      </c>
      <c r="Y1809" s="29">
        <f>IF(OR(U1809="",V1809="",V1809="Excluded"),"",IF(COUNTIFS($U$5:$U$3004,U1809,$V$5:$V$3004,"&lt;&gt;"&amp;V1809,$V$5:$V$3004,"&lt;&gt;",$V$5:$V$3004,"&lt;&gt;Excluded")&gt;0,"LEAK RISK","OK"))</f>
        <v/>
      </c>
      <c r="Z1809" s="30" t="n"/>
    </row>
    <row r="1810">
      <c r="A1810" s="30" t="n"/>
      <c r="B1810" s="30" t="n"/>
      <c r="C1810" s="30" t="n"/>
      <c r="D1810" s="30" t="n"/>
      <c r="E1810" s="30" t="n"/>
      <c r="F1810" s="30" t="n"/>
      <c r="G1810" s="30" t="n"/>
      <c r="H1810" s="30" t="n"/>
      <c r="I1810" s="31" t="n"/>
      <c r="J1810" s="30" t="n"/>
      <c r="K1810" s="30" t="n"/>
      <c r="L1810" s="30" t="n"/>
      <c r="M1810" s="30" t="n"/>
      <c r="N1810" s="32" t="n"/>
      <c r="O1810" s="30" t="n"/>
      <c r="P1810" s="32" t="n"/>
      <c r="Q1810" s="30" t="n"/>
      <c r="R1810" s="32" t="n"/>
      <c r="S1810" s="30" t="n"/>
      <c r="T1810" s="30" t="n"/>
      <c r="U1810" s="30" t="n"/>
      <c r="V1810" s="30" t="n"/>
      <c r="W1810" s="29">
        <f>IF(H1810="","",IF(H1810="Kenya","Yes","No"))</f>
        <v/>
      </c>
      <c r="X1810" s="29">
        <f>IF(B1810="","",IF(COUNTIF($B$5:$B$3004,B1810)&gt;1,"DUPLICATE","OK"))</f>
        <v/>
      </c>
      <c r="Y1810" s="29">
        <f>IF(OR(U1810="",V1810="",V1810="Excluded"),"",IF(COUNTIFS($U$5:$U$3004,U1810,$V$5:$V$3004,"&lt;&gt;"&amp;V1810,$V$5:$V$3004,"&lt;&gt;",$V$5:$V$3004,"&lt;&gt;Excluded")&gt;0,"LEAK RISK","OK"))</f>
        <v/>
      </c>
      <c r="Z1810" s="30" t="n"/>
    </row>
    <row r="1811">
      <c r="A1811" s="30" t="n"/>
      <c r="B1811" s="30" t="n"/>
      <c r="C1811" s="30" t="n"/>
      <c r="D1811" s="30" t="n"/>
      <c r="E1811" s="30" t="n"/>
      <c r="F1811" s="30" t="n"/>
      <c r="G1811" s="30" t="n"/>
      <c r="H1811" s="30" t="n"/>
      <c r="I1811" s="31" t="n"/>
      <c r="J1811" s="30" t="n"/>
      <c r="K1811" s="30" t="n"/>
      <c r="L1811" s="30" t="n"/>
      <c r="M1811" s="30" t="n"/>
      <c r="N1811" s="32" t="n"/>
      <c r="O1811" s="30" t="n"/>
      <c r="P1811" s="32" t="n"/>
      <c r="Q1811" s="30" t="n"/>
      <c r="R1811" s="32" t="n"/>
      <c r="S1811" s="30" t="n"/>
      <c r="T1811" s="30" t="n"/>
      <c r="U1811" s="30" t="n"/>
      <c r="V1811" s="30" t="n"/>
      <c r="W1811" s="29">
        <f>IF(H1811="","",IF(H1811="Kenya","Yes","No"))</f>
        <v/>
      </c>
      <c r="X1811" s="29">
        <f>IF(B1811="","",IF(COUNTIF($B$5:$B$3004,B1811)&gt;1,"DUPLICATE","OK"))</f>
        <v/>
      </c>
      <c r="Y1811" s="29">
        <f>IF(OR(U1811="",V1811="",V1811="Excluded"),"",IF(COUNTIFS($U$5:$U$3004,U1811,$V$5:$V$3004,"&lt;&gt;"&amp;V1811,$V$5:$V$3004,"&lt;&gt;",$V$5:$V$3004,"&lt;&gt;Excluded")&gt;0,"LEAK RISK","OK"))</f>
        <v/>
      </c>
      <c r="Z1811" s="30" t="n"/>
    </row>
    <row r="1812">
      <c r="A1812" s="30" t="n"/>
      <c r="B1812" s="30" t="n"/>
      <c r="C1812" s="30" t="n"/>
      <c r="D1812" s="30" t="n"/>
      <c r="E1812" s="30" t="n"/>
      <c r="F1812" s="30" t="n"/>
      <c r="G1812" s="30" t="n"/>
      <c r="H1812" s="30" t="n"/>
      <c r="I1812" s="31" t="n"/>
      <c r="J1812" s="30" t="n"/>
      <c r="K1812" s="30" t="n"/>
      <c r="L1812" s="30" t="n"/>
      <c r="M1812" s="30" t="n"/>
      <c r="N1812" s="32" t="n"/>
      <c r="O1812" s="30" t="n"/>
      <c r="P1812" s="32" t="n"/>
      <c r="Q1812" s="30" t="n"/>
      <c r="R1812" s="32" t="n"/>
      <c r="S1812" s="30" t="n"/>
      <c r="T1812" s="30" t="n"/>
      <c r="U1812" s="30" t="n"/>
      <c r="V1812" s="30" t="n"/>
      <c r="W1812" s="29">
        <f>IF(H1812="","",IF(H1812="Kenya","Yes","No"))</f>
        <v/>
      </c>
      <c r="X1812" s="29">
        <f>IF(B1812="","",IF(COUNTIF($B$5:$B$3004,B1812)&gt;1,"DUPLICATE","OK"))</f>
        <v/>
      </c>
      <c r="Y1812" s="29">
        <f>IF(OR(U1812="",V1812="",V1812="Excluded"),"",IF(COUNTIFS($U$5:$U$3004,U1812,$V$5:$V$3004,"&lt;&gt;"&amp;V1812,$V$5:$V$3004,"&lt;&gt;",$V$5:$V$3004,"&lt;&gt;Excluded")&gt;0,"LEAK RISK","OK"))</f>
        <v/>
      </c>
      <c r="Z1812" s="30" t="n"/>
    </row>
    <row r="1813">
      <c r="A1813" s="30" t="n"/>
      <c r="B1813" s="30" t="n"/>
      <c r="C1813" s="30" t="n"/>
      <c r="D1813" s="30" t="n"/>
      <c r="E1813" s="30" t="n"/>
      <c r="F1813" s="30" t="n"/>
      <c r="G1813" s="30" t="n"/>
      <c r="H1813" s="30" t="n"/>
      <c r="I1813" s="31" t="n"/>
      <c r="J1813" s="30" t="n"/>
      <c r="K1813" s="30" t="n"/>
      <c r="L1813" s="30" t="n"/>
      <c r="M1813" s="30" t="n"/>
      <c r="N1813" s="32" t="n"/>
      <c r="O1813" s="30" t="n"/>
      <c r="P1813" s="32" t="n"/>
      <c r="Q1813" s="30" t="n"/>
      <c r="R1813" s="32" t="n"/>
      <c r="S1813" s="30" t="n"/>
      <c r="T1813" s="30" t="n"/>
      <c r="U1813" s="30" t="n"/>
      <c r="V1813" s="30" t="n"/>
      <c r="W1813" s="29">
        <f>IF(H1813="","",IF(H1813="Kenya","Yes","No"))</f>
        <v/>
      </c>
      <c r="X1813" s="29">
        <f>IF(B1813="","",IF(COUNTIF($B$5:$B$3004,B1813)&gt;1,"DUPLICATE","OK"))</f>
        <v/>
      </c>
      <c r="Y1813" s="29">
        <f>IF(OR(U1813="",V1813="",V1813="Excluded"),"",IF(COUNTIFS($U$5:$U$3004,U1813,$V$5:$V$3004,"&lt;&gt;"&amp;V1813,$V$5:$V$3004,"&lt;&gt;",$V$5:$V$3004,"&lt;&gt;Excluded")&gt;0,"LEAK RISK","OK"))</f>
        <v/>
      </c>
      <c r="Z1813" s="30" t="n"/>
    </row>
    <row r="1814">
      <c r="A1814" s="30" t="n"/>
      <c r="B1814" s="30" t="n"/>
      <c r="C1814" s="30" t="n"/>
      <c r="D1814" s="30" t="n"/>
      <c r="E1814" s="30" t="n"/>
      <c r="F1814" s="30" t="n"/>
      <c r="G1814" s="30" t="n"/>
      <c r="H1814" s="30" t="n"/>
      <c r="I1814" s="31" t="n"/>
      <c r="J1814" s="30" t="n"/>
      <c r="K1814" s="30" t="n"/>
      <c r="L1814" s="30" t="n"/>
      <c r="M1814" s="30" t="n"/>
      <c r="N1814" s="32" t="n"/>
      <c r="O1814" s="30" t="n"/>
      <c r="P1814" s="32" t="n"/>
      <c r="Q1814" s="30" t="n"/>
      <c r="R1814" s="32" t="n"/>
      <c r="S1814" s="30" t="n"/>
      <c r="T1814" s="30" t="n"/>
      <c r="U1814" s="30" t="n"/>
      <c r="V1814" s="30" t="n"/>
      <c r="W1814" s="29">
        <f>IF(H1814="","",IF(H1814="Kenya","Yes","No"))</f>
        <v/>
      </c>
      <c r="X1814" s="29">
        <f>IF(B1814="","",IF(COUNTIF($B$5:$B$3004,B1814)&gt;1,"DUPLICATE","OK"))</f>
        <v/>
      </c>
      <c r="Y1814" s="29">
        <f>IF(OR(U1814="",V1814="",V1814="Excluded"),"",IF(COUNTIFS($U$5:$U$3004,U1814,$V$5:$V$3004,"&lt;&gt;"&amp;V1814,$V$5:$V$3004,"&lt;&gt;",$V$5:$V$3004,"&lt;&gt;Excluded")&gt;0,"LEAK RISK","OK"))</f>
        <v/>
      </c>
      <c r="Z1814" s="30" t="n"/>
    </row>
    <row r="1815">
      <c r="A1815" s="30" t="n"/>
      <c r="B1815" s="30" t="n"/>
      <c r="C1815" s="30" t="n"/>
      <c r="D1815" s="30" t="n"/>
      <c r="E1815" s="30" t="n"/>
      <c r="F1815" s="30" t="n"/>
      <c r="G1815" s="30" t="n"/>
      <c r="H1815" s="30" t="n"/>
      <c r="I1815" s="31" t="n"/>
      <c r="J1815" s="30" t="n"/>
      <c r="K1815" s="30" t="n"/>
      <c r="L1815" s="30" t="n"/>
      <c r="M1815" s="30" t="n"/>
      <c r="N1815" s="32" t="n"/>
      <c r="O1815" s="30" t="n"/>
      <c r="P1815" s="32" t="n"/>
      <c r="Q1815" s="30" t="n"/>
      <c r="R1815" s="32" t="n"/>
      <c r="S1815" s="30" t="n"/>
      <c r="T1815" s="30" t="n"/>
      <c r="U1815" s="30" t="n"/>
      <c r="V1815" s="30" t="n"/>
      <c r="W1815" s="29">
        <f>IF(H1815="","",IF(H1815="Kenya","Yes","No"))</f>
        <v/>
      </c>
      <c r="X1815" s="29">
        <f>IF(B1815="","",IF(COUNTIF($B$5:$B$3004,B1815)&gt;1,"DUPLICATE","OK"))</f>
        <v/>
      </c>
      <c r="Y1815" s="29">
        <f>IF(OR(U1815="",V1815="",V1815="Excluded"),"",IF(COUNTIFS($U$5:$U$3004,U1815,$V$5:$V$3004,"&lt;&gt;"&amp;V1815,$V$5:$V$3004,"&lt;&gt;",$V$5:$V$3004,"&lt;&gt;Excluded")&gt;0,"LEAK RISK","OK"))</f>
        <v/>
      </c>
      <c r="Z1815" s="30" t="n"/>
    </row>
    <row r="1816">
      <c r="A1816" s="30" t="n"/>
      <c r="B1816" s="30" t="n"/>
      <c r="C1816" s="30" t="n"/>
      <c r="D1816" s="30" t="n"/>
      <c r="E1816" s="30" t="n"/>
      <c r="F1816" s="30" t="n"/>
      <c r="G1816" s="30" t="n"/>
      <c r="H1816" s="30" t="n"/>
      <c r="I1816" s="31" t="n"/>
      <c r="J1816" s="30" t="n"/>
      <c r="K1816" s="30" t="n"/>
      <c r="L1816" s="30" t="n"/>
      <c r="M1816" s="30" t="n"/>
      <c r="N1816" s="32" t="n"/>
      <c r="O1816" s="30" t="n"/>
      <c r="P1816" s="32" t="n"/>
      <c r="Q1816" s="30" t="n"/>
      <c r="R1816" s="32" t="n"/>
      <c r="S1816" s="30" t="n"/>
      <c r="T1816" s="30" t="n"/>
      <c r="U1816" s="30" t="n"/>
      <c r="V1816" s="30" t="n"/>
      <c r="W1816" s="29">
        <f>IF(H1816="","",IF(H1816="Kenya","Yes","No"))</f>
        <v/>
      </c>
      <c r="X1816" s="29">
        <f>IF(B1816="","",IF(COUNTIF($B$5:$B$3004,B1816)&gt;1,"DUPLICATE","OK"))</f>
        <v/>
      </c>
      <c r="Y1816" s="29">
        <f>IF(OR(U1816="",V1816="",V1816="Excluded"),"",IF(COUNTIFS($U$5:$U$3004,U1816,$V$5:$V$3004,"&lt;&gt;"&amp;V1816,$V$5:$V$3004,"&lt;&gt;",$V$5:$V$3004,"&lt;&gt;Excluded")&gt;0,"LEAK RISK","OK"))</f>
        <v/>
      </c>
      <c r="Z1816" s="30" t="n"/>
    </row>
    <row r="1817">
      <c r="A1817" s="30" t="n"/>
      <c r="B1817" s="30" t="n"/>
      <c r="C1817" s="30" t="n"/>
      <c r="D1817" s="30" t="n"/>
      <c r="E1817" s="30" t="n"/>
      <c r="F1817" s="30" t="n"/>
      <c r="G1817" s="30" t="n"/>
      <c r="H1817" s="30" t="n"/>
      <c r="I1817" s="31" t="n"/>
      <c r="J1817" s="30" t="n"/>
      <c r="K1817" s="30" t="n"/>
      <c r="L1817" s="30" t="n"/>
      <c r="M1817" s="30" t="n"/>
      <c r="N1817" s="32" t="n"/>
      <c r="O1817" s="30" t="n"/>
      <c r="P1817" s="32" t="n"/>
      <c r="Q1817" s="30" t="n"/>
      <c r="R1817" s="32" t="n"/>
      <c r="S1817" s="30" t="n"/>
      <c r="T1817" s="30" t="n"/>
      <c r="U1817" s="30" t="n"/>
      <c r="V1817" s="30" t="n"/>
      <c r="W1817" s="29">
        <f>IF(H1817="","",IF(H1817="Kenya","Yes","No"))</f>
        <v/>
      </c>
      <c r="X1817" s="29">
        <f>IF(B1817="","",IF(COUNTIF($B$5:$B$3004,B1817)&gt;1,"DUPLICATE","OK"))</f>
        <v/>
      </c>
      <c r="Y1817" s="29">
        <f>IF(OR(U1817="",V1817="",V1817="Excluded"),"",IF(COUNTIFS($U$5:$U$3004,U1817,$V$5:$V$3004,"&lt;&gt;"&amp;V1817,$V$5:$V$3004,"&lt;&gt;",$V$5:$V$3004,"&lt;&gt;Excluded")&gt;0,"LEAK RISK","OK"))</f>
        <v/>
      </c>
      <c r="Z1817" s="30" t="n"/>
    </row>
    <row r="1818">
      <c r="A1818" s="30" t="n"/>
      <c r="B1818" s="30" t="n"/>
      <c r="C1818" s="30" t="n"/>
      <c r="D1818" s="30" t="n"/>
      <c r="E1818" s="30" t="n"/>
      <c r="F1818" s="30" t="n"/>
      <c r="G1818" s="30" t="n"/>
      <c r="H1818" s="30" t="n"/>
      <c r="I1818" s="31" t="n"/>
      <c r="J1818" s="30" t="n"/>
      <c r="K1818" s="30" t="n"/>
      <c r="L1818" s="30" t="n"/>
      <c r="M1818" s="30" t="n"/>
      <c r="N1818" s="32" t="n"/>
      <c r="O1818" s="30" t="n"/>
      <c r="P1818" s="32" t="n"/>
      <c r="Q1818" s="30" t="n"/>
      <c r="R1818" s="32" t="n"/>
      <c r="S1818" s="30" t="n"/>
      <c r="T1818" s="30" t="n"/>
      <c r="U1818" s="30" t="n"/>
      <c r="V1818" s="30" t="n"/>
      <c r="W1818" s="29">
        <f>IF(H1818="","",IF(H1818="Kenya","Yes","No"))</f>
        <v/>
      </c>
      <c r="X1818" s="29">
        <f>IF(B1818="","",IF(COUNTIF($B$5:$B$3004,B1818)&gt;1,"DUPLICATE","OK"))</f>
        <v/>
      </c>
      <c r="Y1818" s="29">
        <f>IF(OR(U1818="",V1818="",V1818="Excluded"),"",IF(COUNTIFS($U$5:$U$3004,U1818,$V$5:$V$3004,"&lt;&gt;"&amp;V1818,$V$5:$V$3004,"&lt;&gt;",$V$5:$V$3004,"&lt;&gt;Excluded")&gt;0,"LEAK RISK","OK"))</f>
        <v/>
      </c>
      <c r="Z1818" s="30" t="n"/>
    </row>
    <row r="1819">
      <c r="A1819" s="30" t="n"/>
      <c r="B1819" s="30" t="n"/>
      <c r="C1819" s="30" t="n"/>
      <c r="D1819" s="30" t="n"/>
      <c r="E1819" s="30" t="n"/>
      <c r="F1819" s="30" t="n"/>
      <c r="G1819" s="30" t="n"/>
      <c r="H1819" s="30" t="n"/>
      <c r="I1819" s="31" t="n"/>
      <c r="J1819" s="30" t="n"/>
      <c r="K1819" s="30" t="n"/>
      <c r="L1819" s="30" t="n"/>
      <c r="M1819" s="30" t="n"/>
      <c r="N1819" s="32" t="n"/>
      <c r="O1819" s="30" t="n"/>
      <c r="P1819" s="32" t="n"/>
      <c r="Q1819" s="30" t="n"/>
      <c r="R1819" s="32" t="n"/>
      <c r="S1819" s="30" t="n"/>
      <c r="T1819" s="30" t="n"/>
      <c r="U1819" s="30" t="n"/>
      <c r="V1819" s="30" t="n"/>
      <c r="W1819" s="29">
        <f>IF(H1819="","",IF(H1819="Kenya","Yes","No"))</f>
        <v/>
      </c>
      <c r="X1819" s="29">
        <f>IF(B1819="","",IF(COUNTIF($B$5:$B$3004,B1819)&gt;1,"DUPLICATE","OK"))</f>
        <v/>
      </c>
      <c r="Y1819" s="29">
        <f>IF(OR(U1819="",V1819="",V1819="Excluded"),"",IF(COUNTIFS($U$5:$U$3004,U1819,$V$5:$V$3004,"&lt;&gt;"&amp;V1819,$V$5:$V$3004,"&lt;&gt;",$V$5:$V$3004,"&lt;&gt;Excluded")&gt;0,"LEAK RISK","OK"))</f>
        <v/>
      </c>
      <c r="Z1819" s="30" t="n"/>
    </row>
    <row r="1820">
      <c r="A1820" s="30" t="n"/>
      <c r="B1820" s="30" t="n"/>
      <c r="C1820" s="30" t="n"/>
      <c r="D1820" s="30" t="n"/>
      <c r="E1820" s="30" t="n"/>
      <c r="F1820" s="30" t="n"/>
      <c r="G1820" s="30" t="n"/>
      <c r="H1820" s="30" t="n"/>
      <c r="I1820" s="31" t="n"/>
      <c r="J1820" s="30" t="n"/>
      <c r="K1820" s="30" t="n"/>
      <c r="L1820" s="30" t="n"/>
      <c r="M1820" s="30" t="n"/>
      <c r="N1820" s="32" t="n"/>
      <c r="O1820" s="30" t="n"/>
      <c r="P1820" s="32" t="n"/>
      <c r="Q1820" s="30" t="n"/>
      <c r="R1820" s="32" t="n"/>
      <c r="S1820" s="30" t="n"/>
      <c r="T1820" s="30" t="n"/>
      <c r="U1820" s="30" t="n"/>
      <c r="V1820" s="30" t="n"/>
      <c r="W1820" s="29">
        <f>IF(H1820="","",IF(H1820="Kenya","Yes","No"))</f>
        <v/>
      </c>
      <c r="X1820" s="29">
        <f>IF(B1820="","",IF(COUNTIF($B$5:$B$3004,B1820)&gt;1,"DUPLICATE","OK"))</f>
        <v/>
      </c>
      <c r="Y1820" s="29">
        <f>IF(OR(U1820="",V1820="",V1820="Excluded"),"",IF(COUNTIFS($U$5:$U$3004,U1820,$V$5:$V$3004,"&lt;&gt;"&amp;V1820,$V$5:$V$3004,"&lt;&gt;",$V$5:$V$3004,"&lt;&gt;Excluded")&gt;0,"LEAK RISK","OK"))</f>
        <v/>
      </c>
      <c r="Z1820" s="30" t="n"/>
    </row>
    <row r="1821">
      <c r="A1821" s="30" t="n"/>
      <c r="B1821" s="30" t="n"/>
      <c r="C1821" s="30" t="n"/>
      <c r="D1821" s="30" t="n"/>
      <c r="E1821" s="30" t="n"/>
      <c r="F1821" s="30" t="n"/>
      <c r="G1821" s="30" t="n"/>
      <c r="H1821" s="30" t="n"/>
      <c r="I1821" s="31" t="n"/>
      <c r="J1821" s="30" t="n"/>
      <c r="K1821" s="30" t="n"/>
      <c r="L1821" s="30" t="n"/>
      <c r="M1821" s="30" t="n"/>
      <c r="N1821" s="32" t="n"/>
      <c r="O1821" s="30" t="n"/>
      <c r="P1821" s="32" t="n"/>
      <c r="Q1821" s="30" t="n"/>
      <c r="R1821" s="32" t="n"/>
      <c r="S1821" s="30" t="n"/>
      <c r="T1821" s="30" t="n"/>
      <c r="U1821" s="30" t="n"/>
      <c r="V1821" s="30" t="n"/>
      <c r="W1821" s="29">
        <f>IF(H1821="","",IF(H1821="Kenya","Yes","No"))</f>
        <v/>
      </c>
      <c r="X1821" s="29">
        <f>IF(B1821="","",IF(COUNTIF($B$5:$B$3004,B1821)&gt;1,"DUPLICATE","OK"))</f>
        <v/>
      </c>
      <c r="Y1821" s="29">
        <f>IF(OR(U1821="",V1821="",V1821="Excluded"),"",IF(COUNTIFS($U$5:$U$3004,U1821,$V$5:$V$3004,"&lt;&gt;"&amp;V1821,$V$5:$V$3004,"&lt;&gt;",$V$5:$V$3004,"&lt;&gt;Excluded")&gt;0,"LEAK RISK","OK"))</f>
        <v/>
      </c>
      <c r="Z1821" s="30" t="n"/>
    </row>
    <row r="1822">
      <c r="A1822" s="30" t="n"/>
      <c r="B1822" s="30" t="n"/>
      <c r="C1822" s="30" t="n"/>
      <c r="D1822" s="30" t="n"/>
      <c r="E1822" s="30" t="n"/>
      <c r="F1822" s="30" t="n"/>
      <c r="G1822" s="30" t="n"/>
      <c r="H1822" s="30" t="n"/>
      <c r="I1822" s="31" t="n"/>
      <c r="J1822" s="30" t="n"/>
      <c r="K1822" s="30" t="n"/>
      <c r="L1822" s="30" t="n"/>
      <c r="M1822" s="30" t="n"/>
      <c r="N1822" s="32" t="n"/>
      <c r="O1822" s="30" t="n"/>
      <c r="P1822" s="32" t="n"/>
      <c r="Q1822" s="30" t="n"/>
      <c r="R1822" s="32" t="n"/>
      <c r="S1822" s="30" t="n"/>
      <c r="T1822" s="30" t="n"/>
      <c r="U1822" s="30" t="n"/>
      <c r="V1822" s="30" t="n"/>
      <c r="W1822" s="29">
        <f>IF(H1822="","",IF(H1822="Kenya","Yes","No"))</f>
        <v/>
      </c>
      <c r="X1822" s="29">
        <f>IF(B1822="","",IF(COUNTIF($B$5:$B$3004,B1822)&gt;1,"DUPLICATE","OK"))</f>
        <v/>
      </c>
      <c r="Y1822" s="29">
        <f>IF(OR(U1822="",V1822="",V1822="Excluded"),"",IF(COUNTIFS($U$5:$U$3004,U1822,$V$5:$V$3004,"&lt;&gt;"&amp;V1822,$V$5:$V$3004,"&lt;&gt;",$V$5:$V$3004,"&lt;&gt;Excluded")&gt;0,"LEAK RISK","OK"))</f>
        <v/>
      </c>
      <c r="Z1822" s="30" t="n"/>
    </row>
    <row r="1823">
      <c r="A1823" s="30" t="n"/>
      <c r="B1823" s="30" t="n"/>
      <c r="C1823" s="30" t="n"/>
      <c r="D1823" s="30" t="n"/>
      <c r="E1823" s="30" t="n"/>
      <c r="F1823" s="30" t="n"/>
      <c r="G1823" s="30" t="n"/>
      <c r="H1823" s="30" t="n"/>
      <c r="I1823" s="31" t="n"/>
      <c r="J1823" s="30" t="n"/>
      <c r="K1823" s="30" t="n"/>
      <c r="L1823" s="30" t="n"/>
      <c r="M1823" s="30" t="n"/>
      <c r="N1823" s="32" t="n"/>
      <c r="O1823" s="30" t="n"/>
      <c r="P1823" s="32" t="n"/>
      <c r="Q1823" s="30" t="n"/>
      <c r="R1823" s="32" t="n"/>
      <c r="S1823" s="30" t="n"/>
      <c r="T1823" s="30" t="n"/>
      <c r="U1823" s="30" t="n"/>
      <c r="V1823" s="30" t="n"/>
      <c r="W1823" s="29">
        <f>IF(H1823="","",IF(H1823="Kenya","Yes","No"))</f>
        <v/>
      </c>
      <c r="X1823" s="29">
        <f>IF(B1823="","",IF(COUNTIF($B$5:$B$3004,B1823)&gt;1,"DUPLICATE","OK"))</f>
        <v/>
      </c>
      <c r="Y1823" s="29">
        <f>IF(OR(U1823="",V1823="",V1823="Excluded"),"",IF(COUNTIFS($U$5:$U$3004,U1823,$V$5:$V$3004,"&lt;&gt;"&amp;V1823,$V$5:$V$3004,"&lt;&gt;",$V$5:$V$3004,"&lt;&gt;Excluded")&gt;0,"LEAK RISK","OK"))</f>
        <v/>
      </c>
      <c r="Z1823" s="30" t="n"/>
    </row>
    <row r="1824">
      <c r="A1824" s="30" t="n"/>
      <c r="B1824" s="30" t="n"/>
      <c r="C1824" s="30" t="n"/>
      <c r="D1824" s="30" t="n"/>
      <c r="E1824" s="30" t="n"/>
      <c r="F1824" s="30" t="n"/>
      <c r="G1824" s="30" t="n"/>
      <c r="H1824" s="30" t="n"/>
      <c r="I1824" s="31" t="n"/>
      <c r="J1824" s="30" t="n"/>
      <c r="K1824" s="30" t="n"/>
      <c r="L1824" s="30" t="n"/>
      <c r="M1824" s="30" t="n"/>
      <c r="N1824" s="32" t="n"/>
      <c r="O1824" s="30" t="n"/>
      <c r="P1824" s="32" t="n"/>
      <c r="Q1824" s="30" t="n"/>
      <c r="R1824" s="32" t="n"/>
      <c r="S1824" s="30" t="n"/>
      <c r="T1824" s="30" t="n"/>
      <c r="U1824" s="30" t="n"/>
      <c r="V1824" s="30" t="n"/>
      <c r="W1824" s="29">
        <f>IF(H1824="","",IF(H1824="Kenya","Yes","No"))</f>
        <v/>
      </c>
      <c r="X1824" s="29">
        <f>IF(B1824="","",IF(COUNTIF($B$5:$B$3004,B1824)&gt;1,"DUPLICATE","OK"))</f>
        <v/>
      </c>
      <c r="Y1824" s="29">
        <f>IF(OR(U1824="",V1824="",V1824="Excluded"),"",IF(COUNTIFS($U$5:$U$3004,U1824,$V$5:$V$3004,"&lt;&gt;"&amp;V1824,$V$5:$V$3004,"&lt;&gt;",$V$5:$V$3004,"&lt;&gt;Excluded")&gt;0,"LEAK RISK","OK"))</f>
        <v/>
      </c>
      <c r="Z1824" s="30" t="n"/>
    </row>
    <row r="1825">
      <c r="A1825" s="30" t="n"/>
      <c r="B1825" s="30" t="n"/>
      <c r="C1825" s="30" t="n"/>
      <c r="D1825" s="30" t="n"/>
      <c r="E1825" s="30" t="n"/>
      <c r="F1825" s="30" t="n"/>
      <c r="G1825" s="30" t="n"/>
      <c r="H1825" s="30" t="n"/>
      <c r="I1825" s="31" t="n"/>
      <c r="J1825" s="30" t="n"/>
      <c r="K1825" s="30" t="n"/>
      <c r="L1825" s="30" t="n"/>
      <c r="M1825" s="30" t="n"/>
      <c r="N1825" s="32" t="n"/>
      <c r="O1825" s="30" t="n"/>
      <c r="P1825" s="32" t="n"/>
      <c r="Q1825" s="30" t="n"/>
      <c r="R1825" s="32" t="n"/>
      <c r="S1825" s="30" t="n"/>
      <c r="T1825" s="30" t="n"/>
      <c r="U1825" s="30" t="n"/>
      <c r="V1825" s="30" t="n"/>
      <c r="W1825" s="29">
        <f>IF(H1825="","",IF(H1825="Kenya","Yes","No"))</f>
        <v/>
      </c>
      <c r="X1825" s="29">
        <f>IF(B1825="","",IF(COUNTIF($B$5:$B$3004,B1825)&gt;1,"DUPLICATE","OK"))</f>
        <v/>
      </c>
      <c r="Y1825" s="29">
        <f>IF(OR(U1825="",V1825="",V1825="Excluded"),"",IF(COUNTIFS($U$5:$U$3004,U1825,$V$5:$V$3004,"&lt;&gt;"&amp;V1825,$V$5:$V$3004,"&lt;&gt;",$V$5:$V$3004,"&lt;&gt;Excluded")&gt;0,"LEAK RISK","OK"))</f>
        <v/>
      </c>
      <c r="Z1825" s="30" t="n"/>
    </row>
    <row r="1826">
      <c r="A1826" s="30" t="n"/>
      <c r="B1826" s="30" t="n"/>
      <c r="C1826" s="30" t="n"/>
      <c r="D1826" s="30" t="n"/>
      <c r="E1826" s="30" t="n"/>
      <c r="F1826" s="30" t="n"/>
      <c r="G1826" s="30" t="n"/>
      <c r="H1826" s="30" t="n"/>
      <c r="I1826" s="31" t="n"/>
      <c r="J1826" s="30" t="n"/>
      <c r="K1826" s="30" t="n"/>
      <c r="L1826" s="30" t="n"/>
      <c r="M1826" s="30" t="n"/>
      <c r="N1826" s="32" t="n"/>
      <c r="O1826" s="30" t="n"/>
      <c r="P1826" s="32" t="n"/>
      <c r="Q1826" s="30" t="n"/>
      <c r="R1826" s="32" t="n"/>
      <c r="S1826" s="30" t="n"/>
      <c r="T1826" s="30" t="n"/>
      <c r="U1826" s="30" t="n"/>
      <c r="V1826" s="30" t="n"/>
      <c r="W1826" s="29">
        <f>IF(H1826="","",IF(H1826="Kenya","Yes","No"))</f>
        <v/>
      </c>
      <c r="X1826" s="29">
        <f>IF(B1826="","",IF(COUNTIF($B$5:$B$3004,B1826)&gt;1,"DUPLICATE","OK"))</f>
        <v/>
      </c>
      <c r="Y1826" s="29">
        <f>IF(OR(U1826="",V1826="",V1826="Excluded"),"",IF(COUNTIFS($U$5:$U$3004,U1826,$V$5:$V$3004,"&lt;&gt;"&amp;V1826,$V$5:$V$3004,"&lt;&gt;",$V$5:$V$3004,"&lt;&gt;Excluded")&gt;0,"LEAK RISK","OK"))</f>
        <v/>
      </c>
      <c r="Z1826" s="30" t="n"/>
    </row>
    <row r="1827">
      <c r="A1827" s="30" t="n"/>
      <c r="B1827" s="30" t="n"/>
      <c r="C1827" s="30" t="n"/>
      <c r="D1827" s="30" t="n"/>
      <c r="E1827" s="30" t="n"/>
      <c r="F1827" s="30" t="n"/>
      <c r="G1827" s="30" t="n"/>
      <c r="H1827" s="30" t="n"/>
      <c r="I1827" s="31" t="n"/>
      <c r="J1827" s="30" t="n"/>
      <c r="K1827" s="30" t="n"/>
      <c r="L1827" s="30" t="n"/>
      <c r="M1827" s="30" t="n"/>
      <c r="N1827" s="32" t="n"/>
      <c r="O1827" s="30" t="n"/>
      <c r="P1827" s="32" t="n"/>
      <c r="Q1827" s="30" t="n"/>
      <c r="R1827" s="32" t="n"/>
      <c r="S1827" s="30" t="n"/>
      <c r="T1827" s="30" t="n"/>
      <c r="U1827" s="30" t="n"/>
      <c r="V1827" s="30" t="n"/>
      <c r="W1827" s="29">
        <f>IF(H1827="","",IF(H1827="Kenya","Yes","No"))</f>
        <v/>
      </c>
      <c r="X1827" s="29">
        <f>IF(B1827="","",IF(COUNTIF($B$5:$B$3004,B1827)&gt;1,"DUPLICATE","OK"))</f>
        <v/>
      </c>
      <c r="Y1827" s="29">
        <f>IF(OR(U1827="",V1827="",V1827="Excluded"),"",IF(COUNTIFS($U$5:$U$3004,U1827,$V$5:$V$3004,"&lt;&gt;"&amp;V1827,$V$5:$V$3004,"&lt;&gt;",$V$5:$V$3004,"&lt;&gt;Excluded")&gt;0,"LEAK RISK","OK"))</f>
        <v/>
      </c>
      <c r="Z1827" s="30" t="n"/>
    </row>
    <row r="1828">
      <c r="A1828" s="30" t="n"/>
      <c r="B1828" s="30" t="n"/>
      <c r="C1828" s="30" t="n"/>
      <c r="D1828" s="30" t="n"/>
      <c r="E1828" s="30" t="n"/>
      <c r="F1828" s="30" t="n"/>
      <c r="G1828" s="30" t="n"/>
      <c r="H1828" s="30" t="n"/>
      <c r="I1828" s="31" t="n"/>
      <c r="J1828" s="30" t="n"/>
      <c r="K1828" s="30" t="n"/>
      <c r="L1828" s="30" t="n"/>
      <c r="M1828" s="30" t="n"/>
      <c r="N1828" s="32" t="n"/>
      <c r="O1828" s="30" t="n"/>
      <c r="P1828" s="32" t="n"/>
      <c r="Q1828" s="30" t="n"/>
      <c r="R1828" s="32" t="n"/>
      <c r="S1828" s="30" t="n"/>
      <c r="T1828" s="30" t="n"/>
      <c r="U1828" s="30" t="n"/>
      <c r="V1828" s="30" t="n"/>
      <c r="W1828" s="29">
        <f>IF(H1828="","",IF(H1828="Kenya","Yes","No"))</f>
        <v/>
      </c>
      <c r="X1828" s="29">
        <f>IF(B1828="","",IF(COUNTIF($B$5:$B$3004,B1828)&gt;1,"DUPLICATE","OK"))</f>
        <v/>
      </c>
      <c r="Y1828" s="29">
        <f>IF(OR(U1828="",V1828="",V1828="Excluded"),"",IF(COUNTIFS($U$5:$U$3004,U1828,$V$5:$V$3004,"&lt;&gt;"&amp;V1828,$V$5:$V$3004,"&lt;&gt;",$V$5:$V$3004,"&lt;&gt;Excluded")&gt;0,"LEAK RISK","OK"))</f>
        <v/>
      </c>
      <c r="Z1828" s="30" t="n"/>
    </row>
    <row r="1829">
      <c r="A1829" s="30" t="n"/>
      <c r="B1829" s="30" t="n"/>
      <c r="C1829" s="30" t="n"/>
      <c r="D1829" s="30" t="n"/>
      <c r="E1829" s="30" t="n"/>
      <c r="F1829" s="30" t="n"/>
      <c r="G1829" s="30" t="n"/>
      <c r="H1829" s="30" t="n"/>
      <c r="I1829" s="31" t="n"/>
      <c r="J1829" s="30" t="n"/>
      <c r="K1829" s="30" t="n"/>
      <c r="L1829" s="30" t="n"/>
      <c r="M1829" s="30" t="n"/>
      <c r="N1829" s="32" t="n"/>
      <c r="O1829" s="30" t="n"/>
      <c r="P1829" s="32" t="n"/>
      <c r="Q1829" s="30" t="n"/>
      <c r="R1829" s="32" t="n"/>
      <c r="S1829" s="30" t="n"/>
      <c r="T1829" s="30" t="n"/>
      <c r="U1829" s="30" t="n"/>
      <c r="V1829" s="30" t="n"/>
      <c r="W1829" s="29">
        <f>IF(H1829="","",IF(H1829="Kenya","Yes","No"))</f>
        <v/>
      </c>
      <c r="X1829" s="29">
        <f>IF(B1829="","",IF(COUNTIF($B$5:$B$3004,B1829)&gt;1,"DUPLICATE","OK"))</f>
        <v/>
      </c>
      <c r="Y1829" s="29">
        <f>IF(OR(U1829="",V1829="",V1829="Excluded"),"",IF(COUNTIFS($U$5:$U$3004,U1829,$V$5:$V$3004,"&lt;&gt;"&amp;V1829,$V$5:$V$3004,"&lt;&gt;",$V$5:$V$3004,"&lt;&gt;Excluded")&gt;0,"LEAK RISK","OK"))</f>
        <v/>
      </c>
      <c r="Z1829" s="30" t="n"/>
    </row>
    <row r="1830">
      <c r="A1830" s="30" t="n"/>
      <c r="B1830" s="30" t="n"/>
      <c r="C1830" s="30" t="n"/>
      <c r="D1830" s="30" t="n"/>
      <c r="E1830" s="30" t="n"/>
      <c r="F1830" s="30" t="n"/>
      <c r="G1830" s="30" t="n"/>
      <c r="H1830" s="30" t="n"/>
      <c r="I1830" s="31" t="n"/>
      <c r="J1830" s="30" t="n"/>
      <c r="K1830" s="30" t="n"/>
      <c r="L1830" s="30" t="n"/>
      <c r="M1830" s="30" t="n"/>
      <c r="N1830" s="32" t="n"/>
      <c r="O1830" s="30" t="n"/>
      <c r="P1830" s="32" t="n"/>
      <c r="Q1830" s="30" t="n"/>
      <c r="R1830" s="32" t="n"/>
      <c r="S1830" s="30" t="n"/>
      <c r="T1830" s="30" t="n"/>
      <c r="U1830" s="30" t="n"/>
      <c r="V1830" s="30" t="n"/>
      <c r="W1830" s="29">
        <f>IF(H1830="","",IF(H1830="Kenya","Yes","No"))</f>
        <v/>
      </c>
      <c r="X1830" s="29">
        <f>IF(B1830="","",IF(COUNTIF($B$5:$B$3004,B1830)&gt;1,"DUPLICATE","OK"))</f>
        <v/>
      </c>
      <c r="Y1830" s="29">
        <f>IF(OR(U1830="",V1830="",V1830="Excluded"),"",IF(COUNTIFS($U$5:$U$3004,U1830,$V$5:$V$3004,"&lt;&gt;"&amp;V1830,$V$5:$V$3004,"&lt;&gt;",$V$5:$V$3004,"&lt;&gt;Excluded")&gt;0,"LEAK RISK","OK"))</f>
        <v/>
      </c>
      <c r="Z1830" s="30" t="n"/>
    </row>
    <row r="1831">
      <c r="A1831" s="30" t="n"/>
      <c r="B1831" s="30" t="n"/>
      <c r="C1831" s="30" t="n"/>
      <c r="D1831" s="30" t="n"/>
      <c r="E1831" s="30" t="n"/>
      <c r="F1831" s="30" t="n"/>
      <c r="G1831" s="30" t="n"/>
      <c r="H1831" s="30" t="n"/>
      <c r="I1831" s="31" t="n"/>
      <c r="J1831" s="30" t="n"/>
      <c r="K1831" s="30" t="n"/>
      <c r="L1831" s="30" t="n"/>
      <c r="M1831" s="30" t="n"/>
      <c r="N1831" s="32" t="n"/>
      <c r="O1831" s="30" t="n"/>
      <c r="P1831" s="32" t="n"/>
      <c r="Q1831" s="30" t="n"/>
      <c r="R1831" s="32" t="n"/>
      <c r="S1831" s="30" t="n"/>
      <c r="T1831" s="30" t="n"/>
      <c r="U1831" s="30" t="n"/>
      <c r="V1831" s="30" t="n"/>
      <c r="W1831" s="29">
        <f>IF(H1831="","",IF(H1831="Kenya","Yes","No"))</f>
        <v/>
      </c>
      <c r="X1831" s="29">
        <f>IF(B1831="","",IF(COUNTIF($B$5:$B$3004,B1831)&gt;1,"DUPLICATE","OK"))</f>
        <v/>
      </c>
      <c r="Y1831" s="29">
        <f>IF(OR(U1831="",V1831="",V1831="Excluded"),"",IF(COUNTIFS($U$5:$U$3004,U1831,$V$5:$V$3004,"&lt;&gt;"&amp;V1831,$V$5:$V$3004,"&lt;&gt;",$V$5:$V$3004,"&lt;&gt;Excluded")&gt;0,"LEAK RISK","OK"))</f>
        <v/>
      </c>
      <c r="Z1831" s="30" t="n"/>
    </row>
    <row r="1832">
      <c r="A1832" s="30" t="n"/>
      <c r="B1832" s="30" t="n"/>
      <c r="C1832" s="30" t="n"/>
      <c r="D1832" s="30" t="n"/>
      <c r="E1832" s="30" t="n"/>
      <c r="F1832" s="30" t="n"/>
      <c r="G1832" s="30" t="n"/>
      <c r="H1832" s="30" t="n"/>
      <c r="I1832" s="31" t="n"/>
      <c r="J1832" s="30" t="n"/>
      <c r="K1832" s="30" t="n"/>
      <c r="L1832" s="30" t="n"/>
      <c r="M1832" s="30" t="n"/>
      <c r="N1832" s="32" t="n"/>
      <c r="O1832" s="30" t="n"/>
      <c r="P1832" s="32" t="n"/>
      <c r="Q1832" s="30" t="n"/>
      <c r="R1832" s="32" t="n"/>
      <c r="S1832" s="30" t="n"/>
      <c r="T1832" s="30" t="n"/>
      <c r="U1832" s="30" t="n"/>
      <c r="V1832" s="30" t="n"/>
      <c r="W1832" s="29">
        <f>IF(H1832="","",IF(H1832="Kenya","Yes","No"))</f>
        <v/>
      </c>
      <c r="X1832" s="29">
        <f>IF(B1832="","",IF(COUNTIF($B$5:$B$3004,B1832)&gt;1,"DUPLICATE","OK"))</f>
        <v/>
      </c>
      <c r="Y1832" s="29">
        <f>IF(OR(U1832="",V1832="",V1832="Excluded"),"",IF(COUNTIFS($U$5:$U$3004,U1832,$V$5:$V$3004,"&lt;&gt;"&amp;V1832,$V$5:$V$3004,"&lt;&gt;",$V$5:$V$3004,"&lt;&gt;Excluded")&gt;0,"LEAK RISK","OK"))</f>
        <v/>
      </c>
      <c r="Z1832" s="30" t="n"/>
    </row>
    <row r="1833">
      <c r="A1833" s="30" t="n"/>
      <c r="B1833" s="30" t="n"/>
      <c r="C1833" s="30" t="n"/>
      <c r="D1833" s="30" t="n"/>
      <c r="E1833" s="30" t="n"/>
      <c r="F1833" s="30" t="n"/>
      <c r="G1833" s="30" t="n"/>
      <c r="H1833" s="30" t="n"/>
      <c r="I1833" s="31" t="n"/>
      <c r="J1833" s="30" t="n"/>
      <c r="K1833" s="30" t="n"/>
      <c r="L1833" s="30" t="n"/>
      <c r="M1833" s="30" t="n"/>
      <c r="N1833" s="32" t="n"/>
      <c r="O1833" s="30" t="n"/>
      <c r="P1833" s="32" t="n"/>
      <c r="Q1833" s="30" t="n"/>
      <c r="R1833" s="32" t="n"/>
      <c r="S1833" s="30" t="n"/>
      <c r="T1833" s="30" t="n"/>
      <c r="U1833" s="30" t="n"/>
      <c r="V1833" s="30" t="n"/>
      <c r="W1833" s="29">
        <f>IF(H1833="","",IF(H1833="Kenya","Yes","No"))</f>
        <v/>
      </c>
      <c r="X1833" s="29">
        <f>IF(B1833="","",IF(COUNTIF($B$5:$B$3004,B1833)&gt;1,"DUPLICATE","OK"))</f>
        <v/>
      </c>
      <c r="Y1833" s="29">
        <f>IF(OR(U1833="",V1833="",V1833="Excluded"),"",IF(COUNTIFS($U$5:$U$3004,U1833,$V$5:$V$3004,"&lt;&gt;"&amp;V1833,$V$5:$V$3004,"&lt;&gt;",$V$5:$V$3004,"&lt;&gt;Excluded")&gt;0,"LEAK RISK","OK"))</f>
        <v/>
      </c>
      <c r="Z1833" s="30" t="n"/>
    </row>
    <row r="1834">
      <c r="A1834" s="30" t="n"/>
      <c r="B1834" s="30" t="n"/>
      <c r="C1834" s="30" t="n"/>
      <c r="D1834" s="30" t="n"/>
      <c r="E1834" s="30" t="n"/>
      <c r="F1834" s="30" t="n"/>
      <c r="G1834" s="30" t="n"/>
      <c r="H1834" s="30" t="n"/>
      <c r="I1834" s="31" t="n"/>
      <c r="J1834" s="30" t="n"/>
      <c r="K1834" s="30" t="n"/>
      <c r="L1834" s="30" t="n"/>
      <c r="M1834" s="30" t="n"/>
      <c r="N1834" s="32" t="n"/>
      <c r="O1834" s="30" t="n"/>
      <c r="P1834" s="32" t="n"/>
      <c r="Q1834" s="30" t="n"/>
      <c r="R1834" s="32" t="n"/>
      <c r="S1834" s="30" t="n"/>
      <c r="T1834" s="30" t="n"/>
      <c r="U1834" s="30" t="n"/>
      <c r="V1834" s="30" t="n"/>
      <c r="W1834" s="29">
        <f>IF(H1834="","",IF(H1834="Kenya","Yes","No"))</f>
        <v/>
      </c>
      <c r="X1834" s="29">
        <f>IF(B1834="","",IF(COUNTIF($B$5:$B$3004,B1834)&gt;1,"DUPLICATE","OK"))</f>
        <v/>
      </c>
      <c r="Y1834" s="29">
        <f>IF(OR(U1834="",V1834="",V1834="Excluded"),"",IF(COUNTIFS($U$5:$U$3004,U1834,$V$5:$V$3004,"&lt;&gt;"&amp;V1834,$V$5:$V$3004,"&lt;&gt;",$V$5:$V$3004,"&lt;&gt;Excluded")&gt;0,"LEAK RISK","OK"))</f>
        <v/>
      </c>
      <c r="Z1834" s="30" t="n"/>
    </row>
    <row r="1835">
      <c r="A1835" s="30" t="n"/>
      <c r="B1835" s="30" t="n"/>
      <c r="C1835" s="30" t="n"/>
      <c r="D1835" s="30" t="n"/>
      <c r="E1835" s="30" t="n"/>
      <c r="F1835" s="30" t="n"/>
      <c r="G1835" s="30" t="n"/>
      <c r="H1835" s="30" t="n"/>
      <c r="I1835" s="31" t="n"/>
      <c r="J1835" s="30" t="n"/>
      <c r="K1835" s="30" t="n"/>
      <c r="L1835" s="30" t="n"/>
      <c r="M1835" s="30" t="n"/>
      <c r="N1835" s="32" t="n"/>
      <c r="O1835" s="30" t="n"/>
      <c r="P1835" s="32" t="n"/>
      <c r="Q1835" s="30" t="n"/>
      <c r="R1835" s="32" t="n"/>
      <c r="S1835" s="30" t="n"/>
      <c r="T1835" s="30" t="n"/>
      <c r="U1835" s="30" t="n"/>
      <c r="V1835" s="30" t="n"/>
      <c r="W1835" s="29">
        <f>IF(H1835="","",IF(H1835="Kenya","Yes","No"))</f>
        <v/>
      </c>
      <c r="X1835" s="29">
        <f>IF(B1835="","",IF(COUNTIF($B$5:$B$3004,B1835)&gt;1,"DUPLICATE","OK"))</f>
        <v/>
      </c>
      <c r="Y1835" s="29">
        <f>IF(OR(U1835="",V1835="",V1835="Excluded"),"",IF(COUNTIFS($U$5:$U$3004,U1835,$V$5:$V$3004,"&lt;&gt;"&amp;V1835,$V$5:$V$3004,"&lt;&gt;",$V$5:$V$3004,"&lt;&gt;Excluded")&gt;0,"LEAK RISK","OK"))</f>
        <v/>
      </c>
      <c r="Z1835" s="30" t="n"/>
    </row>
    <row r="1836">
      <c r="A1836" s="30" t="n"/>
      <c r="B1836" s="30" t="n"/>
      <c r="C1836" s="30" t="n"/>
      <c r="D1836" s="30" t="n"/>
      <c r="E1836" s="30" t="n"/>
      <c r="F1836" s="30" t="n"/>
      <c r="G1836" s="30" t="n"/>
      <c r="H1836" s="30" t="n"/>
      <c r="I1836" s="31" t="n"/>
      <c r="J1836" s="30" t="n"/>
      <c r="K1836" s="30" t="n"/>
      <c r="L1836" s="30" t="n"/>
      <c r="M1836" s="30" t="n"/>
      <c r="N1836" s="32" t="n"/>
      <c r="O1836" s="30" t="n"/>
      <c r="P1836" s="32" t="n"/>
      <c r="Q1836" s="30" t="n"/>
      <c r="R1836" s="32" t="n"/>
      <c r="S1836" s="30" t="n"/>
      <c r="T1836" s="30" t="n"/>
      <c r="U1836" s="30" t="n"/>
      <c r="V1836" s="30" t="n"/>
      <c r="W1836" s="29">
        <f>IF(H1836="","",IF(H1836="Kenya","Yes","No"))</f>
        <v/>
      </c>
      <c r="X1836" s="29">
        <f>IF(B1836="","",IF(COUNTIF($B$5:$B$3004,B1836)&gt;1,"DUPLICATE","OK"))</f>
        <v/>
      </c>
      <c r="Y1836" s="29">
        <f>IF(OR(U1836="",V1836="",V1836="Excluded"),"",IF(COUNTIFS($U$5:$U$3004,U1836,$V$5:$V$3004,"&lt;&gt;"&amp;V1836,$V$5:$V$3004,"&lt;&gt;",$V$5:$V$3004,"&lt;&gt;Excluded")&gt;0,"LEAK RISK","OK"))</f>
        <v/>
      </c>
      <c r="Z1836" s="30" t="n"/>
    </row>
    <row r="1837">
      <c r="A1837" s="30" t="n"/>
      <c r="B1837" s="30" t="n"/>
      <c r="C1837" s="30" t="n"/>
      <c r="D1837" s="30" t="n"/>
      <c r="E1837" s="30" t="n"/>
      <c r="F1837" s="30" t="n"/>
      <c r="G1837" s="30" t="n"/>
      <c r="H1837" s="30" t="n"/>
      <c r="I1837" s="31" t="n"/>
      <c r="J1837" s="30" t="n"/>
      <c r="K1837" s="30" t="n"/>
      <c r="L1837" s="30" t="n"/>
      <c r="M1837" s="30" t="n"/>
      <c r="N1837" s="32" t="n"/>
      <c r="O1837" s="30" t="n"/>
      <c r="P1837" s="32" t="n"/>
      <c r="Q1837" s="30" t="n"/>
      <c r="R1837" s="32" t="n"/>
      <c r="S1837" s="30" t="n"/>
      <c r="T1837" s="30" t="n"/>
      <c r="U1837" s="30" t="n"/>
      <c r="V1837" s="30" t="n"/>
      <c r="W1837" s="29">
        <f>IF(H1837="","",IF(H1837="Kenya","Yes","No"))</f>
        <v/>
      </c>
      <c r="X1837" s="29">
        <f>IF(B1837="","",IF(COUNTIF($B$5:$B$3004,B1837)&gt;1,"DUPLICATE","OK"))</f>
        <v/>
      </c>
      <c r="Y1837" s="29">
        <f>IF(OR(U1837="",V1837="",V1837="Excluded"),"",IF(COUNTIFS($U$5:$U$3004,U1837,$V$5:$V$3004,"&lt;&gt;"&amp;V1837,$V$5:$V$3004,"&lt;&gt;",$V$5:$V$3004,"&lt;&gt;Excluded")&gt;0,"LEAK RISK","OK"))</f>
        <v/>
      </c>
      <c r="Z1837" s="30" t="n"/>
    </row>
    <row r="1838">
      <c r="A1838" s="30" t="n"/>
      <c r="B1838" s="30" t="n"/>
      <c r="C1838" s="30" t="n"/>
      <c r="D1838" s="30" t="n"/>
      <c r="E1838" s="30" t="n"/>
      <c r="F1838" s="30" t="n"/>
      <c r="G1838" s="30" t="n"/>
      <c r="H1838" s="30" t="n"/>
      <c r="I1838" s="31" t="n"/>
      <c r="J1838" s="30" t="n"/>
      <c r="K1838" s="30" t="n"/>
      <c r="L1838" s="30" t="n"/>
      <c r="M1838" s="30" t="n"/>
      <c r="N1838" s="32" t="n"/>
      <c r="O1838" s="30" t="n"/>
      <c r="P1838" s="32" t="n"/>
      <c r="Q1838" s="30" t="n"/>
      <c r="R1838" s="32" t="n"/>
      <c r="S1838" s="30" t="n"/>
      <c r="T1838" s="30" t="n"/>
      <c r="U1838" s="30" t="n"/>
      <c r="V1838" s="30" t="n"/>
      <c r="W1838" s="29">
        <f>IF(H1838="","",IF(H1838="Kenya","Yes","No"))</f>
        <v/>
      </c>
      <c r="X1838" s="29">
        <f>IF(B1838="","",IF(COUNTIF($B$5:$B$3004,B1838)&gt;1,"DUPLICATE","OK"))</f>
        <v/>
      </c>
      <c r="Y1838" s="29">
        <f>IF(OR(U1838="",V1838="",V1838="Excluded"),"",IF(COUNTIFS($U$5:$U$3004,U1838,$V$5:$V$3004,"&lt;&gt;"&amp;V1838,$V$5:$V$3004,"&lt;&gt;",$V$5:$V$3004,"&lt;&gt;Excluded")&gt;0,"LEAK RISK","OK"))</f>
        <v/>
      </c>
      <c r="Z1838" s="30" t="n"/>
    </row>
    <row r="1839">
      <c r="A1839" s="30" t="n"/>
      <c r="B1839" s="30" t="n"/>
      <c r="C1839" s="30" t="n"/>
      <c r="D1839" s="30" t="n"/>
      <c r="E1839" s="30" t="n"/>
      <c r="F1839" s="30" t="n"/>
      <c r="G1839" s="30" t="n"/>
      <c r="H1839" s="30" t="n"/>
      <c r="I1839" s="31" t="n"/>
      <c r="J1839" s="30" t="n"/>
      <c r="K1839" s="30" t="n"/>
      <c r="L1839" s="30" t="n"/>
      <c r="M1839" s="30" t="n"/>
      <c r="N1839" s="32" t="n"/>
      <c r="O1839" s="30" t="n"/>
      <c r="P1839" s="32" t="n"/>
      <c r="Q1839" s="30" t="n"/>
      <c r="R1839" s="32" t="n"/>
      <c r="S1839" s="30" t="n"/>
      <c r="T1839" s="30" t="n"/>
      <c r="U1839" s="30" t="n"/>
      <c r="V1839" s="30" t="n"/>
      <c r="W1839" s="29">
        <f>IF(H1839="","",IF(H1839="Kenya","Yes","No"))</f>
        <v/>
      </c>
      <c r="X1839" s="29">
        <f>IF(B1839="","",IF(COUNTIF($B$5:$B$3004,B1839)&gt;1,"DUPLICATE","OK"))</f>
        <v/>
      </c>
      <c r="Y1839" s="29">
        <f>IF(OR(U1839="",V1839="",V1839="Excluded"),"",IF(COUNTIFS($U$5:$U$3004,U1839,$V$5:$V$3004,"&lt;&gt;"&amp;V1839,$V$5:$V$3004,"&lt;&gt;",$V$5:$V$3004,"&lt;&gt;Excluded")&gt;0,"LEAK RISK","OK"))</f>
        <v/>
      </c>
      <c r="Z1839" s="30" t="n"/>
    </row>
    <row r="1840">
      <c r="A1840" s="30" t="n"/>
      <c r="B1840" s="30" t="n"/>
      <c r="C1840" s="30" t="n"/>
      <c r="D1840" s="30" t="n"/>
      <c r="E1840" s="30" t="n"/>
      <c r="F1840" s="30" t="n"/>
      <c r="G1840" s="30" t="n"/>
      <c r="H1840" s="30" t="n"/>
      <c r="I1840" s="31" t="n"/>
      <c r="J1840" s="30" t="n"/>
      <c r="K1840" s="30" t="n"/>
      <c r="L1840" s="30" t="n"/>
      <c r="M1840" s="30" t="n"/>
      <c r="N1840" s="32" t="n"/>
      <c r="O1840" s="30" t="n"/>
      <c r="P1840" s="32" t="n"/>
      <c r="Q1840" s="30" t="n"/>
      <c r="R1840" s="32" t="n"/>
      <c r="S1840" s="30" t="n"/>
      <c r="T1840" s="30" t="n"/>
      <c r="U1840" s="30" t="n"/>
      <c r="V1840" s="30" t="n"/>
      <c r="W1840" s="29">
        <f>IF(H1840="","",IF(H1840="Kenya","Yes","No"))</f>
        <v/>
      </c>
      <c r="X1840" s="29">
        <f>IF(B1840="","",IF(COUNTIF($B$5:$B$3004,B1840)&gt;1,"DUPLICATE","OK"))</f>
        <v/>
      </c>
      <c r="Y1840" s="29">
        <f>IF(OR(U1840="",V1840="",V1840="Excluded"),"",IF(COUNTIFS($U$5:$U$3004,U1840,$V$5:$V$3004,"&lt;&gt;"&amp;V1840,$V$5:$V$3004,"&lt;&gt;",$V$5:$V$3004,"&lt;&gt;Excluded")&gt;0,"LEAK RISK","OK"))</f>
        <v/>
      </c>
      <c r="Z1840" s="30" t="n"/>
    </row>
    <row r="1841">
      <c r="A1841" s="30" t="n"/>
      <c r="B1841" s="30" t="n"/>
      <c r="C1841" s="30" t="n"/>
      <c r="D1841" s="30" t="n"/>
      <c r="E1841" s="30" t="n"/>
      <c r="F1841" s="30" t="n"/>
      <c r="G1841" s="30" t="n"/>
      <c r="H1841" s="30" t="n"/>
      <c r="I1841" s="31" t="n"/>
      <c r="J1841" s="30" t="n"/>
      <c r="K1841" s="30" t="n"/>
      <c r="L1841" s="30" t="n"/>
      <c r="M1841" s="30" t="n"/>
      <c r="N1841" s="32" t="n"/>
      <c r="O1841" s="30" t="n"/>
      <c r="P1841" s="32" t="n"/>
      <c r="Q1841" s="30" t="n"/>
      <c r="R1841" s="32" t="n"/>
      <c r="S1841" s="30" t="n"/>
      <c r="T1841" s="30" t="n"/>
      <c r="U1841" s="30" t="n"/>
      <c r="V1841" s="30" t="n"/>
      <c r="W1841" s="29">
        <f>IF(H1841="","",IF(H1841="Kenya","Yes","No"))</f>
        <v/>
      </c>
      <c r="X1841" s="29">
        <f>IF(B1841="","",IF(COUNTIF($B$5:$B$3004,B1841)&gt;1,"DUPLICATE","OK"))</f>
        <v/>
      </c>
      <c r="Y1841" s="29">
        <f>IF(OR(U1841="",V1841="",V1841="Excluded"),"",IF(COUNTIFS($U$5:$U$3004,U1841,$V$5:$V$3004,"&lt;&gt;"&amp;V1841,$V$5:$V$3004,"&lt;&gt;",$V$5:$V$3004,"&lt;&gt;Excluded")&gt;0,"LEAK RISK","OK"))</f>
        <v/>
      </c>
      <c r="Z1841" s="30" t="n"/>
    </row>
    <row r="1842">
      <c r="A1842" s="30" t="n"/>
      <c r="B1842" s="30" t="n"/>
      <c r="C1842" s="30" t="n"/>
      <c r="D1842" s="30" t="n"/>
      <c r="E1842" s="30" t="n"/>
      <c r="F1842" s="30" t="n"/>
      <c r="G1842" s="30" t="n"/>
      <c r="H1842" s="30" t="n"/>
      <c r="I1842" s="31" t="n"/>
      <c r="J1842" s="30" t="n"/>
      <c r="K1842" s="30" t="n"/>
      <c r="L1842" s="30" t="n"/>
      <c r="M1842" s="30" t="n"/>
      <c r="N1842" s="32" t="n"/>
      <c r="O1842" s="30" t="n"/>
      <c r="P1842" s="32" t="n"/>
      <c r="Q1842" s="30" t="n"/>
      <c r="R1842" s="32" t="n"/>
      <c r="S1842" s="30" t="n"/>
      <c r="T1842" s="30" t="n"/>
      <c r="U1842" s="30" t="n"/>
      <c r="V1842" s="30" t="n"/>
      <c r="W1842" s="29">
        <f>IF(H1842="","",IF(H1842="Kenya","Yes","No"))</f>
        <v/>
      </c>
      <c r="X1842" s="29">
        <f>IF(B1842="","",IF(COUNTIF($B$5:$B$3004,B1842)&gt;1,"DUPLICATE","OK"))</f>
        <v/>
      </c>
      <c r="Y1842" s="29">
        <f>IF(OR(U1842="",V1842="",V1842="Excluded"),"",IF(COUNTIFS($U$5:$U$3004,U1842,$V$5:$V$3004,"&lt;&gt;"&amp;V1842,$V$5:$V$3004,"&lt;&gt;",$V$5:$V$3004,"&lt;&gt;Excluded")&gt;0,"LEAK RISK","OK"))</f>
        <v/>
      </c>
      <c r="Z1842" s="30" t="n"/>
    </row>
    <row r="1843">
      <c r="A1843" s="30" t="n"/>
      <c r="B1843" s="30" t="n"/>
      <c r="C1843" s="30" t="n"/>
      <c r="D1843" s="30" t="n"/>
      <c r="E1843" s="30" t="n"/>
      <c r="F1843" s="30" t="n"/>
      <c r="G1843" s="30" t="n"/>
      <c r="H1843" s="30" t="n"/>
      <c r="I1843" s="31" t="n"/>
      <c r="J1843" s="30" t="n"/>
      <c r="K1843" s="30" t="n"/>
      <c r="L1843" s="30" t="n"/>
      <c r="M1843" s="30" t="n"/>
      <c r="N1843" s="32" t="n"/>
      <c r="O1843" s="30" t="n"/>
      <c r="P1843" s="32" t="n"/>
      <c r="Q1843" s="30" t="n"/>
      <c r="R1843" s="32" t="n"/>
      <c r="S1843" s="30" t="n"/>
      <c r="T1843" s="30" t="n"/>
      <c r="U1843" s="30" t="n"/>
      <c r="V1843" s="30" t="n"/>
      <c r="W1843" s="29">
        <f>IF(H1843="","",IF(H1843="Kenya","Yes","No"))</f>
        <v/>
      </c>
      <c r="X1843" s="29">
        <f>IF(B1843="","",IF(COUNTIF($B$5:$B$3004,B1843)&gt;1,"DUPLICATE","OK"))</f>
        <v/>
      </c>
      <c r="Y1843" s="29">
        <f>IF(OR(U1843="",V1843="",V1843="Excluded"),"",IF(COUNTIFS($U$5:$U$3004,U1843,$V$5:$V$3004,"&lt;&gt;"&amp;V1843,$V$5:$V$3004,"&lt;&gt;",$V$5:$V$3004,"&lt;&gt;Excluded")&gt;0,"LEAK RISK","OK"))</f>
        <v/>
      </c>
      <c r="Z1843" s="30" t="n"/>
    </row>
    <row r="1844">
      <c r="A1844" s="30" t="n"/>
      <c r="B1844" s="30" t="n"/>
      <c r="C1844" s="30" t="n"/>
      <c r="D1844" s="30" t="n"/>
      <c r="E1844" s="30" t="n"/>
      <c r="F1844" s="30" t="n"/>
      <c r="G1844" s="30" t="n"/>
      <c r="H1844" s="30" t="n"/>
      <c r="I1844" s="31" t="n"/>
      <c r="J1844" s="30" t="n"/>
      <c r="K1844" s="30" t="n"/>
      <c r="L1844" s="30" t="n"/>
      <c r="M1844" s="30" t="n"/>
      <c r="N1844" s="32" t="n"/>
      <c r="O1844" s="30" t="n"/>
      <c r="P1844" s="32" t="n"/>
      <c r="Q1844" s="30" t="n"/>
      <c r="R1844" s="32" t="n"/>
      <c r="S1844" s="30" t="n"/>
      <c r="T1844" s="30" t="n"/>
      <c r="U1844" s="30" t="n"/>
      <c r="V1844" s="30" t="n"/>
      <c r="W1844" s="29">
        <f>IF(H1844="","",IF(H1844="Kenya","Yes","No"))</f>
        <v/>
      </c>
      <c r="X1844" s="29">
        <f>IF(B1844="","",IF(COUNTIF($B$5:$B$3004,B1844)&gt;1,"DUPLICATE","OK"))</f>
        <v/>
      </c>
      <c r="Y1844" s="29">
        <f>IF(OR(U1844="",V1844="",V1844="Excluded"),"",IF(COUNTIFS($U$5:$U$3004,U1844,$V$5:$V$3004,"&lt;&gt;"&amp;V1844,$V$5:$V$3004,"&lt;&gt;",$V$5:$V$3004,"&lt;&gt;Excluded")&gt;0,"LEAK RISK","OK"))</f>
        <v/>
      </c>
      <c r="Z1844" s="30" t="n"/>
    </row>
    <row r="1845">
      <c r="A1845" s="30" t="n"/>
      <c r="B1845" s="30" t="n"/>
      <c r="C1845" s="30" t="n"/>
      <c r="D1845" s="30" t="n"/>
      <c r="E1845" s="30" t="n"/>
      <c r="F1845" s="30" t="n"/>
      <c r="G1845" s="30" t="n"/>
      <c r="H1845" s="30" t="n"/>
      <c r="I1845" s="31" t="n"/>
      <c r="J1845" s="30" t="n"/>
      <c r="K1845" s="30" t="n"/>
      <c r="L1845" s="30" t="n"/>
      <c r="M1845" s="30" t="n"/>
      <c r="N1845" s="32" t="n"/>
      <c r="O1845" s="30" t="n"/>
      <c r="P1845" s="32" t="n"/>
      <c r="Q1845" s="30" t="n"/>
      <c r="R1845" s="32" t="n"/>
      <c r="S1845" s="30" t="n"/>
      <c r="T1845" s="30" t="n"/>
      <c r="U1845" s="30" t="n"/>
      <c r="V1845" s="30" t="n"/>
      <c r="W1845" s="29">
        <f>IF(H1845="","",IF(H1845="Kenya","Yes","No"))</f>
        <v/>
      </c>
      <c r="X1845" s="29">
        <f>IF(B1845="","",IF(COUNTIF($B$5:$B$3004,B1845)&gt;1,"DUPLICATE","OK"))</f>
        <v/>
      </c>
      <c r="Y1845" s="29">
        <f>IF(OR(U1845="",V1845="",V1845="Excluded"),"",IF(COUNTIFS($U$5:$U$3004,U1845,$V$5:$V$3004,"&lt;&gt;"&amp;V1845,$V$5:$V$3004,"&lt;&gt;",$V$5:$V$3004,"&lt;&gt;Excluded")&gt;0,"LEAK RISK","OK"))</f>
        <v/>
      </c>
      <c r="Z1845" s="30" t="n"/>
    </row>
    <row r="1846">
      <c r="A1846" s="30" t="n"/>
      <c r="B1846" s="30" t="n"/>
      <c r="C1846" s="30" t="n"/>
      <c r="D1846" s="30" t="n"/>
      <c r="E1846" s="30" t="n"/>
      <c r="F1846" s="30" t="n"/>
      <c r="G1846" s="30" t="n"/>
      <c r="H1846" s="30" t="n"/>
      <c r="I1846" s="31" t="n"/>
      <c r="J1846" s="30" t="n"/>
      <c r="K1846" s="30" t="n"/>
      <c r="L1846" s="30" t="n"/>
      <c r="M1846" s="30" t="n"/>
      <c r="N1846" s="32" t="n"/>
      <c r="O1846" s="30" t="n"/>
      <c r="P1846" s="32" t="n"/>
      <c r="Q1846" s="30" t="n"/>
      <c r="R1846" s="32" t="n"/>
      <c r="S1846" s="30" t="n"/>
      <c r="T1846" s="30" t="n"/>
      <c r="U1846" s="30" t="n"/>
      <c r="V1846" s="30" t="n"/>
      <c r="W1846" s="29">
        <f>IF(H1846="","",IF(H1846="Kenya","Yes","No"))</f>
        <v/>
      </c>
      <c r="X1846" s="29">
        <f>IF(B1846="","",IF(COUNTIF($B$5:$B$3004,B1846)&gt;1,"DUPLICATE","OK"))</f>
        <v/>
      </c>
      <c r="Y1846" s="29">
        <f>IF(OR(U1846="",V1846="",V1846="Excluded"),"",IF(COUNTIFS($U$5:$U$3004,U1846,$V$5:$V$3004,"&lt;&gt;"&amp;V1846,$V$5:$V$3004,"&lt;&gt;",$V$5:$V$3004,"&lt;&gt;Excluded")&gt;0,"LEAK RISK","OK"))</f>
        <v/>
      </c>
      <c r="Z1846" s="30" t="n"/>
    </row>
    <row r="1847">
      <c r="A1847" s="30" t="n"/>
      <c r="B1847" s="30" t="n"/>
      <c r="C1847" s="30" t="n"/>
      <c r="D1847" s="30" t="n"/>
      <c r="E1847" s="30" t="n"/>
      <c r="F1847" s="30" t="n"/>
      <c r="G1847" s="30" t="n"/>
      <c r="H1847" s="30" t="n"/>
      <c r="I1847" s="31" t="n"/>
      <c r="J1847" s="30" t="n"/>
      <c r="K1847" s="30" t="n"/>
      <c r="L1847" s="30" t="n"/>
      <c r="M1847" s="30" t="n"/>
      <c r="N1847" s="32" t="n"/>
      <c r="O1847" s="30" t="n"/>
      <c r="P1847" s="32" t="n"/>
      <c r="Q1847" s="30" t="n"/>
      <c r="R1847" s="32" t="n"/>
      <c r="S1847" s="30" t="n"/>
      <c r="T1847" s="30" t="n"/>
      <c r="U1847" s="30" t="n"/>
      <c r="V1847" s="30" t="n"/>
      <c r="W1847" s="29">
        <f>IF(H1847="","",IF(H1847="Kenya","Yes","No"))</f>
        <v/>
      </c>
      <c r="X1847" s="29">
        <f>IF(B1847="","",IF(COUNTIF($B$5:$B$3004,B1847)&gt;1,"DUPLICATE","OK"))</f>
        <v/>
      </c>
      <c r="Y1847" s="29">
        <f>IF(OR(U1847="",V1847="",V1847="Excluded"),"",IF(COUNTIFS($U$5:$U$3004,U1847,$V$5:$V$3004,"&lt;&gt;"&amp;V1847,$V$5:$V$3004,"&lt;&gt;",$V$5:$V$3004,"&lt;&gt;Excluded")&gt;0,"LEAK RISK","OK"))</f>
        <v/>
      </c>
      <c r="Z1847" s="30" t="n"/>
    </row>
    <row r="1848">
      <c r="A1848" s="30" t="n"/>
      <c r="B1848" s="30" t="n"/>
      <c r="C1848" s="30" t="n"/>
      <c r="D1848" s="30" t="n"/>
      <c r="E1848" s="30" t="n"/>
      <c r="F1848" s="30" t="n"/>
      <c r="G1848" s="30" t="n"/>
      <c r="H1848" s="30" t="n"/>
      <c r="I1848" s="31" t="n"/>
      <c r="J1848" s="30" t="n"/>
      <c r="K1848" s="30" t="n"/>
      <c r="L1848" s="30" t="n"/>
      <c r="M1848" s="30" t="n"/>
      <c r="N1848" s="32" t="n"/>
      <c r="O1848" s="30" t="n"/>
      <c r="P1848" s="32" t="n"/>
      <c r="Q1848" s="30" t="n"/>
      <c r="R1848" s="32" t="n"/>
      <c r="S1848" s="30" t="n"/>
      <c r="T1848" s="30" t="n"/>
      <c r="U1848" s="30" t="n"/>
      <c r="V1848" s="30" t="n"/>
      <c r="W1848" s="29">
        <f>IF(H1848="","",IF(H1848="Kenya","Yes","No"))</f>
        <v/>
      </c>
      <c r="X1848" s="29">
        <f>IF(B1848="","",IF(COUNTIF($B$5:$B$3004,B1848)&gt;1,"DUPLICATE","OK"))</f>
        <v/>
      </c>
      <c r="Y1848" s="29">
        <f>IF(OR(U1848="",V1848="",V1848="Excluded"),"",IF(COUNTIFS($U$5:$U$3004,U1848,$V$5:$V$3004,"&lt;&gt;"&amp;V1848,$V$5:$V$3004,"&lt;&gt;",$V$5:$V$3004,"&lt;&gt;Excluded")&gt;0,"LEAK RISK","OK"))</f>
        <v/>
      </c>
      <c r="Z1848" s="30" t="n"/>
    </row>
    <row r="1849">
      <c r="A1849" s="30" t="n"/>
      <c r="B1849" s="30" t="n"/>
      <c r="C1849" s="30" t="n"/>
      <c r="D1849" s="30" t="n"/>
      <c r="E1849" s="30" t="n"/>
      <c r="F1849" s="30" t="n"/>
      <c r="G1849" s="30" t="n"/>
      <c r="H1849" s="30" t="n"/>
      <c r="I1849" s="31" t="n"/>
      <c r="J1849" s="30" t="n"/>
      <c r="K1849" s="30" t="n"/>
      <c r="L1849" s="30" t="n"/>
      <c r="M1849" s="30" t="n"/>
      <c r="N1849" s="32" t="n"/>
      <c r="O1849" s="30" t="n"/>
      <c r="P1849" s="32" t="n"/>
      <c r="Q1849" s="30" t="n"/>
      <c r="R1849" s="32" t="n"/>
      <c r="S1849" s="30" t="n"/>
      <c r="T1849" s="30" t="n"/>
      <c r="U1849" s="30" t="n"/>
      <c r="V1849" s="30" t="n"/>
      <c r="W1849" s="29">
        <f>IF(H1849="","",IF(H1849="Kenya","Yes","No"))</f>
        <v/>
      </c>
      <c r="X1849" s="29">
        <f>IF(B1849="","",IF(COUNTIF($B$5:$B$3004,B1849)&gt;1,"DUPLICATE","OK"))</f>
        <v/>
      </c>
      <c r="Y1849" s="29">
        <f>IF(OR(U1849="",V1849="",V1849="Excluded"),"",IF(COUNTIFS($U$5:$U$3004,U1849,$V$5:$V$3004,"&lt;&gt;"&amp;V1849,$V$5:$V$3004,"&lt;&gt;",$V$5:$V$3004,"&lt;&gt;Excluded")&gt;0,"LEAK RISK","OK"))</f>
        <v/>
      </c>
      <c r="Z1849" s="30" t="n"/>
    </row>
    <row r="1850">
      <c r="A1850" s="30" t="n"/>
      <c r="B1850" s="30" t="n"/>
      <c r="C1850" s="30" t="n"/>
      <c r="D1850" s="30" t="n"/>
      <c r="E1850" s="30" t="n"/>
      <c r="F1850" s="30" t="n"/>
      <c r="G1850" s="30" t="n"/>
      <c r="H1850" s="30" t="n"/>
      <c r="I1850" s="31" t="n"/>
      <c r="J1850" s="30" t="n"/>
      <c r="K1850" s="30" t="n"/>
      <c r="L1850" s="30" t="n"/>
      <c r="M1850" s="30" t="n"/>
      <c r="N1850" s="32" t="n"/>
      <c r="O1850" s="30" t="n"/>
      <c r="P1850" s="32" t="n"/>
      <c r="Q1850" s="30" t="n"/>
      <c r="R1850" s="32" t="n"/>
      <c r="S1850" s="30" t="n"/>
      <c r="T1850" s="30" t="n"/>
      <c r="U1850" s="30" t="n"/>
      <c r="V1850" s="30" t="n"/>
      <c r="W1850" s="29">
        <f>IF(H1850="","",IF(H1850="Kenya","Yes","No"))</f>
        <v/>
      </c>
      <c r="X1850" s="29">
        <f>IF(B1850="","",IF(COUNTIF($B$5:$B$3004,B1850)&gt;1,"DUPLICATE","OK"))</f>
        <v/>
      </c>
      <c r="Y1850" s="29">
        <f>IF(OR(U1850="",V1850="",V1850="Excluded"),"",IF(COUNTIFS($U$5:$U$3004,U1850,$V$5:$V$3004,"&lt;&gt;"&amp;V1850,$V$5:$V$3004,"&lt;&gt;",$V$5:$V$3004,"&lt;&gt;Excluded")&gt;0,"LEAK RISK","OK"))</f>
        <v/>
      </c>
      <c r="Z1850" s="30" t="n"/>
    </row>
    <row r="1851">
      <c r="A1851" s="30" t="n"/>
      <c r="B1851" s="30" t="n"/>
      <c r="C1851" s="30" t="n"/>
      <c r="D1851" s="30" t="n"/>
      <c r="E1851" s="30" t="n"/>
      <c r="F1851" s="30" t="n"/>
      <c r="G1851" s="30" t="n"/>
      <c r="H1851" s="30" t="n"/>
      <c r="I1851" s="31" t="n"/>
      <c r="J1851" s="30" t="n"/>
      <c r="K1851" s="30" t="n"/>
      <c r="L1851" s="30" t="n"/>
      <c r="M1851" s="30" t="n"/>
      <c r="N1851" s="32" t="n"/>
      <c r="O1851" s="30" t="n"/>
      <c r="P1851" s="32" t="n"/>
      <c r="Q1851" s="30" t="n"/>
      <c r="R1851" s="32" t="n"/>
      <c r="S1851" s="30" t="n"/>
      <c r="T1851" s="30" t="n"/>
      <c r="U1851" s="30" t="n"/>
      <c r="V1851" s="30" t="n"/>
      <c r="W1851" s="29">
        <f>IF(H1851="","",IF(H1851="Kenya","Yes","No"))</f>
        <v/>
      </c>
      <c r="X1851" s="29">
        <f>IF(B1851="","",IF(COUNTIF($B$5:$B$3004,B1851)&gt;1,"DUPLICATE","OK"))</f>
        <v/>
      </c>
      <c r="Y1851" s="29">
        <f>IF(OR(U1851="",V1851="",V1851="Excluded"),"",IF(COUNTIFS($U$5:$U$3004,U1851,$V$5:$V$3004,"&lt;&gt;"&amp;V1851,$V$5:$V$3004,"&lt;&gt;",$V$5:$V$3004,"&lt;&gt;Excluded")&gt;0,"LEAK RISK","OK"))</f>
        <v/>
      </c>
      <c r="Z1851" s="30" t="n"/>
    </row>
    <row r="1852">
      <c r="A1852" s="30" t="n"/>
      <c r="B1852" s="30" t="n"/>
      <c r="C1852" s="30" t="n"/>
      <c r="D1852" s="30" t="n"/>
      <c r="E1852" s="30" t="n"/>
      <c r="F1852" s="30" t="n"/>
      <c r="G1852" s="30" t="n"/>
      <c r="H1852" s="30" t="n"/>
      <c r="I1852" s="31" t="n"/>
      <c r="J1852" s="30" t="n"/>
      <c r="K1852" s="30" t="n"/>
      <c r="L1852" s="30" t="n"/>
      <c r="M1852" s="30" t="n"/>
      <c r="N1852" s="32" t="n"/>
      <c r="O1852" s="30" t="n"/>
      <c r="P1852" s="32" t="n"/>
      <c r="Q1852" s="30" t="n"/>
      <c r="R1852" s="32" t="n"/>
      <c r="S1852" s="30" t="n"/>
      <c r="T1852" s="30" t="n"/>
      <c r="U1852" s="30" t="n"/>
      <c r="V1852" s="30" t="n"/>
      <c r="W1852" s="29">
        <f>IF(H1852="","",IF(H1852="Kenya","Yes","No"))</f>
        <v/>
      </c>
      <c r="X1852" s="29">
        <f>IF(B1852="","",IF(COUNTIF($B$5:$B$3004,B1852)&gt;1,"DUPLICATE","OK"))</f>
        <v/>
      </c>
      <c r="Y1852" s="29">
        <f>IF(OR(U1852="",V1852="",V1852="Excluded"),"",IF(COUNTIFS($U$5:$U$3004,U1852,$V$5:$V$3004,"&lt;&gt;"&amp;V1852,$V$5:$V$3004,"&lt;&gt;",$V$5:$V$3004,"&lt;&gt;Excluded")&gt;0,"LEAK RISK","OK"))</f>
        <v/>
      </c>
      <c r="Z1852" s="30" t="n"/>
    </row>
    <row r="1853">
      <c r="A1853" s="30" t="n"/>
      <c r="B1853" s="30" t="n"/>
      <c r="C1853" s="30" t="n"/>
      <c r="D1853" s="30" t="n"/>
      <c r="E1853" s="30" t="n"/>
      <c r="F1853" s="30" t="n"/>
      <c r="G1853" s="30" t="n"/>
      <c r="H1853" s="30" t="n"/>
      <c r="I1853" s="31" t="n"/>
      <c r="J1853" s="30" t="n"/>
      <c r="K1853" s="30" t="n"/>
      <c r="L1853" s="30" t="n"/>
      <c r="M1853" s="30" t="n"/>
      <c r="N1853" s="32" t="n"/>
      <c r="O1853" s="30" t="n"/>
      <c r="P1853" s="32" t="n"/>
      <c r="Q1853" s="30" t="n"/>
      <c r="R1853" s="32" t="n"/>
      <c r="S1853" s="30" t="n"/>
      <c r="T1853" s="30" t="n"/>
      <c r="U1853" s="30" t="n"/>
      <c r="V1853" s="30" t="n"/>
      <c r="W1853" s="29">
        <f>IF(H1853="","",IF(H1853="Kenya","Yes","No"))</f>
        <v/>
      </c>
      <c r="X1853" s="29">
        <f>IF(B1853="","",IF(COUNTIF($B$5:$B$3004,B1853)&gt;1,"DUPLICATE","OK"))</f>
        <v/>
      </c>
      <c r="Y1853" s="29">
        <f>IF(OR(U1853="",V1853="",V1853="Excluded"),"",IF(COUNTIFS($U$5:$U$3004,U1853,$V$5:$V$3004,"&lt;&gt;"&amp;V1853,$V$5:$V$3004,"&lt;&gt;",$V$5:$V$3004,"&lt;&gt;Excluded")&gt;0,"LEAK RISK","OK"))</f>
        <v/>
      </c>
      <c r="Z1853" s="30" t="n"/>
    </row>
    <row r="1854">
      <c r="A1854" s="30" t="n"/>
      <c r="B1854" s="30" t="n"/>
      <c r="C1854" s="30" t="n"/>
      <c r="D1854" s="30" t="n"/>
      <c r="E1854" s="30" t="n"/>
      <c r="F1854" s="30" t="n"/>
      <c r="G1854" s="30" t="n"/>
      <c r="H1854" s="30" t="n"/>
      <c r="I1854" s="31" t="n"/>
      <c r="J1854" s="30" t="n"/>
      <c r="K1854" s="30" t="n"/>
      <c r="L1854" s="30" t="n"/>
      <c r="M1854" s="30" t="n"/>
      <c r="N1854" s="32" t="n"/>
      <c r="O1854" s="30" t="n"/>
      <c r="P1854" s="32" t="n"/>
      <c r="Q1854" s="30" t="n"/>
      <c r="R1854" s="32" t="n"/>
      <c r="S1854" s="30" t="n"/>
      <c r="T1854" s="30" t="n"/>
      <c r="U1854" s="30" t="n"/>
      <c r="V1854" s="30" t="n"/>
      <c r="W1854" s="29">
        <f>IF(H1854="","",IF(H1854="Kenya","Yes","No"))</f>
        <v/>
      </c>
      <c r="X1854" s="29">
        <f>IF(B1854="","",IF(COUNTIF($B$5:$B$3004,B1854)&gt;1,"DUPLICATE","OK"))</f>
        <v/>
      </c>
      <c r="Y1854" s="29">
        <f>IF(OR(U1854="",V1854="",V1854="Excluded"),"",IF(COUNTIFS($U$5:$U$3004,U1854,$V$5:$V$3004,"&lt;&gt;"&amp;V1854,$V$5:$V$3004,"&lt;&gt;",$V$5:$V$3004,"&lt;&gt;Excluded")&gt;0,"LEAK RISK","OK"))</f>
        <v/>
      </c>
      <c r="Z1854" s="30" t="n"/>
    </row>
    <row r="1855">
      <c r="A1855" s="30" t="n"/>
      <c r="B1855" s="30" t="n"/>
      <c r="C1855" s="30" t="n"/>
      <c r="D1855" s="30" t="n"/>
      <c r="E1855" s="30" t="n"/>
      <c r="F1855" s="30" t="n"/>
      <c r="G1855" s="30" t="n"/>
      <c r="H1855" s="30" t="n"/>
      <c r="I1855" s="31" t="n"/>
      <c r="J1855" s="30" t="n"/>
      <c r="K1855" s="30" t="n"/>
      <c r="L1855" s="30" t="n"/>
      <c r="M1855" s="30" t="n"/>
      <c r="N1855" s="32" t="n"/>
      <c r="O1855" s="30" t="n"/>
      <c r="P1855" s="32" t="n"/>
      <c r="Q1855" s="30" t="n"/>
      <c r="R1855" s="32" t="n"/>
      <c r="S1855" s="30" t="n"/>
      <c r="T1855" s="30" t="n"/>
      <c r="U1855" s="30" t="n"/>
      <c r="V1855" s="30" t="n"/>
      <c r="W1855" s="29">
        <f>IF(H1855="","",IF(H1855="Kenya","Yes","No"))</f>
        <v/>
      </c>
      <c r="X1855" s="29">
        <f>IF(B1855="","",IF(COUNTIF($B$5:$B$3004,B1855)&gt;1,"DUPLICATE","OK"))</f>
        <v/>
      </c>
      <c r="Y1855" s="29">
        <f>IF(OR(U1855="",V1855="",V1855="Excluded"),"",IF(COUNTIFS($U$5:$U$3004,U1855,$V$5:$V$3004,"&lt;&gt;"&amp;V1855,$V$5:$V$3004,"&lt;&gt;",$V$5:$V$3004,"&lt;&gt;Excluded")&gt;0,"LEAK RISK","OK"))</f>
        <v/>
      </c>
      <c r="Z1855" s="30" t="n"/>
    </row>
    <row r="1856">
      <c r="A1856" s="30" t="n"/>
      <c r="B1856" s="30" t="n"/>
      <c r="C1856" s="30" t="n"/>
      <c r="D1856" s="30" t="n"/>
      <c r="E1856" s="30" t="n"/>
      <c r="F1856" s="30" t="n"/>
      <c r="G1856" s="30" t="n"/>
      <c r="H1856" s="30" t="n"/>
      <c r="I1856" s="31" t="n"/>
      <c r="J1856" s="30" t="n"/>
      <c r="K1856" s="30" t="n"/>
      <c r="L1856" s="30" t="n"/>
      <c r="M1856" s="30" t="n"/>
      <c r="N1856" s="32" t="n"/>
      <c r="O1856" s="30" t="n"/>
      <c r="P1856" s="32" t="n"/>
      <c r="Q1856" s="30" t="n"/>
      <c r="R1856" s="32" t="n"/>
      <c r="S1856" s="30" t="n"/>
      <c r="T1856" s="30" t="n"/>
      <c r="U1856" s="30" t="n"/>
      <c r="V1856" s="30" t="n"/>
      <c r="W1856" s="29">
        <f>IF(H1856="","",IF(H1856="Kenya","Yes","No"))</f>
        <v/>
      </c>
      <c r="X1856" s="29">
        <f>IF(B1856="","",IF(COUNTIF($B$5:$B$3004,B1856)&gt;1,"DUPLICATE","OK"))</f>
        <v/>
      </c>
      <c r="Y1856" s="29">
        <f>IF(OR(U1856="",V1856="",V1856="Excluded"),"",IF(COUNTIFS($U$5:$U$3004,U1856,$V$5:$V$3004,"&lt;&gt;"&amp;V1856,$V$5:$V$3004,"&lt;&gt;",$V$5:$V$3004,"&lt;&gt;Excluded")&gt;0,"LEAK RISK","OK"))</f>
        <v/>
      </c>
      <c r="Z1856" s="30" t="n"/>
    </row>
    <row r="1857">
      <c r="A1857" s="30" t="n"/>
      <c r="B1857" s="30" t="n"/>
      <c r="C1857" s="30" t="n"/>
      <c r="D1857" s="30" t="n"/>
      <c r="E1857" s="30" t="n"/>
      <c r="F1857" s="30" t="n"/>
      <c r="G1857" s="30" t="n"/>
      <c r="H1857" s="30" t="n"/>
      <c r="I1857" s="31" t="n"/>
      <c r="J1857" s="30" t="n"/>
      <c r="K1857" s="30" t="n"/>
      <c r="L1857" s="30" t="n"/>
      <c r="M1857" s="30" t="n"/>
      <c r="N1857" s="32" t="n"/>
      <c r="O1857" s="30" t="n"/>
      <c r="P1857" s="32" t="n"/>
      <c r="Q1857" s="30" t="n"/>
      <c r="R1857" s="32" t="n"/>
      <c r="S1857" s="30" t="n"/>
      <c r="T1857" s="30" t="n"/>
      <c r="U1857" s="30" t="n"/>
      <c r="V1857" s="30" t="n"/>
      <c r="W1857" s="29">
        <f>IF(H1857="","",IF(H1857="Kenya","Yes","No"))</f>
        <v/>
      </c>
      <c r="X1857" s="29">
        <f>IF(B1857="","",IF(COUNTIF($B$5:$B$3004,B1857)&gt;1,"DUPLICATE","OK"))</f>
        <v/>
      </c>
      <c r="Y1857" s="29">
        <f>IF(OR(U1857="",V1857="",V1857="Excluded"),"",IF(COUNTIFS($U$5:$U$3004,U1857,$V$5:$V$3004,"&lt;&gt;"&amp;V1857,$V$5:$V$3004,"&lt;&gt;",$V$5:$V$3004,"&lt;&gt;Excluded")&gt;0,"LEAK RISK","OK"))</f>
        <v/>
      </c>
      <c r="Z1857" s="30" t="n"/>
    </row>
    <row r="1858">
      <c r="A1858" s="30" t="n"/>
      <c r="B1858" s="30" t="n"/>
      <c r="C1858" s="30" t="n"/>
      <c r="D1858" s="30" t="n"/>
      <c r="E1858" s="30" t="n"/>
      <c r="F1858" s="30" t="n"/>
      <c r="G1858" s="30" t="n"/>
      <c r="H1858" s="30" t="n"/>
      <c r="I1858" s="31" t="n"/>
      <c r="J1858" s="30" t="n"/>
      <c r="K1858" s="30" t="n"/>
      <c r="L1858" s="30" t="n"/>
      <c r="M1858" s="30" t="n"/>
      <c r="N1858" s="32" t="n"/>
      <c r="O1858" s="30" t="n"/>
      <c r="P1858" s="32" t="n"/>
      <c r="Q1858" s="30" t="n"/>
      <c r="R1858" s="32" t="n"/>
      <c r="S1858" s="30" t="n"/>
      <c r="T1858" s="30" t="n"/>
      <c r="U1858" s="30" t="n"/>
      <c r="V1858" s="30" t="n"/>
      <c r="W1858" s="29">
        <f>IF(H1858="","",IF(H1858="Kenya","Yes","No"))</f>
        <v/>
      </c>
      <c r="X1858" s="29">
        <f>IF(B1858="","",IF(COUNTIF($B$5:$B$3004,B1858)&gt;1,"DUPLICATE","OK"))</f>
        <v/>
      </c>
      <c r="Y1858" s="29">
        <f>IF(OR(U1858="",V1858="",V1858="Excluded"),"",IF(COUNTIFS($U$5:$U$3004,U1858,$V$5:$V$3004,"&lt;&gt;"&amp;V1858,$V$5:$V$3004,"&lt;&gt;",$V$5:$V$3004,"&lt;&gt;Excluded")&gt;0,"LEAK RISK","OK"))</f>
        <v/>
      </c>
      <c r="Z1858" s="30" t="n"/>
    </row>
    <row r="1859">
      <c r="A1859" s="30" t="n"/>
      <c r="B1859" s="30" t="n"/>
      <c r="C1859" s="30" t="n"/>
      <c r="D1859" s="30" t="n"/>
      <c r="E1859" s="30" t="n"/>
      <c r="F1859" s="30" t="n"/>
      <c r="G1859" s="30" t="n"/>
      <c r="H1859" s="30" t="n"/>
      <c r="I1859" s="31" t="n"/>
      <c r="J1859" s="30" t="n"/>
      <c r="K1859" s="30" t="n"/>
      <c r="L1859" s="30" t="n"/>
      <c r="M1859" s="30" t="n"/>
      <c r="N1859" s="32" t="n"/>
      <c r="O1859" s="30" t="n"/>
      <c r="P1859" s="32" t="n"/>
      <c r="Q1859" s="30" t="n"/>
      <c r="R1859" s="32" t="n"/>
      <c r="S1859" s="30" t="n"/>
      <c r="T1859" s="30" t="n"/>
      <c r="U1859" s="30" t="n"/>
      <c r="V1859" s="30" t="n"/>
      <c r="W1859" s="29">
        <f>IF(H1859="","",IF(H1859="Kenya","Yes","No"))</f>
        <v/>
      </c>
      <c r="X1859" s="29">
        <f>IF(B1859="","",IF(COUNTIF($B$5:$B$3004,B1859)&gt;1,"DUPLICATE","OK"))</f>
        <v/>
      </c>
      <c r="Y1859" s="29">
        <f>IF(OR(U1859="",V1859="",V1859="Excluded"),"",IF(COUNTIFS($U$5:$U$3004,U1859,$V$5:$V$3004,"&lt;&gt;"&amp;V1859,$V$5:$V$3004,"&lt;&gt;",$V$5:$V$3004,"&lt;&gt;Excluded")&gt;0,"LEAK RISK","OK"))</f>
        <v/>
      </c>
      <c r="Z1859" s="30" t="n"/>
    </row>
    <row r="1860">
      <c r="A1860" s="30" t="n"/>
      <c r="B1860" s="30" t="n"/>
      <c r="C1860" s="30" t="n"/>
      <c r="D1860" s="30" t="n"/>
      <c r="E1860" s="30" t="n"/>
      <c r="F1860" s="30" t="n"/>
      <c r="G1860" s="30" t="n"/>
      <c r="H1860" s="30" t="n"/>
      <c r="I1860" s="31" t="n"/>
      <c r="J1860" s="30" t="n"/>
      <c r="K1860" s="30" t="n"/>
      <c r="L1860" s="30" t="n"/>
      <c r="M1860" s="30" t="n"/>
      <c r="N1860" s="32" t="n"/>
      <c r="O1860" s="30" t="n"/>
      <c r="P1860" s="32" t="n"/>
      <c r="Q1860" s="30" t="n"/>
      <c r="R1860" s="32" t="n"/>
      <c r="S1860" s="30" t="n"/>
      <c r="T1860" s="30" t="n"/>
      <c r="U1860" s="30" t="n"/>
      <c r="V1860" s="30" t="n"/>
      <c r="W1860" s="29">
        <f>IF(H1860="","",IF(H1860="Kenya","Yes","No"))</f>
        <v/>
      </c>
      <c r="X1860" s="29">
        <f>IF(B1860="","",IF(COUNTIF($B$5:$B$3004,B1860)&gt;1,"DUPLICATE","OK"))</f>
        <v/>
      </c>
      <c r="Y1860" s="29">
        <f>IF(OR(U1860="",V1860="",V1860="Excluded"),"",IF(COUNTIFS($U$5:$U$3004,U1860,$V$5:$V$3004,"&lt;&gt;"&amp;V1860,$V$5:$V$3004,"&lt;&gt;",$V$5:$V$3004,"&lt;&gt;Excluded")&gt;0,"LEAK RISK","OK"))</f>
        <v/>
      </c>
      <c r="Z1860" s="30" t="n"/>
    </row>
    <row r="1861">
      <c r="A1861" s="30" t="n"/>
      <c r="B1861" s="30" t="n"/>
      <c r="C1861" s="30" t="n"/>
      <c r="D1861" s="30" t="n"/>
      <c r="E1861" s="30" t="n"/>
      <c r="F1861" s="30" t="n"/>
      <c r="G1861" s="30" t="n"/>
      <c r="H1861" s="30" t="n"/>
      <c r="I1861" s="31" t="n"/>
      <c r="J1861" s="30" t="n"/>
      <c r="K1861" s="30" t="n"/>
      <c r="L1861" s="30" t="n"/>
      <c r="M1861" s="30" t="n"/>
      <c r="N1861" s="32" t="n"/>
      <c r="O1861" s="30" t="n"/>
      <c r="P1861" s="32" t="n"/>
      <c r="Q1861" s="30" t="n"/>
      <c r="R1861" s="32" t="n"/>
      <c r="S1861" s="30" t="n"/>
      <c r="T1861" s="30" t="n"/>
      <c r="U1861" s="30" t="n"/>
      <c r="V1861" s="30" t="n"/>
      <c r="W1861" s="29">
        <f>IF(H1861="","",IF(H1861="Kenya","Yes","No"))</f>
        <v/>
      </c>
      <c r="X1861" s="29">
        <f>IF(B1861="","",IF(COUNTIF($B$5:$B$3004,B1861)&gt;1,"DUPLICATE","OK"))</f>
        <v/>
      </c>
      <c r="Y1861" s="29">
        <f>IF(OR(U1861="",V1861="",V1861="Excluded"),"",IF(COUNTIFS($U$5:$U$3004,U1861,$V$5:$V$3004,"&lt;&gt;"&amp;V1861,$V$5:$V$3004,"&lt;&gt;",$V$5:$V$3004,"&lt;&gt;Excluded")&gt;0,"LEAK RISK","OK"))</f>
        <v/>
      </c>
      <c r="Z1861" s="30" t="n"/>
    </row>
    <row r="1862">
      <c r="A1862" s="30" t="n"/>
      <c r="B1862" s="30" t="n"/>
      <c r="C1862" s="30" t="n"/>
      <c r="D1862" s="30" t="n"/>
      <c r="E1862" s="30" t="n"/>
      <c r="F1862" s="30" t="n"/>
      <c r="G1862" s="30" t="n"/>
      <c r="H1862" s="30" t="n"/>
      <c r="I1862" s="31" t="n"/>
      <c r="J1862" s="30" t="n"/>
      <c r="K1862" s="30" t="n"/>
      <c r="L1862" s="30" t="n"/>
      <c r="M1862" s="30" t="n"/>
      <c r="N1862" s="32" t="n"/>
      <c r="O1862" s="30" t="n"/>
      <c r="P1862" s="32" t="n"/>
      <c r="Q1862" s="30" t="n"/>
      <c r="R1862" s="32" t="n"/>
      <c r="S1862" s="30" t="n"/>
      <c r="T1862" s="30" t="n"/>
      <c r="U1862" s="30" t="n"/>
      <c r="V1862" s="30" t="n"/>
      <c r="W1862" s="29">
        <f>IF(H1862="","",IF(H1862="Kenya","Yes","No"))</f>
        <v/>
      </c>
      <c r="X1862" s="29">
        <f>IF(B1862="","",IF(COUNTIF($B$5:$B$3004,B1862)&gt;1,"DUPLICATE","OK"))</f>
        <v/>
      </c>
      <c r="Y1862" s="29">
        <f>IF(OR(U1862="",V1862="",V1862="Excluded"),"",IF(COUNTIFS($U$5:$U$3004,U1862,$V$5:$V$3004,"&lt;&gt;"&amp;V1862,$V$5:$V$3004,"&lt;&gt;",$V$5:$V$3004,"&lt;&gt;Excluded")&gt;0,"LEAK RISK","OK"))</f>
        <v/>
      </c>
      <c r="Z1862" s="30" t="n"/>
    </row>
    <row r="1863">
      <c r="A1863" s="30" t="n"/>
      <c r="B1863" s="30" t="n"/>
      <c r="C1863" s="30" t="n"/>
      <c r="D1863" s="30" t="n"/>
      <c r="E1863" s="30" t="n"/>
      <c r="F1863" s="30" t="n"/>
      <c r="G1863" s="30" t="n"/>
      <c r="H1863" s="30" t="n"/>
      <c r="I1863" s="31" t="n"/>
      <c r="J1863" s="30" t="n"/>
      <c r="K1863" s="30" t="n"/>
      <c r="L1863" s="30" t="n"/>
      <c r="M1863" s="30" t="n"/>
      <c r="N1863" s="32" t="n"/>
      <c r="O1863" s="30" t="n"/>
      <c r="P1863" s="32" t="n"/>
      <c r="Q1863" s="30" t="n"/>
      <c r="R1863" s="32" t="n"/>
      <c r="S1863" s="30" t="n"/>
      <c r="T1863" s="30" t="n"/>
      <c r="U1863" s="30" t="n"/>
      <c r="V1863" s="30" t="n"/>
      <c r="W1863" s="29">
        <f>IF(H1863="","",IF(H1863="Kenya","Yes","No"))</f>
        <v/>
      </c>
      <c r="X1863" s="29">
        <f>IF(B1863="","",IF(COUNTIF($B$5:$B$3004,B1863)&gt;1,"DUPLICATE","OK"))</f>
        <v/>
      </c>
      <c r="Y1863" s="29">
        <f>IF(OR(U1863="",V1863="",V1863="Excluded"),"",IF(COUNTIFS($U$5:$U$3004,U1863,$V$5:$V$3004,"&lt;&gt;"&amp;V1863,$V$5:$V$3004,"&lt;&gt;",$V$5:$V$3004,"&lt;&gt;Excluded")&gt;0,"LEAK RISK","OK"))</f>
        <v/>
      </c>
      <c r="Z1863" s="30" t="n"/>
    </row>
    <row r="1864">
      <c r="A1864" s="30" t="n"/>
      <c r="B1864" s="30" t="n"/>
      <c r="C1864" s="30" t="n"/>
      <c r="D1864" s="30" t="n"/>
      <c r="E1864" s="30" t="n"/>
      <c r="F1864" s="30" t="n"/>
      <c r="G1864" s="30" t="n"/>
      <c r="H1864" s="30" t="n"/>
      <c r="I1864" s="31" t="n"/>
      <c r="J1864" s="30" t="n"/>
      <c r="K1864" s="30" t="n"/>
      <c r="L1864" s="30" t="n"/>
      <c r="M1864" s="30" t="n"/>
      <c r="N1864" s="32" t="n"/>
      <c r="O1864" s="30" t="n"/>
      <c r="P1864" s="32" t="n"/>
      <c r="Q1864" s="30" t="n"/>
      <c r="R1864" s="32" t="n"/>
      <c r="S1864" s="30" t="n"/>
      <c r="T1864" s="30" t="n"/>
      <c r="U1864" s="30" t="n"/>
      <c r="V1864" s="30" t="n"/>
      <c r="W1864" s="29">
        <f>IF(H1864="","",IF(H1864="Kenya","Yes","No"))</f>
        <v/>
      </c>
      <c r="X1864" s="29">
        <f>IF(B1864="","",IF(COUNTIF($B$5:$B$3004,B1864)&gt;1,"DUPLICATE","OK"))</f>
        <v/>
      </c>
      <c r="Y1864" s="29">
        <f>IF(OR(U1864="",V1864="",V1864="Excluded"),"",IF(COUNTIFS($U$5:$U$3004,U1864,$V$5:$V$3004,"&lt;&gt;"&amp;V1864,$V$5:$V$3004,"&lt;&gt;",$V$5:$V$3004,"&lt;&gt;Excluded")&gt;0,"LEAK RISK","OK"))</f>
        <v/>
      </c>
      <c r="Z1864" s="30" t="n"/>
    </row>
    <row r="1865">
      <c r="A1865" s="30" t="n"/>
      <c r="B1865" s="30" t="n"/>
      <c r="C1865" s="30" t="n"/>
      <c r="D1865" s="30" t="n"/>
      <c r="E1865" s="30" t="n"/>
      <c r="F1865" s="30" t="n"/>
      <c r="G1865" s="30" t="n"/>
      <c r="H1865" s="30" t="n"/>
      <c r="I1865" s="31" t="n"/>
      <c r="J1865" s="30" t="n"/>
      <c r="K1865" s="30" t="n"/>
      <c r="L1865" s="30" t="n"/>
      <c r="M1865" s="30" t="n"/>
      <c r="N1865" s="32" t="n"/>
      <c r="O1865" s="30" t="n"/>
      <c r="P1865" s="32" t="n"/>
      <c r="Q1865" s="30" t="n"/>
      <c r="R1865" s="32" t="n"/>
      <c r="S1865" s="30" t="n"/>
      <c r="T1865" s="30" t="n"/>
      <c r="U1865" s="30" t="n"/>
      <c r="V1865" s="30" t="n"/>
      <c r="W1865" s="29">
        <f>IF(H1865="","",IF(H1865="Kenya","Yes","No"))</f>
        <v/>
      </c>
      <c r="X1865" s="29">
        <f>IF(B1865="","",IF(COUNTIF($B$5:$B$3004,B1865)&gt;1,"DUPLICATE","OK"))</f>
        <v/>
      </c>
      <c r="Y1865" s="29">
        <f>IF(OR(U1865="",V1865="",V1865="Excluded"),"",IF(COUNTIFS($U$5:$U$3004,U1865,$V$5:$V$3004,"&lt;&gt;"&amp;V1865,$V$5:$V$3004,"&lt;&gt;",$V$5:$V$3004,"&lt;&gt;Excluded")&gt;0,"LEAK RISK","OK"))</f>
        <v/>
      </c>
      <c r="Z1865" s="30" t="n"/>
    </row>
    <row r="1866">
      <c r="A1866" s="30" t="n"/>
      <c r="B1866" s="30" t="n"/>
      <c r="C1866" s="30" t="n"/>
      <c r="D1866" s="30" t="n"/>
      <c r="E1866" s="30" t="n"/>
      <c r="F1866" s="30" t="n"/>
      <c r="G1866" s="30" t="n"/>
      <c r="H1866" s="30" t="n"/>
      <c r="I1866" s="31" t="n"/>
      <c r="J1866" s="30" t="n"/>
      <c r="K1866" s="30" t="n"/>
      <c r="L1866" s="30" t="n"/>
      <c r="M1866" s="30" t="n"/>
      <c r="N1866" s="32" t="n"/>
      <c r="O1866" s="30" t="n"/>
      <c r="P1866" s="32" t="n"/>
      <c r="Q1866" s="30" t="n"/>
      <c r="R1866" s="32" t="n"/>
      <c r="S1866" s="30" t="n"/>
      <c r="T1866" s="30" t="n"/>
      <c r="U1866" s="30" t="n"/>
      <c r="V1866" s="30" t="n"/>
      <c r="W1866" s="29">
        <f>IF(H1866="","",IF(H1866="Kenya","Yes","No"))</f>
        <v/>
      </c>
      <c r="X1866" s="29">
        <f>IF(B1866="","",IF(COUNTIF($B$5:$B$3004,B1866)&gt;1,"DUPLICATE","OK"))</f>
        <v/>
      </c>
      <c r="Y1866" s="29">
        <f>IF(OR(U1866="",V1866="",V1866="Excluded"),"",IF(COUNTIFS($U$5:$U$3004,U1866,$V$5:$V$3004,"&lt;&gt;"&amp;V1866,$V$5:$V$3004,"&lt;&gt;",$V$5:$V$3004,"&lt;&gt;Excluded")&gt;0,"LEAK RISK","OK"))</f>
        <v/>
      </c>
      <c r="Z1866" s="30" t="n"/>
    </row>
    <row r="1867">
      <c r="A1867" s="30" t="n"/>
      <c r="B1867" s="30" t="n"/>
      <c r="C1867" s="30" t="n"/>
      <c r="D1867" s="30" t="n"/>
      <c r="E1867" s="30" t="n"/>
      <c r="F1867" s="30" t="n"/>
      <c r="G1867" s="30" t="n"/>
      <c r="H1867" s="30" t="n"/>
      <c r="I1867" s="31" t="n"/>
      <c r="J1867" s="30" t="n"/>
      <c r="K1867" s="30" t="n"/>
      <c r="L1867" s="30" t="n"/>
      <c r="M1867" s="30" t="n"/>
      <c r="N1867" s="32" t="n"/>
      <c r="O1867" s="30" t="n"/>
      <c r="P1867" s="32" t="n"/>
      <c r="Q1867" s="30" t="n"/>
      <c r="R1867" s="32" t="n"/>
      <c r="S1867" s="30" t="n"/>
      <c r="T1867" s="30" t="n"/>
      <c r="U1867" s="30" t="n"/>
      <c r="V1867" s="30" t="n"/>
      <c r="W1867" s="29">
        <f>IF(H1867="","",IF(H1867="Kenya","Yes","No"))</f>
        <v/>
      </c>
      <c r="X1867" s="29">
        <f>IF(B1867="","",IF(COUNTIF($B$5:$B$3004,B1867)&gt;1,"DUPLICATE","OK"))</f>
        <v/>
      </c>
      <c r="Y1867" s="29">
        <f>IF(OR(U1867="",V1867="",V1867="Excluded"),"",IF(COUNTIFS($U$5:$U$3004,U1867,$V$5:$V$3004,"&lt;&gt;"&amp;V1867,$V$5:$V$3004,"&lt;&gt;",$V$5:$V$3004,"&lt;&gt;Excluded")&gt;0,"LEAK RISK","OK"))</f>
        <v/>
      </c>
      <c r="Z1867" s="30" t="n"/>
    </row>
    <row r="1868">
      <c r="A1868" s="30" t="n"/>
      <c r="B1868" s="30" t="n"/>
      <c r="C1868" s="30" t="n"/>
      <c r="D1868" s="30" t="n"/>
      <c r="E1868" s="30" t="n"/>
      <c r="F1868" s="30" t="n"/>
      <c r="G1868" s="30" t="n"/>
      <c r="H1868" s="30" t="n"/>
      <c r="I1868" s="31" t="n"/>
      <c r="J1868" s="30" t="n"/>
      <c r="K1868" s="30" t="n"/>
      <c r="L1868" s="30" t="n"/>
      <c r="M1868" s="30" t="n"/>
      <c r="N1868" s="32" t="n"/>
      <c r="O1868" s="30" t="n"/>
      <c r="P1868" s="32" t="n"/>
      <c r="Q1868" s="30" t="n"/>
      <c r="R1868" s="32" t="n"/>
      <c r="S1868" s="30" t="n"/>
      <c r="T1868" s="30" t="n"/>
      <c r="U1868" s="30" t="n"/>
      <c r="V1868" s="30" t="n"/>
      <c r="W1868" s="29">
        <f>IF(H1868="","",IF(H1868="Kenya","Yes","No"))</f>
        <v/>
      </c>
      <c r="X1868" s="29">
        <f>IF(B1868="","",IF(COUNTIF($B$5:$B$3004,B1868)&gt;1,"DUPLICATE","OK"))</f>
        <v/>
      </c>
      <c r="Y1868" s="29">
        <f>IF(OR(U1868="",V1868="",V1868="Excluded"),"",IF(COUNTIFS($U$5:$U$3004,U1868,$V$5:$V$3004,"&lt;&gt;"&amp;V1868,$V$5:$V$3004,"&lt;&gt;",$V$5:$V$3004,"&lt;&gt;Excluded")&gt;0,"LEAK RISK","OK"))</f>
        <v/>
      </c>
      <c r="Z1868" s="30" t="n"/>
    </row>
    <row r="1869">
      <c r="A1869" s="30" t="n"/>
      <c r="B1869" s="30" t="n"/>
      <c r="C1869" s="30" t="n"/>
      <c r="D1869" s="30" t="n"/>
      <c r="E1869" s="30" t="n"/>
      <c r="F1869" s="30" t="n"/>
      <c r="G1869" s="30" t="n"/>
      <c r="H1869" s="30" t="n"/>
      <c r="I1869" s="31" t="n"/>
      <c r="J1869" s="30" t="n"/>
      <c r="K1869" s="30" t="n"/>
      <c r="L1869" s="30" t="n"/>
      <c r="M1869" s="30" t="n"/>
      <c r="N1869" s="32" t="n"/>
      <c r="O1869" s="30" t="n"/>
      <c r="P1869" s="32" t="n"/>
      <c r="Q1869" s="30" t="n"/>
      <c r="R1869" s="32" t="n"/>
      <c r="S1869" s="30" t="n"/>
      <c r="T1869" s="30" t="n"/>
      <c r="U1869" s="30" t="n"/>
      <c r="V1869" s="30" t="n"/>
      <c r="W1869" s="29">
        <f>IF(H1869="","",IF(H1869="Kenya","Yes","No"))</f>
        <v/>
      </c>
      <c r="X1869" s="29">
        <f>IF(B1869="","",IF(COUNTIF($B$5:$B$3004,B1869)&gt;1,"DUPLICATE","OK"))</f>
        <v/>
      </c>
      <c r="Y1869" s="29">
        <f>IF(OR(U1869="",V1869="",V1869="Excluded"),"",IF(COUNTIFS($U$5:$U$3004,U1869,$V$5:$V$3004,"&lt;&gt;"&amp;V1869,$V$5:$V$3004,"&lt;&gt;",$V$5:$V$3004,"&lt;&gt;Excluded")&gt;0,"LEAK RISK","OK"))</f>
        <v/>
      </c>
      <c r="Z1869" s="30" t="n"/>
    </row>
    <row r="1870">
      <c r="A1870" s="30" t="n"/>
      <c r="B1870" s="30" t="n"/>
      <c r="C1870" s="30" t="n"/>
      <c r="D1870" s="30" t="n"/>
      <c r="E1870" s="30" t="n"/>
      <c r="F1870" s="30" t="n"/>
      <c r="G1870" s="30" t="n"/>
      <c r="H1870" s="30" t="n"/>
      <c r="I1870" s="31" t="n"/>
      <c r="J1870" s="30" t="n"/>
      <c r="K1870" s="30" t="n"/>
      <c r="L1870" s="30" t="n"/>
      <c r="M1870" s="30" t="n"/>
      <c r="N1870" s="32" t="n"/>
      <c r="O1870" s="30" t="n"/>
      <c r="P1870" s="32" t="n"/>
      <c r="Q1870" s="30" t="n"/>
      <c r="R1870" s="32" t="n"/>
      <c r="S1870" s="30" t="n"/>
      <c r="T1870" s="30" t="n"/>
      <c r="U1870" s="30" t="n"/>
      <c r="V1870" s="30" t="n"/>
      <c r="W1870" s="29">
        <f>IF(H1870="","",IF(H1870="Kenya","Yes","No"))</f>
        <v/>
      </c>
      <c r="X1870" s="29">
        <f>IF(B1870="","",IF(COUNTIF($B$5:$B$3004,B1870)&gt;1,"DUPLICATE","OK"))</f>
        <v/>
      </c>
      <c r="Y1870" s="29">
        <f>IF(OR(U1870="",V1870="",V1870="Excluded"),"",IF(COUNTIFS($U$5:$U$3004,U1870,$V$5:$V$3004,"&lt;&gt;"&amp;V1870,$V$5:$V$3004,"&lt;&gt;",$V$5:$V$3004,"&lt;&gt;Excluded")&gt;0,"LEAK RISK","OK"))</f>
        <v/>
      </c>
      <c r="Z1870" s="30" t="n"/>
    </row>
    <row r="1871">
      <c r="A1871" s="30" t="n"/>
      <c r="B1871" s="30" t="n"/>
      <c r="C1871" s="30" t="n"/>
      <c r="D1871" s="30" t="n"/>
      <c r="E1871" s="30" t="n"/>
      <c r="F1871" s="30" t="n"/>
      <c r="G1871" s="30" t="n"/>
      <c r="H1871" s="30" t="n"/>
      <c r="I1871" s="31" t="n"/>
      <c r="J1871" s="30" t="n"/>
      <c r="K1871" s="30" t="n"/>
      <c r="L1871" s="30" t="n"/>
      <c r="M1871" s="30" t="n"/>
      <c r="N1871" s="32" t="n"/>
      <c r="O1871" s="30" t="n"/>
      <c r="P1871" s="32" t="n"/>
      <c r="Q1871" s="30" t="n"/>
      <c r="R1871" s="32" t="n"/>
      <c r="S1871" s="30" t="n"/>
      <c r="T1871" s="30" t="n"/>
      <c r="U1871" s="30" t="n"/>
      <c r="V1871" s="30" t="n"/>
      <c r="W1871" s="29">
        <f>IF(H1871="","",IF(H1871="Kenya","Yes","No"))</f>
        <v/>
      </c>
      <c r="X1871" s="29">
        <f>IF(B1871="","",IF(COUNTIF($B$5:$B$3004,B1871)&gt;1,"DUPLICATE","OK"))</f>
        <v/>
      </c>
      <c r="Y1871" s="29">
        <f>IF(OR(U1871="",V1871="",V1871="Excluded"),"",IF(COUNTIFS($U$5:$U$3004,U1871,$V$5:$V$3004,"&lt;&gt;"&amp;V1871,$V$5:$V$3004,"&lt;&gt;",$V$5:$V$3004,"&lt;&gt;Excluded")&gt;0,"LEAK RISK","OK"))</f>
        <v/>
      </c>
      <c r="Z1871" s="30" t="n"/>
    </row>
    <row r="1872">
      <c r="A1872" s="30" t="n"/>
      <c r="B1872" s="30" t="n"/>
      <c r="C1872" s="30" t="n"/>
      <c r="D1872" s="30" t="n"/>
      <c r="E1872" s="30" t="n"/>
      <c r="F1872" s="30" t="n"/>
      <c r="G1872" s="30" t="n"/>
      <c r="H1872" s="30" t="n"/>
      <c r="I1872" s="31" t="n"/>
      <c r="J1872" s="30" t="n"/>
      <c r="K1872" s="30" t="n"/>
      <c r="L1872" s="30" t="n"/>
      <c r="M1872" s="30" t="n"/>
      <c r="N1872" s="32" t="n"/>
      <c r="O1872" s="30" t="n"/>
      <c r="P1872" s="32" t="n"/>
      <c r="Q1872" s="30" t="n"/>
      <c r="R1872" s="32" t="n"/>
      <c r="S1872" s="30" t="n"/>
      <c r="T1872" s="30" t="n"/>
      <c r="U1872" s="30" t="n"/>
      <c r="V1872" s="30" t="n"/>
      <c r="W1872" s="29">
        <f>IF(H1872="","",IF(H1872="Kenya","Yes","No"))</f>
        <v/>
      </c>
      <c r="X1872" s="29">
        <f>IF(B1872="","",IF(COUNTIF($B$5:$B$3004,B1872)&gt;1,"DUPLICATE","OK"))</f>
        <v/>
      </c>
      <c r="Y1872" s="29">
        <f>IF(OR(U1872="",V1872="",V1872="Excluded"),"",IF(COUNTIFS($U$5:$U$3004,U1872,$V$5:$V$3004,"&lt;&gt;"&amp;V1872,$V$5:$V$3004,"&lt;&gt;",$V$5:$V$3004,"&lt;&gt;Excluded")&gt;0,"LEAK RISK","OK"))</f>
        <v/>
      </c>
      <c r="Z1872" s="30" t="n"/>
    </row>
    <row r="1873">
      <c r="A1873" s="30" t="n"/>
      <c r="B1873" s="30" t="n"/>
      <c r="C1873" s="30" t="n"/>
      <c r="D1873" s="30" t="n"/>
      <c r="E1873" s="30" t="n"/>
      <c r="F1873" s="30" t="n"/>
      <c r="G1873" s="30" t="n"/>
      <c r="H1873" s="30" t="n"/>
      <c r="I1873" s="31" t="n"/>
      <c r="J1873" s="30" t="n"/>
      <c r="K1873" s="30" t="n"/>
      <c r="L1873" s="30" t="n"/>
      <c r="M1873" s="30" t="n"/>
      <c r="N1873" s="32" t="n"/>
      <c r="O1873" s="30" t="n"/>
      <c r="P1873" s="32" t="n"/>
      <c r="Q1873" s="30" t="n"/>
      <c r="R1873" s="32" t="n"/>
      <c r="S1873" s="30" t="n"/>
      <c r="T1873" s="30" t="n"/>
      <c r="U1873" s="30" t="n"/>
      <c r="V1873" s="30" t="n"/>
      <c r="W1873" s="29">
        <f>IF(H1873="","",IF(H1873="Kenya","Yes","No"))</f>
        <v/>
      </c>
      <c r="X1873" s="29">
        <f>IF(B1873="","",IF(COUNTIF($B$5:$B$3004,B1873)&gt;1,"DUPLICATE","OK"))</f>
        <v/>
      </c>
      <c r="Y1873" s="29">
        <f>IF(OR(U1873="",V1873="",V1873="Excluded"),"",IF(COUNTIFS($U$5:$U$3004,U1873,$V$5:$V$3004,"&lt;&gt;"&amp;V1873,$V$5:$V$3004,"&lt;&gt;",$V$5:$V$3004,"&lt;&gt;Excluded")&gt;0,"LEAK RISK","OK"))</f>
        <v/>
      </c>
      <c r="Z1873" s="30" t="n"/>
    </row>
    <row r="1874">
      <c r="A1874" s="30" t="n"/>
      <c r="B1874" s="30" t="n"/>
      <c r="C1874" s="30" t="n"/>
      <c r="D1874" s="30" t="n"/>
      <c r="E1874" s="30" t="n"/>
      <c r="F1874" s="30" t="n"/>
      <c r="G1874" s="30" t="n"/>
      <c r="H1874" s="30" t="n"/>
      <c r="I1874" s="31" t="n"/>
      <c r="J1874" s="30" t="n"/>
      <c r="K1874" s="30" t="n"/>
      <c r="L1874" s="30" t="n"/>
      <c r="M1874" s="30" t="n"/>
      <c r="N1874" s="32" t="n"/>
      <c r="O1874" s="30" t="n"/>
      <c r="P1874" s="32" t="n"/>
      <c r="Q1874" s="30" t="n"/>
      <c r="R1874" s="32" t="n"/>
      <c r="S1874" s="30" t="n"/>
      <c r="T1874" s="30" t="n"/>
      <c r="U1874" s="30" t="n"/>
      <c r="V1874" s="30" t="n"/>
      <c r="W1874" s="29">
        <f>IF(H1874="","",IF(H1874="Kenya","Yes","No"))</f>
        <v/>
      </c>
      <c r="X1874" s="29">
        <f>IF(B1874="","",IF(COUNTIF($B$5:$B$3004,B1874)&gt;1,"DUPLICATE","OK"))</f>
        <v/>
      </c>
      <c r="Y1874" s="29">
        <f>IF(OR(U1874="",V1874="",V1874="Excluded"),"",IF(COUNTIFS($U$5:$U$3004,U1874,$V$5:$V$3004,"&lt;&gt;"&amp;V1874,$V$5:$V$3004,"&lt;&gt;",$V$5:$V$3004,"&lt;&gt;Excluded")&gt;0,"LEAK RISK","OK"))</f>
        <v/>
      </c>
      <c r="Z1874" s="30" t="n"/>
    </row>
    <row r="1875">
      <c r="A1875" s="30" t="n"/>
      <c r="B1875" s="30" t="n"/>
      <c r="C1875" s="30" t="n"/>
      <c r="D1875" s="30" t="n"/>
      <c r="E1875" s="30" t="n"/>
      <c r="F1875" s="30" t="n"/>
      <c r="G1875" s="30" t="n"/>
      <c r="H1875" s="30" t="n"/>
      <c r="I1875" s="31" t="n"/>
      <c r="J1875" s="30" t="n"/>
      <c r="K1875" s="30" t="n"/>
      <c r="L1875" s="30" t="n"/>
      <c r="M1875" s="30" t="n"/>
      <c r="N1875" s="32" t="n"/>
      <c r="O1875" s="30" t="n"/>
      <c r="P1875" s="32" t="n"/>
      <c r="Q1875" s="30" t="n"/>
      <c r="R1875" s="32" t="n"/>
      <c r="S1875" s="30" t="n"/>
      <c r="T1875" s="30" t="n"/>
      <c r="U1875" s="30" t="n"/>
      <c r="V1875" s="30" t="n"/>
      <c r="W1875" s="29">
        <f>IF(H1875="","",IF(H1875="Kenya","Yes","No"))</f>
        <v/>
      </c>
      <c r="X1875" s="29">
        <f>IF(B1875="","",IF(COUNTIF($B$5:$B$3004,B1875)&gt;1,"DUPLICATE","OK"))</f>
        <v/>
      </c>
      <c r="Y1875" s="29">
        <f>IF(OR(U1875="",V1875="",V1875="Excluded"),"",IF(COUNTIFS($U$5:$U$3004,U1875,$V$5:$V$3004,"&lt;&gt;"&amp;V1875,$V$5:$V$3004,"&lt;&gt;",$V$5:$V$3004,"&lt;&gt;Excluded")&gt;0,"LEAK RISK","OK"))</f>
        <v/>
      </c>
      <c r="Z1875" s="30" t="n"/>
    </row>
    <row r="1876">
      <c r="A1876" s="30" t="n"/>
      <c r="B1876" s="30" t="n"/>
      <c r="C1876" s="30" t="n"/>
      <c r="D1876" s="30" t="n"/>
      <c r="E1876" s="30" t="n"/>
      <c r="F1876" s="30" t="n"/>
      <c r="G1876" s="30" t="n"/>
      <c r="H1876" s="30" t="n"/>
      <c r="I1876" s="31" t="n"/>
      <c r="J1876" s="30" t="n"/>
      <c r="K1876" s="30" t="n"/>
      <c r="L1876" s="30" t="n"/>
      <c r="M1876" s="30" t="n"/>
      <c r="N1876" s="32" t="n"/>
      <c r="O1876" s="30" t="n"/>
      <c r="P1876" s="32" t="n"/>
      <c r="Q1876" s="30" t="n"/>
      <c r="R1876" s="32" t="n"/>
      <c r="S1876" s="30" t="n"/>
      <c r="T1876" s="30" t="n"/>
      <c r="U1876" s="30" t="n"/>
      <c r="V1876" s="30" t="n"/>
      <c r="W1876" s="29">
        <f>IF(H1876="","",IF(H1876="Kenya","Yes","No"))</f>
        <v/>
      </c>
      <c r="X1876" s="29">
        <f>IF(B1876="","",IF(COUNTIF($B$5:$B$3004,B1876)&gt;1,"DUPLICATE","OK"))</f>
        <v/>
      </c>
      <c r="Y1876" s="29">
        <f>IF(OR(U1876="",V1876="",V1876="Excluded"),"",IF(COUNTIFS($U$5:$U$3004,U1876,$V$5:$V$3004,"&lt;&gt;"&amp;V1876,$V$5:$V$3004,"&lt;&gt;",$V$5:$V$3004,"&lt;&gt;Excluded")&gt;0,"LEAK RISK","OK"))</f>
        <v/>
      </c>
      <c r="Z1876" s="30" t="n"/>
    </row>
    <row r="1877">
      <c r="A1877" s="30" t="n"/>
      <c r="B1877" s="30" t="n"/>
      <c r="C1877" s="30" t="n"/>
      <c r="D1877" s="30" t="n"/>
      <c r="E1877" s="30" t="n"/>
      <c r="F1877" s="30" t="n"/>
      <c r="G1877" s="30" t="n"/>
      <c r="H1877" s="30" t="n"/>
      <c r="I1877" s="31" t="n"/>
      <c r="J1877" s="30" t="n"/>
      <c r="K1877" s="30" t="n"/>
      <c r="L1877" s="30" t="n"/>
      <c r="M1877" s="30" t="n"/>
      <c r="N1877" s="32" t="n"/>
      <c r="O1877" s="30" t="n"/>
      <c r="P1877" s="32" t="n"/>
      <c r="Q1877" s="30" t="n"/>
      <c r="R1877" s="32" t="n"/>
      <c r="S1877" s="30" t="n"/>
      <c r="T1877" s="30" t="n"/>
      <c r="U1877" s="30" t="n"/>
      <c r="V1877" s="30" t="n"/>
      <c r="W1877" s="29">
        <f>IF(H1877="","",IF(H1877="Kenya","Yes","No"))</f>
        <v/>
      </c>
      <c r="X1877" s="29">
        <f>IF(B1877="","",IF(COUNTIF($B$5:$B$3004,B1877)&gt;1,"DUPLICATE","OK"))</f>
        <v/>
      </c>
      <c r="Y1877" s="29">
        <f>IF(OR(U1877="",V1877="",V1877="Excluded"),"",IF(COUNTIFS($U$5:$U$3004,U1877,$V$5:$V$3004,"&lt;&gt;"&amp;V1877,$V$5:$V$3004,"&lt;&gt;",$V$5:$V$3004,"&lt;&gt;Excluded")&gt;0,"LEAK RISK","OK"))</f>
        <v/>
      </c>
      <c r="Z1877" s="30" t="n"/>
    </row>
    <row r="1878">
      <c r="A1878" s="30" t="n"/>
      <c r="B1878" s="30" t="n"/>
      <c r="C1878" s="30" t="n"/>
      <c r="D1878" s="30" t="n"/>
      <c r="E1878" s="30" t="n"/>
      <c r="F1878" s="30" t="n"/>
      <c r="G1878" s="30" t="n"/>
      <c r="H1878" s="30" t="n"/>
      <c r="I1878" s="31" t="n"/>
      <c r="J1878" s="30" t="n"/>
      <c r="K1878" s="30" t="n"/>
      <c r="L1878" s="30" t="n"/>
      <c r="M1878" s="30" t="n"/>
      <c r="N1878" s="32" t="n"/>
      <c r="O1878" s="30" t="n"/>
      <c r="P1878" s="32" t="n"/>
      <c r="Q1878" s="30" t="n"/>
      <c r="R1878" s="32" t="n"/>
      <c r="S1878" s="30" t="n"/>
      <c r="T1878" s="30" t="n"/>
      <c r="U1878" s="30" t="n"/>
      <c r="V1878" s="30" t="n"/>
      <c r="W1878" s="29">
        <f>IF(H1878="","",IF(H1878="Kenya","Yes","No"))</f>
        <v/>
      </c>
      <c r="X1878" s="29">
        <f>IF(B1878="","",IF(COUNTIF($B$5:$B$3004,B1878)&gt;1,"DUPLICATE","OK"))</f>
        <v/>
      </c>
      <c r="Y1878" s="29">
        <f>IF(OR(U1878="",V1878="",V1878="Excluded"),"",IF(COUNTIFS($U$5:$U$3004,U1878,$V$5:$V$3004,"&lt;&gt;"&amp;V1878,$V$5:$V$3004,"&lt;&gt;",$V$5:$V$3004,"&lt;&gt;Excluded")&gt;0,"LEAK RISK","OK"))</f>
        <v/>
      </c>
      <c r="Z1878" s="30" t="n"/>
    </row>
    <row r="1879">
      <c r="A1879" s="30" t="n"/>
      <c r="B1879" s="30" t="n"/>
      <c r="C1879" s="30" t="n"/>
      <c r="D1879" s="30" t="n"/>
      <c r="E1879" s="30" t="n"/>
      <c r="F1879" s="30" t="n"/>
      <c r="G1879" s="30" t="n"/>
      <c r="H1879" s="30" t="n"/>
      <c r="I1879" s="31" t="n"/>
      <c r="J1879" s="30" t="n"/>
      <c r="K1879" s="30" t="n"/>
      <c r="L1879" s="30" t="n"/>
      <c r="M1879" s="30" t="n"/>
      <c r="N1879" s="32" t="n"/>
      <c r="O1879" s="30" t="n"/>
      <c r="P1879" s="32" t="n"/>
      <c r="Q1879" s="30" t="n"/>
      <c r="R1879" s="32" t="n"/>
      <c r="S1879" s="30" t="n"/>
      <c r="T1879" s="30" t="n"/>
      <c r="U1879" s="30" t="n"/>
      <c r="V1879" s="30" t="n"/>
      <c r="W1879" s="29">
        <f>IF(H1879="","",IF(H1879="Kenya","Yes","No"))</f>
        <v/>
      </c>
      <c r="X1879" s="29">
        <f>IF(B1879="","",IF(COUNTIF($B$5:$B$3004,B1879)&gt;1,"DUPLICATE","OK"))</f>
        <v/>
      </c>
      <c r="Y1879" s="29">
        <f>IF(OR(U1879="",V1879="",V1879="Excluded"),"",IF(COUNTIFS($U$5:$U$3004,U1879,$V$5:$V$3004,"&lt;&gt;"&amp;V1879,$V$5:$V$3004,"&lt;&gt;",$V$5:$V$3004,"&lt;&gt;Excluded")&gt;0,"LEAK RISK","OK"))</f>
        <v/>
      </c>
      <c r="Z1879" s="30" t="n"/>
    </row>
    <row r="1880">
      <c r="A1880" s="30" t="n"/>
      <c r="B1880" s="30" t="n"/>
      <c r="C1880" s="30" t="n"/>
      <c r="D1880" s="30" t="n"/>
      <c r="E1880" s="30" t="n"/>
      <c r="F1880" s="30" t="n"/>
      <c r="G1880" s="30" t="n"/>
      <c r="H1880" s="30" t="n"/>
      <c r="I1880" s="31" t="n"/>
      <c r="J1880" s="30" t="n"/>
      <c r="K1880" s="30" t="n"/>
      <c r="L1880" s="30" t="n"/>
      <c r="M1880" s="30" t="n"/>
      <c r="N1880" s="32" t="n"/>
      <c r="O1880" s="30" t="n"/>
      <c r="P1880" s="32" t="n"/>
      <c r="Q1880" s="30" t="n"/>
      <c r="R1880" s="32" t="n"/>
      <c r="S1880" s="30" t="n"/>
      <c r="T1880" s="30" t="n"/>
      <c r="U1880" s="30" t="n"/>
      <c r="V1880" s="30" t="n"/>
      <c r="W1880" s="29">
        <f>IF(H1880="","",IF(H1880="Kenya","Yes","No"))</f>
        <v/>
      </c>
      <c r="X1880" s="29">
        <f>IF(B1880="","",IF(COUNTIF($B$5:$B$3004,B1880)&gt;1,"DUPLICATE","OK"))</f>
        <v/>
      </c>
      <c r="Y1880" s="29">
        <f>IF(OR(U1880="",V1880="",V1880="Excluded"),"",IF(COUNTIFS($U$5:$U$3004,U1880,$V$5:$V$3004,"&lt;&gt;"&amp;V1880,$V$5:$V$3004,"&lt;&gt;",$V$5:$V$3004,"&lt;&gt;Excluded")&gt;0,"LEAK RISK","OK"))</f>
        <v/>
      </c>
      <c r="Z1880" s="30" t="n"/>
    </row>
    <row r="1881">
      <c r="A1881" s="30" t="n"/>
      <c r="B1881" s="30" t="n"/>
      <c r="C1881" s="30" t="n"/>
      <c r="D1881" s="30" t="n"/>
      <c r="E1881" s="30" t="n"/>
      <c r="F1881" s="30" t="n"/>
      <c r="G1881" s="30" t="n"/>
      <c r="H1881" s="30" t="n"/>
      <c r="I1881" s="31" t="n"/>
      <c r="J1881" s="30" t="n"/>
      <c r="K1881" s="30" t="n"/>
      <c r="L1881" s="30" t="n"/>
      <c r="M1881" s="30" t="n"/>
      <c r="N1881" s="32" t="n"/>
      <c r="O1881" s="30" t="n"/>
      <c r="P1881" s="32" t="n"/>
      <c r="Q1881" s="30" t="n"/>
      <c r="R1881" s="32" t="n"/>
      <c r="S1881" s="30" t="n"/>
      <c r="T1881" s="30" t="n"/>
      <c r="U1881" s="30" t="n"/>
      <c r="V1881" s="30" t="n"/>
      <c r="W1881" s="29">
        <f>IF(H1881="","",IF(H1881="Kenya","Yes","No"))</f>
        <v/>
      </c>
      <c r="X1881" s="29">
        <f>IF(B1881="","",IF(COUNTIF($B$5:$B$3004,B1881)&gt;1,"DUPLICATE","OK"))</f>
        <v/>
      </c>
      <c r="Y1881" s="29">
        <f>IF(OR(U1881="",V1881="",V1881="Excluded"),"",IF(COUNTIFS($U$5:$U$3004,U1881,$V$5:$V$3004,"&lt;&gt;"&amp;V1881,$V$5:$V$3004,"&lt;&gt;",$V$5:$V$3004,"&lt;&gt;Excluded")&gt;0,"LEAK RISK","OK"))</f>
        <v/>
      </c>
      <c r="Z1881" s="30" t="n"/>
    </row>
    <row r="1882">
      <c r="A1882" s="30" t="n"/>
      <c r="B1882" s="30" t="n"/>
      <c r="C1882" s="30" t="n"/>
      <c r="D1882" s="30" t="n"/>
      <c r="E1882" s="30" t="n"/>
      <c r="F1882" s="30" t="n"/>
      <c r="G1882" s="30" t="n"/>
      <c r="H1882" s="30" t="n"/>
      <c r="I1882" s="31" t="n"/>
      <c r="J1882" s="30" t="n"/>
      <c r="K1882" s="30" t="n"/>
      <c r="L1882" s="30" t="n"/>
      <c r="M1882" s="30" t="n"/>
      <c r="N1882" s="32" t="n"/>
      <c r="O1882" s="30" t="n"/>
      <c r="P1882" s="32" t="n"/>
      <c r="Q1882" s="30" t="n"/>
      <c r="R1882" s="32" t="n"/>
      <c r="S1882" s="30" t="n"/>
      <c r="T1882" s="30" t="n"/>
      <c r="U1882" s="30" t="n"/>
      <c r="V1882" s="30" t="n"/>
      <c r="W1882" s="29">
        <f>IF(H1882="","",IF(H1882="Kenya","Yes","No"))</f>
        <v/>
      </c>
      <c r="X1882" s="29">
        <f>IF(B1882="","",IF(COUNTIF($B$5:$B$3004,B1882)&gt;1,"DUPLICATE","OK"))</f>
        <v/>
      </c>
      <c r="Y1882" s="29">
        <f>IF(OR(U1882="",V1882="",V1882="Excluded"),"",IF(COUNTIFS($U$5:$U$3004,U1882,$V$5:$V$3004,"&lt;&gt;"&amp;V1882,$V$5:$V$3004,"&lt;&gt;",$V$5:$V$3004,"&lt;&gt;Excluded")&gt;0,"LEAK RISK","OK"))</f>
        <v/>
      </c>
      <c r="Z1882" s="30" t="n"/>
    </row>
    <row r="1883">
      <c r="A1883" s="30" t="n"/>
      <c r="B1883" s="30" t="n"/>
      <c r="C1883" s="30" t="n"/>
      <c r="D1883" s="30" t="n"/>
      <c r="E1883" s="30" t="n"/>
      <c r="F1883" s="30" t="n"/>
      <c r="G1883" s="30" t="n"/>
      <c r="H1883" s="30" t="n"/>
      <c r="I1883" s="31" t="n"/>
      <c r="J1883" s="30" t="n"/>
      <c r="K1883" s="30" t="n"/>
      <c r="L1883" s="30" t="n"/>
      <c r="M1883" s="30" t="n"/>
      <c r="N1883" s="32" t="n"/>
      <c r="O1883" s="30" t="n"/>
      <c r="P1883" s="32" t="n"/>
      <c r="Q1883" s="30" t="n"/>
      <c r="R1883" s="32" t="n"/>
      <c r="S1883" s="30" t="n"/>
      <c r="T1883" s="30" t="n"/>
      <c r="U1883" s="30" t="n"/>
      <c r="V1883" s="30" t="n"/>
      <c r="W1883" s="29">
        <f>IF(H1883="","",IF(H1883="Kenya","Yes","No"))</f>
        <v/>
      </c>
      <c r="X1883" s="29">
        <f>IF(B1883="","",IF(COUNTIF($B$5:$B$3004,B1883)&gt;1,"DUPLICATE","OK"))</f>
        <v/>
      </c>
      <c r="Y1883" s="29">
        <f>IF(OR(U1883="",V1883="",V1883="Excluded"),"",IF(COUNTIFS($U$5:$U$3004,U1883,$V$5:$V$3004,"&lt;&gt;"&amp;V1883,$V$5:$V$3004,"&lt;&gt;",$V$5:$V$3004,"&lt;&gt;Excluded")&gt;0,"LEAK RISK","OK"))</f>
        <v/>
      </c>
      <c r="Z1883" s="30" t="n"/>
    </row>
    <row r="1884">
      <c r="A1884" s="30" t="n"/>
      <c r="B1884" s="30" t="n"/>
      <c r="C1884" s="30" t="n"/>
      <c r="D1884" s="30" t="n"/>
      <c r="E1884" s="30" t="n"/>
      <c r="F1884" s="30" t="n"/>
      <c r="G1884" s="30" t="n"/>
      <c r="H1884" s="30" t="n"/>
      <c r="I1884" s="31" t="n"/>
      <c r="J1884" s="30" t="n"/>
      <c r="K1884" s="30" t="n"/>
      <c r="L1884" s="30" t="n"/>
      <c r="M1884" s="30" t="n"/>
      <c r="N1884" s="32" t="n"/>
      <c r="O1884" s="30" t="n"/>
      <c r="P1884" s="32" t="n"/>
      <c r="Q1884" s="30" t="n"/>
      <c r="R1884" s="32" t="n"/>
      <c r="S1884" s="30" t="n"/>
      <c r="T1884" s="30" t="n"/>
      <c r="U1884" s="30" t="n"/>
      <c r="V1884" s="30" t="n"/>
      <c r="W1884" s="29">
        <f>IF(H1884="","",IF(H1884="Kenya","Yes","No"))</f>
        <v/>
      </c>
      <c r="X1884" s="29">
        <f>IF(B1884="","",IF(COUNTIF($B$5:$B$3004,B1884)&gt;1,"DUPLICATE","OK"))</f>
        <v/>
      </c>
      <c r="Y1884" s="29">
        <f>IF(OR(U1884="",V1884="",V1884="Excluded"),"",IF(COUNTIFS($U$5:$U$3004,U1884,$V$5:$V$3004,"&lt;&gt;"&amp;V1884,$V$5:$V$3004,"&lt;&gt;",$V$5:$V$3004,"&lt;&gt;Excluded")&gt;0,"LEAK RISK","OK"))</f>
        <v/>
      </c>
      <c r="Z1884" s="30" t="n"/>
    </row>
    <row r="1885">
      <c r="A1885" s="30" t="n"/>
      <c r="B1885" s="30" t="n"/>
      <c r="C1885" s="30" t="n"/>
      <c r="D1885" s="30" t="n"/>
      <c r="E1885" s="30" t="n"/>
      <c r="F1885" s="30" t="n"/>
      <c r="G1885" s="30" t="n"/>
      <c r="H1885" s="30" t="n"/>
      <c r="I1885" s="31" t="n"/>
      <c r="J1885" s="30" t="n"/>
      <c r="K1885" s="30" t="n"/>
      <c r="L1885" s="30" t="n"/>
      <c r="M1885" s="30" t="n"/>
      <c r="N1885" s="32" t="n"/>
      <c r="O1885" s="30" t="n"/>
      <c r="P1885" s="32" t="n"/>
      <c r="Q1885" s="30" t="n"/>
      <c r="R1885" s="32" t="n"/>
      <c r="S1885" s="30" t="n"/>
      <c r="T1885" s="30" t="n"/>
      <c r="U1885" s="30" t="n"/>
      <c r="V1885" s="30" t="n"/>
      <c r="W1885" s="29">
        <f>IF(H1885="","",IF(H1885="Kenya","Yes","No"))</f>
        <v/>
      </c>
      <c r="X1885" s="29">
        <f>IF(B1885="","",IF(COUNTIF($B$5:$B$3004,B1885)&gt;1,"DUPLICATE","OK"))</f>
        <v/>
      </c>
      <c r="Y1885" s="29">
        <f>IF(OR(U1885="",V1885="",V1885="Excluded"),"",IF(COUNTIFS($U$5:$U$3004,U1885,$V$5:$V$3004,"&lt;&gt;"&amp;V1885,$V$5:$V$3004,"&lt;&gt;",$V$5:$V$3004,"&lt;&gt;Excluded")&gt;0,"LEAK RISK","OK"))</f>
        <v/>
      </c>
      <c r="Z1885" s="30" t="n"/>
    </row>
    <row r="1886">
      <c r="A1886" s="30" t="n"/>
      <c r="B1886" s="30" t="n"/>
      <c r="C1886" s="30" t="n"/>
      <c r="D1886" s="30" t="n"/>
      <c r="E1886" s="30" t="n"/>
      <c r="F1886" s="30" t="n"/>
      <c r="G1886" s="30" t="n"/>
      <c r="H1886" s="30" t="n"/>
      <c r="I1886" s="31" t="n"/>
      <c r="J1886" s="30" t="n"/>
      <c r="K1886" s="30" t="n"/>
      <c r="L1886" s="30" t="n"/>
      <c r="M1886" s="30" t="n"/>
      <c r="N1886" s="32" t="n"/>
      <c r="O1886" s="30" t="n"/>
      <c r="P1886" s="32" t="n"/>
      <c r="Q1886" s="30" t="n"/>
      <c r="R1886" s="32" t="n"/>
      <c r="S1886" s="30" t="n"/>
      <c r="T1886" s="30" t="n"/>
      <c r="U1886" s="30" t="n"/>
      <c r="V1886" s="30" t="n"/>
      <c r="W1886" s="29">
        <f>IF(H1886="","",IF(H1886="Kenya","Yes","No"))</f>
        <v/>
      </c>
      <c r="X1886" s="29">
        <f>IF(B1886="","",IF(COUNTIF($B$5:$B$3004,B1886)&gt;1,"DUPLICATE","OK"))</f>
        <v/>
      </c>
      <c r="Y1886" s="29">
        <f>IF(OR(U1886="",V1886="",V1886="Excluded"),"",IF(COUNTIFS($U$5:$U$3004,U1886,$V$5:$V$3004,"&lt;&gt;"&amp;V1886,$V$5:$V$3004,"&lt;&gt;",$V$5:$V$3004,"&lt;&gt;Excluded")&gt;0,"LEAK RISK","OK"))</f>
        <v/>
      </c>
      <c r="Z1886" s="30" t="n"/>
    </row>
    <row r="1887">
      <c r="A1887" s="30" t="n"/>
      <c r="B1887" s="30" t="n"/>
      <c r="C1887" s="30" t="n"/>
      <c r="D1887" s="30" t="n"/>
      <c r="E1887" s="30" t="n"/>
      <c r="F1887" s="30" t="n"/>
      <c r="G1887" s="30" t="n"/>
      <c r="H1887" s="30" t="n"/>
      <c r="I1887" s="31" t="n"/>
      <c r="J1887" s="30" t="n"/>
      <c r="K1887" s="30" t="n"/>
      <c r="L1887" s="30" t="n"/>
      <c r="M1887" s="30" t="n"/>
      <c r="N1887" s="32" t="n"/>
      <c r="O1887" s="30" t="n"/>
      <c r="P1887" s="32" t="n"/>
      <c r="Q1887" s="30" t="n"/>
      <c r="R1887" s="32" t="n"/>
      <c r="S1887" s="30" t="n"/>
      <c r="T1887" s="30" t="n"/>
      <c r="U1887" s="30" t="n"/>
      <c r="V1887" s="30" t="n"/>
      <c r="W1887" s="29">
        <f>IF(H1887="","",IF(H1887="Kenya","Yes","No"))</f>
        <v/>
      </c>
      <c r="X1887" s="29">
        <f>IF(B1887="","",IF(COUNTIF($B$5:$B$3004,B1887)&gt;1,"DUPLICATE","OK"))</f>
        <v/>
      </c>
      <c r="Y1887" s="29">
        <f>IF(OR(U1887="",V1887="",V1887="Excluded"),"",IF(COUNTIFS($U$5:$U$3004,U1887,$V$5:$V$3004,"&lt;&gt;"&amp;V1887,$V$5:$V$3004,"&lt;&gt;",$V$5:$V$3004,"&lt;&gt;Excluded")&gt;0,"LEAK RISK","OK"))</f>
        <v/>
      </c>
      <c r="Z1887" s="30" t="n"/>
    </row>
    <row r="1888">
      <c r="A1888" s="30" t="n"/>
      <c r="B1888" s="30" t="n"/>
      <c r="C1888" s="30" t="n"/>
      <c r="D1888" s="30" t="n"/>
      <c r="E1888" s="30" t="n"/>
      <c r="F1888" s="30" t="n"/>
      <c r="G1888" s="30" t="n"/>
      <c r="H1888" s="30" t="n"/>
      <c r="I1888" s="31" t="n"/>
      <c r="J1888" s="30" t="n"/>
      <c r="K1888" s="30" t="n"/>
      <c r="L1888" s="30" t="n"/>
      <c r="M1888" s="30" t="n"/>
      <c r="N1888" s="32" t="n"/>
      <c r="O1888" s="30" t="n"/>
      <c r="P1888" s="32" t="n"/>
      <c r="Q1888" s="30" t="n"/>
      <c r="R1888" s="32" t="n"/>
      <c r="S1888" s="30" t="n"/>
      <c r="T1888" s="30" t="n"/>
      <c r="U1888" s="30" t="n"/>
      <c r="V1888" s="30" t="n"/>
      <c r="W1888" s="29">
        <f>IF(H1888="","",IF(H1888="Kenya","Yes","No"))</f>
        <v/>
      </c>
      <c r="X1888" s="29">
        <f>IF(B1888="","",IF(COUNTIF($B$5:$B$3004,B1888)&gt;1,"DUPLICATE","OK"))</f>
        <v/>
      </c>
      <c r="Y1888" s="29">
        <f>IF(OR(U1888="",V1888="",V1888="Excluded"),"",IF(COUNTIFS($U$5:$U$3004,U1888,$V$5:$V$3004,"&lt;&gt;"&amp;V1888,$V$5:$V$3004,"&lt;&gt;",$V$5:$V$3004,"&lt;&gt;Excluded")&gt;0,"LEAK RISK","OK"))</f>
        <v/>
      </c>
      <c r="Z1888" s="30" t="n"/>
    </row>
    <row r="1889">
      <c r="A1889" s="30" t="n"/>
      <c r="B1889" s="30" t="n"/>
      <c r="C1889" s="30" t="n"/>
      <c r="D1889" s="30" t="n"/>
      <c r="E1889" s="30" t="n"/>
      <c r="F1889" s="30" t="n"/>
      <c r="G1889" s="30" t="n"/>
      <c r="H1889" s="30" t="n"/>
      <c r="I1889" s="31" t="n"/>
      <c r="J1889" s="30" t="n"/>
      <c r="K1889" s="30" t="n"/>
      <c r="L1889" s="30" t="n"/>
      <c r="M1889" s="30" t="n"/>
      <c r="N1889" s="32" t="n"/>
      <c r="O1889" s="30" t="n"/>
      <c r="P1889" s="32" t="n"/>
      <c r="Q1889" s="30" t="n"/>
      <c r="R1889" s="32" t="n"/>
      <c r="S1889" s="30" t="n"/>
      <c r="T1889" s="30" t="n"/>
      <c r="U1889" s="30" t="n"/>
      <c r="V1889" s="30" t="n"/>
      <c r="W1889" s="29">
        <f>IF(H1889="","",IF(H1889="Kenya","Yes","No"))</f>
        <v/>
      </c>
      <c r="X1889" s="29">
        <f>IF(B1889="","",IF(COUNTIF($B$5:$B$3004,B1889)&gt;1,"DUPLICATE","OK"))</f>
        <v/>
      </c>
      <c r="Y1889" s="29">
        <f>IF(OR(U1889="",V1889="",V1889="Excluded"),"",IF(COUNTIFS($U$5:$U$3004,U1889,$V$5:$V$3004,"&lt;&gt;"&amp;V1889,$V$5:$V$3004,"&lt;&gt;",$V$5:$V$3004,"&lt;&gt;Excluded")&gt;0,"LEAK RISK","OK"))</f>
        <v/>
      </c>
      <c r="Z1889" s="30" t="n"/>
    </row>
    <row r="1890">
      <c r="A1890" s="30" t="n"/>
      <c r="B1890" s="30" t="n"/>
      <c r="C1890" s="30" t="n"/>
      <c r="D1890" s="30" t="n"/>
      <c r="E1890" s="30" t="n"/>
      <c r="F1890" s="30" t="n"/>
      <c r="G1890" s="30" t="n"/>
      <c r="H1890" s="30" t="n"/>
      <c r="I1890" s="31" t="n"/>
      <c r="J1890" s="30" t="n"/>
      <c r="K1890" s="30" t="n"/>
      <c r="L1890" s="30" t="n"/>
      <c r="M1890" s="30" t="n"/>
      <c r="N1890" s="32" t="n"/>
      <c r="O1890" s="30" t="n"/>
      <c r="P1890" s="32" t="n"/>
      <c r="Q1890" s="30" t="n"/>
      <c r="R1890" s="32" t="n"/>
      <c r="S1890" s="30" t="n"/>
      <c r="T1890" s="30" t="n"/>
      <c r="U1890" s="30" t="n"/>
      <c r="V1890" s="30" t="n"/>
      <c r="W1890" s="29">
        <f>IF(H1890="","",IF(H1890="Kenya","Yes","No"))</f>
        <v/>
      </c>
      <c r="X1890" s="29">
        <f>IF(B1890="","",IF(COUNTIF($B$5:$B$3004,B1890)&gt;1,"DUPLICATE","OK"))</f>
        <v/>
      </c>
      <c r="Y1890" s="29">
        <f>IF(OR(U1890="",V1890="",V1890="Excluded"),"",IF(COUNTIFS($U$5:$U$3004,U1890,$V$5:$V$3004,"&lt;&gt;"&amp;V1890,$V$5:$V$3004,"&lt;&gt;",$V$5:$V$3004,"&lt;&gt;Excluded")&gt;0,"LEAK RISK","OK"))</f>
        <v/>
      </c>
      <c r="Z1890" s="30" t="n"/>
    </row>
    <row r="1891">
      <c r="A1891" s="30" t="n"/>
      <c r="B1891" s="30" t="n"/>
      <c r="C1891" s="30" t="n"/>
      <c r="D1891" s="30" t="n"/>
      <c r="E1891" s="30" t="n"/>
      <c r="F1891" s="30" t="n"/>
      <c r="G1891" s="30" t="n"/>
      <c r="H1891" s="30" t="n"/>
      <c r="I1891" s="31" t="n"/>
      <c r="J1891" s="30" t="n"/>
      <c r="K1891" s="30" t="n"/>
      <c r="L1891" s="30" t="n"/>
      <c r="M1891" s="30" t="n"/>
      <c r="N1891" s="32" t="n"/>
      <c r="O1891" s="30" t="n"/>
      <c r="P1891" s="32" t="n"/>
      <c r="Q1891" s="30" t="n"/>
      <c r="R1891" s="32" t="n"/>
      <c r="S1891" s="30" t="n"/>
      <c r="T1891" s="30" t="n"/>
      <c r="U1891" s="30" t="n"/>
      <c r="V1891" s="30" t="n"/>
      <c r="W1891" s="29">
        <f>IF(H1891="","",IF(H1891="Kenya","Yes","No"))</f>
        <v/>
      </c>
      <c r="X1891" s="29">
        <f>IF(B1891="","",IF(COUNTIF($B$5:$B$3004,B1891)&gt;1,"DUPLICATE","OK"))</f>
        <v/>
      </c>
      <c r="Y1891" s="29">
        <f>IF(OR(U1891="",V1891="",V1891="Excluded"),"",IF(COUNTIFS($U$5:$U$3004,U1891,$V$5:$V$3004,"&lt;&gt;"&amp;V1891,$V$5:$V$3004,"&lt;&gt;",$V$5:$V$3004,"&lt;&gt;Excluded")&gt;0,"LEAK RISK","OK"))</f>
        <v/>
      </c>
      <c r="Z1891" s="30" t="n"/>
    </row>
    <row r="1892">
      <c r="A1892" s="30" t="n"/>
      <c r="B1892" s="30" t="n"/>
      <c r="C1892" s="30" t="n"/>
      <c r="D1892" s="30" t="n"/>
      <c r="E1892" s="30" t="n"/>
      <c r="F1892" s="30" t="n"/>
      <c r="G1892" s="30" t="n"/>
      <c r="H1892" s="30" t="n"/>
      <c r="I1892" s="31" t="n"/>
      <c r="J1892" s="30" t="n"/>
      <c r="K1892" s="30" t="n"/>
      <c r="L1892" s="30" t="n"/>
      <c r="M1892" s="30" t="n"/>
      <c r="N1892" s="32" t="n"/>
      <c r="O1892" s="30" t="n"/>
      <c r="P1892" s="32" t="n"/>
      <c r="Q1892" s="30" t="n"/>
      <c r="R1892" s="32" t="n"/>
      <c r="S1892" s="30" t="n"/>
      <c r="T1892" s="30" t="n"/>
      <c r="U1892" s="30" t="n"/>
      <c r="V1892" s="30" t="n"/>
      <c r="W1892" s="29">
        <f>IF(H1892="","",IF(H1892="Kenya","Yes","No"))</f>
        <v/>
      </c>
      <c r="X1892" s="29">
        <f>IF(B1892="","",IF(COUNTIF($B$5:$B$3004,B1892)&gt;1,"DUPLICATE","OK"))</f>
        <v/>
      </c>
      <c r="Y1892" s="29">
        <f>IF(OR(U1892="",V1892="",V1892="Excluded"),"",IF(COUNTIFS($U$5:$U$3004,U1892,$V$5:$V$3004,"&lt;&gt;"&amp;V1892,$V$5:$V$3004,"&lt;&gt;",$V$5:$V$3004,"&lt;&gt;Excluded")&gt;0,"LEAK RISK","OK"))</f>
        <v/>
      </c>
      <c r="Z1892" s="30" t="n"/>
    </row>
    <row r="1893">
      <c r="A1893" s="30" t="n"/>
      <c r="B1893" s="30" t="n"/>
      <c r="C1893" s="30" t="n"/>
      <c r="D1893" s="30" t="n"/>
      <c r="E1893" s="30" t="n"/>
      <c r="F1893" s="30" t="n"/>
      <c r="G1893" s="30" t="n"/>
      <c r="H1893" s="30" t="n"/>
      <c r="I1893" s="31" t="n"/>
      <c r="J1893" s="30" t="n"/>
      <c r="K1893" s="30" t="n"/>
      <c r="L1893" s="30" t="n"/>
      <c r="M1893" s="30" t="n"/>
      <c r="N1893" s="32" t="n"/>
      <c r="O1893" s="30" t="n"/>
      <c r="P1893" s="32" t="n"/>
      <c r="Q1893" s="30" t="n"/>
      <c r="R1893" s="32" t="n"/>
      <c r="S1893" s="30" t="n"/>
      <c r="T1893" s="30" t="n"/>
      <c r="U1893" s="30" t="n"/>
      <c r="V1893" s="30" t="n"/>
      <c r="W1893" s="29">
        <f>IF(H1893="","",IF(H1893="Kenya","Yes","No"))</f>
        <v/>
      </c>
      <c r="X1893" s="29">
        <f>IF(B1893="","",IF(COUNTIF($B$5:$B$3004,B1893)&gt;1,"DUPLICATE","OK"))</f>
        <v/>
      </c>
      <c r="Y1893" s="29">
        <f>IF(OR(U1893="",V1893="",V1893="Excluded"),"",IF(COUNTIFS($U$5:$U$3004,U1893,$V$5:$V$3004,"&lt;&gt;"&amp;V1893,$V$5:$V$3004,"&lt;&gt;",$V$5:$V$3004,"&lt;&gt;Excluded")&gt;0,"LEAK RISK","OK"))</f>
        <v/>
      </c>
      <c r="Z1893" s="30" t="n"/>
    </row>
    <row r="1894">
      <c r="A1894" s="30" t="n"/>
      <c r="B1894" s="30" t="n"/>
      <c r="C1894" s="30" t="n"/>
      <c r="D1894" s="30" t="n"/>
      <c r="E1894" s="30" t="n"/>
      <c r="F1894" s="30" t="n"/>
      <c r="G1894" s="30" t="n"/>
      <c r="H1894" s="30" t="n"/>
      <c r="I1894" s="31" t="n"/>
      <c r="J1894" s="30" t="n"/>
      <c r="K1894" s="30" t="n"/>
      <c r="L1894" s="30" t="n"/>
      <c r="M1894" s="30" t="n"/>
      <c r="N1894" s="32" t="n"/>
      <c r="O1894" s="30" t="n"/>
      <c r="P1894" s="32" t="n"/>
      <c r="Q1894" s="30" t="n"/>
      <c r="R1894" s="32" t="n"/>
      <c r="S1894" s="30" t="n"/>
      <c r="T1894" s="30" t="n"/>
      <c r="U1894" s="30" t="n"/>
      <c r="V1894" s="30" t="n"/>
      <c r="W1894" s="29">
        <f>IF(H1894="","",IF(H1894="Kenya","Yes","No"))</f>
        <v/>
      </c>
      <c r="X1894" s="29">
        <f>IF(B1894="","",IF(COUNTIF($B$5:$B$3004,B1894)&gt;1,"DUPLICATE","OK"))</f>
        <v/>
      </c>
      <c r="Y1894" s="29">
        <f>IF(OR(U1894="",V1894="",V1894="Excluded"),"",IF(COUNTIFS($U$5:$U$3004,U1894,$V$5:$V$3004,"&lt;&gt;"&amp;V1894,$V$5:$V$3004,"&lt;&gt;",$V$5:$V$3004,"&lt;&gt;Excluded")&gt;0,"LEAK RISK","OK"))</f>
        <v/>
      </c>
      <c r="Z1894" s="30" t="n"/>
    </row>
    <row r="1895">
      <c r="A1895" s="30" t="n"/>
      <c r="B1895" s="30" t="n"/>
      <c r="C1895" s="30" t="n"/>
      <c r="D1895" s="30" t="n"/>
      <c r="E1895" s="30" t="n"/>
      <c r="F1895" s="30" t="n"/>
      <c r="G1895" s="30" t="n"/>
      <c r="H1895" s="30" t="n"/>
      <c r="I1895" s="31" t="n"/>
      <c r="J1895" s="30" t="n"/>
      <c r="K1895" s="30" t="n"/>
      <c r="L1895" s="30" t="n"/>
      <c r="M1895" s="30" t="n"/>
      <c r="N1895" s="32" t="n"/>
      <c r="O1895" s="30" t="n"/>
      <c r="P1895" s="32" t="n"/>
      <c r="Q1895" s="30" t="n"/>
      <c r="R1895" s="32" t="n"/>
      <c r="S1895" s="30" t="n"/>
      <c r="T1895" s="30" t="n"/>
      <c r="U1895" s="30" t="n"/>
      <c r="V1895" s="30" t="n"/>
      <c r="W1895" s="29">
        <f>IF(H1895="","",IF(H1895="Kenya","Yes","No"))</f>
        <v/>
      </c>
      <c r="X1895" s="29">
        <f>IF(B1895="","",IF(COUNTIF($B$5:$B$3004,B1895)&gt;1,"DUPLICATE","OK"))</f>
        <v/>
      </c>
      <c r="Y1895" s="29">
        <f>IF(OR(U1895="",V1895="",V1895="Excluded"),"",IF(COUNTIFS($U$5:$U$3004,U1895,$V$5:$V$3004,"&lt;&gt;"&amp;V1895,$V$5:$V$3004,"&lt;&gt;",$V$5:$V$3004,"&lt;&gt;Excluded")&gt;0,"LEAK RISK","OK"))</f>
        <v/>
      </c>
      <c r="Z1895" s="30" t="n"/>
    </row>
    <row r="1896">
      <c r="A1896" s="30" t="n"/>
      <c r="B1896" s="30" t="n"/>
      <c r="C1896" s="30" t="n"/>
      <c r="D1896" s="30" t="n"/>
      <c r="E1896" s="30" t="n"/>
      <c r="F1896" s="30" t="n"/>
      <c r="G1896" s="30" t="n"/>
      <c r="H1896" s="30" t="n"/>
      <c r="I1896" s="31" t="n"/>
      <c r="J1896" s="30" t="n"/>
      <c r="K1896" s="30" t="n"/>
      <c r="L1896" s="30" t="n"/>
      <c r="M1896" s="30" t="n"/>
      <c r="N1896" s="32" t="n"/>
      <c r="O1896" s="30" t="n"/>
      <c r="P1896" s="32" t="n"/>
      <c r="Q1896" s="30" t="n"/>
      <c r="R1896" s="32" t="n"/>
      <c r="S1896" s="30" t="n"/>
      <c r="T1896" s="30" t="n"/>
      <c r="U1896" s="30" t="n"/>
      <c r="V1896" s="30" t="n"/>
      <c r="W1896" s="29">
        <f>IF(H1896="","",IF(H1896="Kenya","Yes","No"))</f>
        <v/>
      </c>
      <c r="X1896" s="29">
        <f>IF(B1896="","",IF(COUNTIF($B$5:$B$3004,B1896)&gt;1,"DUPLICATE","OK"))</f>
        <v/>
      </c>
      <c r="Y1896" s="29">
        <f>IF(OR(U1896="",V1896="",V1896="Excluded"),"",IF(COUNTIFS($U$5:$U$3004,U1896,$V$5:$V$3004,"&lt;&gt;"&amp;V1896,$V$5:$V$3004,"&lt;&gt;",$V$5:$V$3004,"&lt;&gt;Excluded")&gt;0,"LEAK RISK","OK"))</f>
        <v/>
      </c>
      <c r="Z1896" s="30" t="n"/>
    </row>
    <row r="1897">
      <c r="A1897" s="30" t="n"/>
      <c r="B1897" s="30" t="n"/>
      <c r="C1897" s="30" t="n"/>
      <c r="D1897" s="30" t="n"/>
      <c r="E1897" s="30" t="n"/>
      <c r="F1897" s="30" t="n"/>
      <c r="G1897" s="30" t="n"/>
      <c r="H1897" s="30" t="n"/>
      <c r="I1897" s="31" t="n"/>
      <c r="J1897" s="30" t="n"/>
      <c r="K1897" s="30" t="n"/>
      <c r="L1897" s="30" t="n"/>
      <c r="M1897" s="30" t="n"/>
      <c r="N1897" s="32" t="n"/>
      <c r="O1897" s="30" t="n"/>
      <c r="P1897" s="32" t="n"/>
      <c r="Q1897" s="30" t="n"/>
      <c r="R1897" s="32" t="n"/>
      <c r="S1897" s="30" t="n"/>
      <c r="T1897" s="30" t="n"/>
      <c r="U1897" s="30" t="n"/>
      <c r="V1897" s="30" t="n"/>
      <c r="W1897" s="29">
        <f>IF(H1897="","",IF(H1897="Kenya","Yes","No"))</f>
        <v/>
      </c>
      <c r="X1897" s="29">
        <f>IF(B1897="","",IF(COUNTIF($B$5:$B$3004,B1897)&gt;1,"DUPLICATE","OK"))</f>
        <v/>
      </c>
      <c r="Y1897" s="29">
        <f>IF(OR(U1897="",V1897="",V1897="Excluded"),"",IF(COUNTIFS($U$5:$U$3004,U1897,$V$5:$V$3004,"&lt;&gt;"&amp;V1897,$V$5:$V$3004,"&lt;&gt;",$V$5:$V$3004,"&lt;&gt;Excluded")&gt;0,"LEAK RISK","OK"))</f>
        <v/>
      </c>
      <c r="Z1897" s="30" t="n"/>
    </row>
    <row r="1898">
      <c r="A1898" s="30" t="n"/>
      <c r="B1898" s="30" t="n"/>
      <c r="C1898" s="30" t="n"/>
      <c r="D1898" s="30" t="n"/>
      <c r="E1898" s="30" t="n"/>
      <c r="F1898" s="30" t="n"/>
      <c r="G1898" s="30" t="n"/>
      <c r="H1898" s="30" t="n"/>
      <c r="I1898" s="31" t="n"/>
      <c r="J1898" s="30" t="n"/>
      <c r="K1898" s="30" t="n"/>
      <c r="L1898" s="30" t="n"/>
      <c r="M1898" s="30" t="n"/>
      <c r="N1898" s="32" t="n"/>
      <c r="O1898" s="30" t="n"/>
      <c r="P1898" s="32" t="n"/>
      <c r="Q1898" s="30" t="n"/>
      <c r="R1898" s="32" t="n"/>
      <c r="S1898" s="30" t="n"/>
      <c r="T1898" s="30" t="n"/>
      <c r="U1898" s="30" t="n"/>
      <c r="V1898" s="30" t="n"/>
      <c r="W1898" s="29">
        <f>IF(H1898="","",IF(H1898="Kenya","Yes","No"))</f>
        <v/>
      </c>
      <c r="X1898" s="29">
        <f>IF(B1898="","",IF(COUNTIF($B$5:$B$3004,B1898)&gt;1,"DUPLICATE","OK"))</f>
        <v/>
      </c>
      <c r="Y1898" s="29">
        <f>IF(OR(U1898="",V1898="",V1898="Excluded"),"",IF(COUNTIFS($U$5:$U$3004,U1898,$V$5:$V$3004,"&lt;&gt;"&amp;V1898,$V$5:$V$3004,"&lt;&gt;",$V$5:$V$3004,"&lt;&gt;Excluded")&gt;0,"LEAK RISK","OK"))</f>
        <v/>
      </c>
      <c r="Z1898" s="30" t="n"/>
    </row>
    <row r="1899">
      <c r="A1899" s="30" t="n"/>
      <c r="B1899" s="30" t="n"/>
      <c r="C1899" s="30" t="n"/>
      <c r="D1899" s="30" t="n"/>
      <c r="E1899" s="30" t="n"/>
      <c r="F1899" s="30" t="n"/>
      <c r="G1899" s="30" t="n"/>
      <c r="H1899" s="30" t="n"/>
      <c r="I1899" s="31" t="n"/>
      <c r="J1899" s="30" t="n"/>
      <c r="K1899" s="30" t="n"/>
      <c r="L1899" s="30" t="n"/>
      <c r="M1899" s="30" t="n"/>
      <c r="N1899" s="32" t="n"/>
      <c r="O1899" s="30" t="n"/>
      <c r="P1899" s="32" t="n"/>
      <c r="Q1899" s="30" t="n"/>
      <c r="R1899" s="32" t="n"/>
      <c r="S1899" s="30" t="n"/>
      <c r="T1899" s="30" t="n"/>
      <c r="U1899" s="30" t="n"/>
      <c r="V1899" s="30" t="n"/>
      <c r="W1899" s="29">
        <f>IF(H1899="","",IF(H1899="Kenya","Yes","No"))</f>
        <v/>
      </c>
      <c r="X1899" s="29">
        <f>IF(B1899="","",IF(COUNTIF($B$5:$B$3004,B1899)&gt;1,"DUPLICATE","OK"))</f>
        <v/>
      </c>
      <c r="Y1899" s="29">
        <f>IF(OR(U1899="",V1899="",V1899="Excluded"),"",IF(COUNTIFS($U$5:$U$3004,U1899,$V$5:$V$3004,"&lt;&gt;"&amp;V1899,$V$5:$V$3004,"&lt;&gt;",$V$5:$V$3004,"&lt;&gt;Excluded")&gt;0,"LEAK RISK","OK"))</f>
        <v/>
      </c>
      <c r="Z1899" s="30" t="n"/>
    </row>
    <row r="1900">
      <c r="A1900" s="30" t="n"/>
      <c r="B1900" s="30" t="n"/>
      <c r="C1900" s="30" t="n"/>
      <c r="D1900" s="30" t="n"/>
      <c r="E1900" s="30" t="n"/>
      <c r="F1900" s="30" t="n"/>
      <c r="G1900" s="30" t="n"/>
      <c r="H1900" s="30" t="n"/>
      <c r="I1900" s="31" t="n"/>
      <c r="J1900" s="30" t="n"/>
      <c r="K1900" s="30" t="n"/>
      <c r="L1900" s="30" t="n"/>
      <c r="M1900" s="30" t="n"/>
      <c r="N1900" s="32" t="n"/>
      <c r="O1900" s="30" t="n"/>
      <c r="P1900" s="32" t="n"/>
      <c r="Q1900" s="30" t="n"/>
      <c r="R1900" s="32" t="n"/>
      <c r="S1900" s="30" t="n"/>
      <c r="T1900" s="30" t="n"/>
      <c r="U1900" s="30" t="n"/>
      <c r="V1900" s="30" t="n"/>
      <c r="W1900" s="29">
        <f>IF(H1900="","",IF(H1900="Kenya","Yes","No"))</f>
        <v/>
      </c>
      <c r="X1900" s="29">
        <f>IF(B1900="","",IF(COUNTIF($B$5:$B$3004,B1900)&gt;1,"DUPLICATE","OK"))</f>
        <v/>
      </c>
      <c r="Y1900" s="29">
        <f>IF(OR(U1900="",V1900="",V1900="Excluded"),"",IF(COUNTIFS($U$5:$U$3004,U1900,$V$5:$V$3004,"&lt;&gt;"&amp;V1900,$V$5:$V$3004,"&lt;&gt;",$V$5:$V$3004,"&lt;&gt;Excluded")&gt;0,"LEAK RISK","OK"))</f>
        <v/>
      </c>
      <c r="Z1900" s="30" t="n"/>
    </row>
    <row r="1901">
      <c r="A1901" s="30" t="n"/>
      <c r="B1901" s="30" t="n"/>
      <c r="C1901" s="30" t="n"/>
      <c r="D1901" s="30" t="n"/>
      <c r="E1901" s="30" t="n"/>
      <c r="F1901" s="30" t="n"/>
      <c r="G1901" s="30" t="n"/>
      <c r="H1901" s="30" t="n"/>
      <c r="I1901" s="31" t="n"/>
      <c r="J1901" s="30" t="n"/>
      <c r="K1901" s="30" t="n"/>
      <c r="L1901" s="30" t="n"/>
      <c r="M1901" s="30" t="n"/>
      <c r="N1901" s="32" t="n"/>
      <c r="O1901" s="30" t="n"/>
      <c r="P1901" s="32" t="n"/>
      <c r="Q1901" s="30" t="n"/>
      <c r="R1901" s="32" t="n"/>
      <c r="S1901" s="30" t="n"/>
      <c r="T1901" s="30" t="n"/>
      <c r="U1901" s="30" t="n"/>
      <c r="V1901" s="30" t="n"/>
      <c r="W1901" s="29">
        <f>IF(H1901="","",IF(H1901="Kenya","Yes","No"))</f>
        <v/>
      </c>
      <c r="X1901" s="29">
        <f>IF(B1901="","",IF(COUNTIF($B$5:$B$3004,B1901)&gt;1,"DUPLICATE","OK"))</f>
        <v/>
      </c>
      <c r="Y1901" s="29">
        <f>IF(OR(U1901="",V1901="",V1901="Excluded"),"",IF(COUNTIFS($U$5:$U$3004,U1901,$V$5:$V$3004,"&lt;&gt;"&amp;V1901,$V$5:$V$3004,"&lt;&gt;",$V$5:$V$3004,"&lt;&gt;Excluded")&gt;0,"LEAK RISK","OK"))</f>
        <v/>
      </c>
      <c r="Z1901" s="30" t="n"/>
    </row>
    <row r="1902">
      <c r="A1902" s="30" t="n"/>
      <c r="B1902" s="30" t="n"/>
      <c r="C1902" s="30" t="n"/>
      <c r="D1902" s="30" t="n"/>
      <c r="E1902" s="30" t="n"/>
      <c r="F1902" s="30" t="n"/>
      <c r="G1902" s="30" t="n"/>
      <c r="H1902" s="30" t="n"/>
      <c r="I1902" s="31" t="n"/>
      <c r="J1902" s="30" t="n"/>
      <c r="K1902" s="30" t="n"/>
      <c r="L1902" s="30" t="n"/>
      <c r="M1902" s="30" t="n"/>
      <c r="N1902" s="32" t="n"/>
      <c r="O1902" s="30" t="n"/>
      <c r="P1902" s="32" t="n"/>
      <c r="Q1902" s="30" t="n"/>
      <c r="R1902" s="32" t="n"/>
      <c r="S1902" s="30" t="n"/>
      <c r="T1902" s="30" t="n"/>
      <c r="U1902" s="30" t="n"/>
      <c r="V1902" s="30" t="n"/>
      <c r="W1902" s="29">
        <f>IF(H1902="","",IF(H1902="Kenya","Yes","No"))</f>
        <v/>
      </c>
      <c r="X1902" s="29">
        <f>IF(B1902="","",IF(COUNTIF($B$5:$B$3004,B1902)&gt;1,"DUPLICATE","OK"))</f>
        <v/>
      </c>
      <c r="Y1902" s="29">
        <f>IF(OR(U1902="",V1902="",V1902="Excluded"),"",IF(COUNTIFS($U$5:$U$3004,U1902,$V$5:$V$3004,"&lt;&gt;"&amp;V1902,$V$5:$V$3004,"&lt;&gt;",$V$5:$V$3004,"&lt;&gt;Excluded")&gt;0,"LEAK RISK","OK"))</f>
        <v/>
      </c>
      <c r="Z1902" s="30" t="n"/>
    </row>
    <row r="1903">
      <c r="A1903" s="30" t="n"/>
      <c r="B1903" s="30" t="n"/>
      <c r="C1903" s="30" t="n"/>
      <c r="D1903" s="30" t="n"/>
      <c r="E1903" s="30" t="n"/>
      <c r="F1903" s="30" t="n"/>
      <c r="G1903" s="30" t="n"/>
      <c r="H1903" s="30" t="n"/>
      <c r="I1903" s="31" t="n"/>
      <c r="J1903" s="30" t="n"/>
      <c r="K1903" s="30" t="n"/>
      <c r="L1903" s="30" t="n"/>
      <c r="M1903" s="30" t="n"/>
      <c r="N1903" s="32" t="n"/>
      <c r="O1903" s="30" t="n"/>
      <c r="P1903" s="32" t="n"/>
      <c r="Q1903" s="30" t="n"/>
      <c r="R1903" s="32" t="n"/>
      <c r="S1903" s="30" t="n"/>
      <c r="T1903" s="30" t="n"/>
      <c r="U1903" s="30" t="n"/>
      <c r="V1903" s="30" t="n"/>
      <c r="W1903" s="29">
        <f>IF(H1903="","",IF(H1903="Kenya","Yes","No"))</f>
        <v/>
      </c>
      <c r="X1903" s="29">
        <f>IF(B1903="","",IF(COUNTIF($B$5:$B$3004,B1903)&gt;1,"DUPLICATE","OK"))</f>
        <v/>
      </c>
      <c r="Y1903" s="29">
        <f>IF(OR(U1903="",V1903="",V1903="Excluded"),"",IF(COUNTIFS($U$5:$U$3004,U1903,$V$5:$V$3004,"&lt;&gt;"&amp;V1903,$V$5:$V$3004,"&lt;&gt;",$V$5:$V$3004,"&lt;&gt;Excluded")&gt;0,"LEAK RISK","OK"))</f>
        <v/>
      </c>
      <c r="Z1903" s="30" t="n"/>
    </row>
    <row r="1904">
      <c r="A1904" s="30" t="n"/>
      <c r="B1904" s="30" t="n"/>
      <c r="C1904" s="30" t="n"/>
      <c r="D1904" s="30" t="n"/>
      <c r="E1904" s="30" t="n"/>
      <c r="F1904" s="30" t="n"/>
      <c r="G1904" s="30" t="n"/>
      <c r="H1904" s="30" t="n"/>
      <c r="I1904" s="31" t="n"/>
      <c r="J1904" s="30" t="n"/>
      <c r="K1904" s="30" t="n"/>
      <c r="L1904" s="30" t="n"/>
      <c r="M1904" s="30" t="n"/>
      <c r="N1904" s="32" t="n"/>
      <c r="O1904" s="30" t="n"/>
      <c r="P1904" s="32" t="n"/>
      <c r="Q1904" s="30" t="n"/>
      <c r="R1904" s="32" t="n"/>
      <c r="S1904" s="30" t="n"/>
      <c r="T1904" s="30" t="n"/>
      <c r="U1904" s="30" t="n"/>
      <c r="V1904" s="30" t="n"/>
      <c r="W1904" s="29">
        <f>IF(H1904="","",IF(H1904="Kenya","Yes","No"))</f>
        <v/>
      </c>
      <c r="X1904" s="29">
        <f>IF(B1904="","",IF(COUNTIF($B$5:$B$3004,B1904)&gt;1,"DUPLICATE","OK"))</f>
        <v/>
      </c>
      <c r="Y1904" s="29">
        <f>IF(OR(U1904="",V1904="",V1904="Excluded"),"",IF(COUNTIFS($U$5:$U$3004,U1904,$V$5:$V$3004,"&lt;&gt;"&amp;V1904,$V$5:$V$3004,"&lt;&gt;",$V$5:$V$3004,"&lt;&gt;Excluded")&gt;0,"LEAK RISK","OK"))</f>
        <v/>
      </c>
      <c r="Z1904" s="30" t="n"/>
    </row>
    <row r="1905">
      <c r="A1905" s="30" t="n"/>
      <c r="B1905" s="30" t="n"/>
      <c r="C1905" s="30" t="n"/>
      <c r="D1905" s="30" t="n"/>
      <c r="E1905" s="30" t="n"/>
      <c r="F1905" s="30" t="n"/>
      <c r="G1905" s="30" t="n"/>
      <c r="H1905" s="30" t="n"/>
      <c r="I1905" s="31" t="n"/>
      <c r="J1905" s="30" t="n"/>
      <c r="K1905" s="30" t="n"/>
      <c r="L1905" s="30" t="n"/>
      <c r="M1905" s="30" t="n"/>
      <c r="N1905" s="32" t="n"/>
      <c r="O1905" s="30" t="n"/>
      <c r="P1905" s="32" t="n"/>
      <c r="Q1905" s="30" t="n"/>
      <c r="R1905" s="32" t="n"/>
      <c r="S1905" s="30" t="n"/>
      <c r="T1905" s="30" t="n"/>
      <c r="U1905" s="30" t="n"/>
      <c r="V1905" s="30" t="n"/>
      <c r="W1905" s="29">
        <f>IF(H1905="","",IF(H1905="Kenya","Yes","No"))</f>
        <v/>
      </c>
      <c r="X1905" s="29">
        <f>IF(B1905="","",IF(COUNTIF($B$5:$B$3004,B1905)&gt;1,"DUPLICATE","OK"))</f>
        <v/>
      </c>
      <c r="Y1905" s="29">
        <f>IF(OR(U1905="",V1905="",V1905="Excluded"),"",IF(COUNTIFS($U$5:$U$3004,U1905,$V$5:$V$3004,"&lt;&gt;"&amp;V1905,$V$5:$V$3004,"&lt;&gt;",$V$5:$V$3004,"&lt;&gt;Excluded")&gt;0,"LEAK RISK","OK"))</f>
        <v/>
      </c>
      <c r="Z1905" s="30" t="n"/>
    </row>
    <row r="1906">
      <c r="A1906" s="30" t="n"/>
      <c r="B1906" s="30" t="n"/>
      <c r="C1906" s="30" t="n"/>
      <c r="D1906" s="30" t="n"/>
      <c r="E1906" s="30" t="n"/>
      <c r="F1906" s="30" t="n"/>
      <c r="G1906" s="30" t="n"/>
      <c r="H1906" s="30" t="n"/>
      <c r="I1906" s="31" t="n"/>
      <c r="J1906" s="30" t="n"/>
      <c r="K1906" s="30" t="n"/>
      <c r="L1906" s="30" t="n"/>
      <c r="M1906" s="30" t="n"/>
      <c r="N1906" s="32" t="n"/>
      <c r="O1906" s="30" t="n"/>
      <c r="P1906" s="32" t="n"/>
      <c r="Q1906" s="30" t="n"/>
      <c r="R1906" s="32" t="n"/>
      <c r="S1906" s="30" t="n"/>
      <c r="T1906" s="30" t="n"/>
      <c r="U1906" s="30" t="n"/>
      <c r="V1906" s="30" t="n"/>
      <c r="W1906" s="29">
        <f>IF(H1906="","",IF(H1906="Kenya","Yes","No"))</f>
        <v/>
      </c>
      <c r="X1906" s="29">
        <f>IF(B1906="","",IF(COUNTIF($B$5:$B$3004,B1906)&gt;1,"DUPLICATE","OK"))</f>
        <v/>
      </c>
      <c r="Y1906" s="29">
        <f>IF(OR(U1906="",V1906="",V1906="Excluded"),"",IF(COUNTIFS($U$5:$U$3004,U1906,$V$5:$V$3004,"&lt;&gt;"&amp;V1906,$V$5:$V$3004,"&lt;&gt;",$V$5:$V$3004,"&lt;&gt;Excluded")&gt;0,"LEAK RISK","OK"))</f>
        <v/>
      </c>
      <c r="Z1906" s="30" t="n"/>
    </row>
    <row r="1907">
      <c r="A1907" s="30" t="n"/>
      <c r="B1907" s="30" t="n"/>
      <c r="C1907" s="30" t="n"/>
      <c r="D1907" s="30" t="n"/>
      <c r="E1907" s="30" t="n"/>
      <c r="F1907" s="30" t="n"/>
      <c r="G1907" s="30" t="n"/>
      <c r="H1907" s="30" t="n"/>
      <c r="I1907" s="31" t="n"/>
      <c r="J1907" s="30" t="n"/>
      <c r="K1907" s="30" t="n"/>
      <c r="L1907" s="30" t="n"/>
      <c r="M1907" s="30" t="n"/>
      <c r="N1907" s="32" t="n"/>
      <c r="O1907" s="30" t="n"/>
      <c r="P1907" s="32" t="n"/>
      <c r="Q1907" s="30" t="n"/>
      <c r="R1907" s="32" t="n"/>
      <c r="S1907" s="30" t="n"/>
      <c r="T1907" s="30" t="n"/>
      <c r="U1907" s="30" t="n"/>
      <c r="V1907" s="30" t="n"/>
      <c r="W1907" s="29">
        <f>IF(H1907="","",IF(H1907="Kenya","Yes","No"))</f>
        <v/>
      </c>
      <c r="X1907" s="29">
        <f>IF(B1907="","",IF(COUNTIF($B$5:$B$3004,B1907)&gt;1,"DUPLICATE","OK"))</f>
        <v/>
      </c>
      <c r="Y1907" s="29">
        <f>IF(OR(U1907="",V1907="",V1907="Excluded"),"",IF(COUNTIFS($U$5:$U$3004,U1907,$V$5:$V$3004,"&lt;&gt;"&amp;V1907,$V$5:$V$3004,"&lt;&gt;",$V$5:$V$3004,"&lt;&gt;Excluded")&gt;0,"LEAK RISK","OK"))</f>
        <v/>
      </c>
      <c r="Z1907" s="30" t="n"/>
    </row>
    <row r="1908">
      <c r="A1908" s="30" t="n"/>
      <c r="B1908" s="30" t="n"/>
      <c r="C1908" s="30" t="n"/>
      <c r="D1908" s="30" t="n"/>
      <c r="E1908" s="30" t="n"/>
      <c r="F1908" s="30" t="n"/>
      <c r="G1908" s="30" t="n"/>
      <c r="H1908" s="30" t="n"/>
      <c r="I1908" s="31" t="n"/>
      <c r="J1908" s="30" t="n"/>
      <c r="K1908" s="30" t="n"/>
      <c r="L1908" s="30" t="n"/>
      <c r="M1908" s="30" t="n"/>
      <c r="N1908" s="32" t="n"/>
      <c r="O1908" s="30" t="n"/>
      <c r="P1908" s="32" t="n"/>
      <c r="Q1908" s="30" t="n"/>
      <c r="R1908" s="32" t="n"/>
      <c r="S1908" s="30" t="n"/>
      <c r="T1908" s="30" t="n"/>
      <c r="U1908" s="30" t="n"/>
      <c r="V1908" s="30" t="n"/>
      <c r="W1908" s="29">
        <f>IF(H1908="","",IF(H1908="Kenya","Yes","No"))</f>
        <v/>
      </c>
      <c r="X1908" s="29">
        <f>IF(B1908="","",IF(COUNTIF($B$5:$B$3004,B1908)&gt;1,"DUPLICATE","OK"))</f>
        <v/>
      </c>
      <c r="Y1908" s="29">
        <f>IF(OR(U1908="",V1908="",V1908="Excluded"),"",IF(COUNTIFS($U$5:$U$3004,U1908,$V$5:$V$3004,"&lt;&gt;"&amp;V1908,$V$5:$V$3004,"&lt;&gt;",$V$5:$V$3004,"&lt;&gt;Excluded")&gt;0,"LEAK RISK","OK"))</f>
        <v/>
      </c>
      <c r="Z1908" s="30" t="n"/>
    </row>
    <row r="1909">
      <c r="A1909" s="30" t="n"/>
      <c r="B1909" s="30" t="n"/>
      <c r="C1909" s="30" t="n"/>
      <c r="D1909" s="30" t="n"/>
      <c r="E1909" s="30" t="n"/>
      <c r="F1909" s="30" t="n"/>
      <c r="G1909" s="30" t="n"/>
      <c r="H1909" s="30" t="n"/>
      <c r="I1909" s="31" t="n"/>
      <c r="J1909" s="30" t="n"/>
      <c r="K1909" s="30" t="n"/>
      <c r="L1909" s="30" t="n"/>
      <c r="M1909" s="30" t="n"/>
      <c r="N1909" s="32" t="n"/>
      <c r="O1909" s="30" t="n"/>
      <c r="P1909" s="32" t="n"/>
      <c r="Q1909" s="30" t="n"/>
      <c r="R1909" s="32" t="n"/>
      <c r="S1909" s="30" t="n"/>
      <c r="T1909" s="30" t="n"/>
      <c r="U1909" s="30" t="n"/>
      <c r="V1909" s="30" t="n"/>
      <c r="W1909" s="29">
        <f>IF(H1909="","",IF(H1909="Kenya","Yes","No"))</f>
        <v/>
      </c>
      <c r="X1909" s="29">
        <f>IF(B1909="","",IF(COUNTIF($B$5:$B$3004,B1909)&gt;1,"DUPLICATE","OK"))</f>
        <v/>
      </c>
      <c r="Y1909" s="29">
        <f>IF(OR(U1909="",V1909="",V1909="Excluded"),"",IF(COUNTIFS($U$5:$U$3004,U1909,$V$5:$V$3004,"&lt;&gt;"&amp;V1909,$V$5:$V$3004,"&lt;&gt;",$V$5:$V$3004,"&lt;&gt;Excluded")&gt;0,"LEAK RISK","OK"))</f>
        <v/>
      </c>
      <c r="Z1909" s="30" t="n"/>
    </row>
    <row r="1910">
      <c r="A1910" s="30" t="n"/>
      <c r="B1910" s="30" t="n"/>
      <c r="C1910" s="30" t="n"/>
      <c r="D1910" s="30" t="n"/>
      <c r="E1910" s="30" t="n"/>
      <c r="F1910" s="30" t="n"/>
      <c r="G1910" s="30" t="n"/>
      <c r="H1910" s="30" t="n"/>
      <c r="I1910" s="31" t="n"/>
      <c r="J1910" s="30" t="n"/>
      <c r="K1910" s="30" t="n"/>
      <c r="L1910" s="30" t="n"/>
      <c r="M1910" s="30" t="n"/>
      <c r="N1910" s="32" t="n"/>
      <c r="O1910" s="30" t="n"/>
      <c r="P1910" s="32" t="n"/>
      <c r="Q1910" s="30" t="n"/>
      <c r="R1910" s="32" t="n"/>
      <c r="S1910" s="30" t="n"/>
      <c r="T1910" s="30" t="n"/>
      <c r="U1910" s="30" t="n"/>
      <c r="V1910" s="30" t="n"/>
      <c r="W1910" s="29">
        <f>IF(H1910="","",IF(H1910="Kenya","Yes","No"))</f>
        <v/>
      </c>
      <c r="X1910" s="29">
        <f>IF(B1910="","",IF(COUNTIF($B$5:$B$3004,B1910)&gt;1,"DUPLICATE","OK"))</f>
        <v/>
      </c>
      <c r="Y1910" s="29">
        <f>IF(OR(U1910="",V1910="",V1910="Excluded"),"",IF(COUNTIFS($U$5:$U$3004,U1910,$V$5:$V$3004,"&lt;&gt;"&amp;V1910,$V$5:$V$3004,"&lt;&gt;",$V$5:$V$3004,"&lt;&gt;Excluded")&gt;0,"LEAK RISK","OK"))</f>
        <v/>
      </c>
      <c r="Z1910" s="30" t="n"/>
    </row>
    <row r="1911">
      <c r="A1911" s="30" t="n"/>
      <c r="B1911" s="30" t="n"/>
      <c r="C1911" s="30" t="n"/>
      <c r="D1911" s="30" t="n"/>
      <c r="E1911" s="30" t="n"/>
      <c r="F1911" s="30" t="n"/>
      <c r="G1911" s="30" t="n"/>
      <c r="H1911" s="30" t="n"/>
      <c r="I1911" s="31" t="n"/>
      <c r="J1911" s="30" t="n"/>
      <c r="K1911" s="30" t="n"/>
      <c r="L1911" s="30" t="n"/>
      <c r="M1911" s="30" t="n"/>
      <c r="N1911" s="32" t="n"/>
      <c r="O1911" s="30" t="n"/>
      <c r="P1911" s="32" t="n"/>
      <c r="Q1911" s="30" t="n"/>
      <c r="R1911" s="32" t="n"/>
      <c r="S1911" s="30" t="n"/>
      <c r="T1911" s="30" t="n"/>
      <c r="U1911" s="30" t="n"/>
      <c r="V1911" s="30" t="n"/>
      <c r="W1911" s="29">
        <f>IF(H1911="","",IF(H1911="Kenya","Yes","No"))</f>
        <v/>
      </c>
      <c r="X1911" s="29">
        <f>IF(B1911="","",IF(COUNTIF($B$5:$B$3004,B1911)&gt;1,"DUPLICATE","OK"))</f>
        <v/>
      </c>
      <c r="Y1911" s="29">
        <f>IF(OR(U1911="",V1911="",V1911="Excluded"),"",IF(COUNTIFS($U$5:$U$3004,U1911,$V$5:$V$3004,"&lt;&gt;"&amp;V1911,$V$5:$V$3004,"&lt;&gt;",$V$5:$V$3004,"&lt;&gt;Excluded")&gt;0,"LEAK RISK","OK"))</f>
        <v/>
      </c>
      <c r="Z1911" s="30" t="n"/>
    </row>
    <row r="1912">
      <c r="A1912" s="30" t="n"/>
      <c r="B1912" s="30" t="n"/>
      <c r="C1912" s="30" t="n"/>
      <c r="D1912" s="30" t="n"/>
      <c r="E1912" s="30" t="n"/>
      <c r="F1912" s="30" t="n"/>
      <c r="G1912" s="30" t="n"/>
      <c r="H1912" s="30" t="n"/>
      <c r="I1912" s="31" t="n"/>
      <c r="J1912" s="30" t="n"/>
      <c r="K1912" s="30" t="n"/>
      <c r="L1912" s="30" t="n"/>
      <c r="M1912" s="30" t="n"/>
      <c r="N1912" s="32" t="n"/>
      <c r="O1912" s="30" t="n"/>
      <c r="P1912" s="32" t="n"/>
      <c r="Q1912" s="30" t="n"/>
      <c r="R1912" s="32" t="n"/>
      <c r="S1912" s="30" t="n"/>
      <c r="T1912" s="30" t="n"/>
      <c r="U1912" s="30" t="n"/>
      <c r="V1912" s="30" t="n"/>
      <c r="W1912" s="29">
        <f>IF(H1912="","",IF(H1912="Kenya","Yes","No"))</f>
        <v/>
      </c>
      <c r="X1912" s="29">
        <f>IF(B1912="","",IF(COUNTIF($B$5:$B$3004,B1912)&gt;1,"DUPLICATE","OK"))</f>
        <v/>
      </c>
      <c r="Y1912" s="29">
        <f>IF(OR(U1912="",V1912="",V1912="Excluded"),"",IF(COUNTIFS($U$5:$U$3004,U1912,$V$5:$V$3004,"&lt;&gt;"&amp;V1912,$V$5:$V$3004,"&lt;&gt;",$V$5:$V$3004,"&lt;&gt;Excluded")&gt;0,"LEAK RISK","OK"))</f>
        <v/>
      </c>
      <c r="Z1912" s="30" t="n"/>
    </row>
    <row r="1913">
      <c r="A1913" s="30" t="n"/>
      <c r="B1913" s="30" t="n"/>
      <c r="C1913" s="30" t="n"/>
      <c r="D1913" s="30" t="n"/>
      <c r="E1913" s="30" t="n"/>
      <c r="F1913" s="30" t="n"/>
      <c r="G1913" s="30" t="n"/>
      <c r="H1913" s="30" t="n"/>
      <c r="I1913" s="31" t="n"/>
      <c r="J1913" s="30" t="n"/>
      <c r="K1913" s="30" t="n"/>
      <c r="L1913" s="30" t="n"/>
      <c r="M1913" s="30" t="n"/>
      <c r="N1913" s="32" t="n"/>
      <c r="O1913" s="30" t="n"/>
      <c r="P1913" s="32" t="n"/>
      <c r="Q1913" s="30" t="n"/>
      <c r="R1913" s="32" t="n"/>
      <c r="S1913" s="30" t="n"/>
      <c r="T1913" s="30" t="n"/>
      <c r="U1913" s="30" t="n"/>
      <c r="V1913" s="30" t="n"/>
      <c r="W1913" s="29">
        <f>IF(H1913="","",IF(H1913="Kenya","Yes","No"))</f>
        <v/>
      </c>
      <c r="X1913" s="29">
        <f>IF(B1913="","",IF(COUNTIF($B$5:$B$3004,B1913)&gt;1,"DUPLICATE","OK"))</f>
        <v/>
      </c>
      <c r="Y1913" s="29">
        <f>IF(OR(U1913="",V1913="",V1913="Excluded"),"",IF(COUNTIFS($U$5:$U$3004,U1913,$V$5:$V$3004,"&lt;&gt;"&amp;V1913,$V$5:$V$3004,"&lt;&gt;",$V$5:$V$3004,"&lt;&gt;Excluded")&gt;0,"LEAK RISK","OK"))</f>
        <v/>
      </c>
      <c r="Z1913" s="30" t="n"/>
    </row>
    <row r="1914">
      <c r="A1914" s="30" t="n"/>
      <c r="B1914" s="30" t="n"/>
      <c r="C1914" s="30" t="n"/>
      <c r="D1914" s="30" t="n"/>
      <c r="E1914" s="30" t="n"/>
      <c r="F1914" s="30" t="n"/>
      <c r="G1914" s="30" t="n"/>
      <c r="H1914" s="30" t="n"/>
      <c r="I1914" s="31" t="n"/>
      <c r="J1914" s="30" t="n"/>
      <c r="K1914" s="30" t="n"/>
      <c r="L1914" s="30" t="n"/>
      <c r="M1914" s="30" t="n"/>
      <c r="N1914" s="32" t="n"/>
      <c r="O1914" s="30" t="n"/>
      <c r="P1914" s="32" t="n"/>
      <c r="Q1914" s="30" t="n"/>
      <c r="R1914" s="32" t="n"/>
      <c r="S1914" s="30" t="n"/>
      <c r="T1914" s="30" t="n"/>
      <c r="U1914" s="30" t="n"/>
      <c r="V1914" s="30" t="n"/>
      <c r="W1914" s="29">
        <f>IF(H1914="","",IF(H1914="Kenya","Yes","No"))</f>
        <v/>
      </c>
      <c r="X1914" s="29">
        <f>IF(B1914="","",IF(COUNTIF($B$5:$B$3004,B1914)&gt;1,"DUPLICATE","OK"))</f>
        <v/>
      </c>
      <c r="Y1914" s="29">
        <f>IF(OR(U1914="",V1914="",V1914="Excluded"),"",IF(COUNTIFS($U$5:$U$3004,U1914,$V$5:$V$3004,"&lt;&gt;"&amp;V1914,$V$5:$V$3004,"&lt;&gt;",$V$5:$V$3004,"&lt;&gt;Excluded")&gt;0,"LEAK RISK","OK"))</f>
        <v/>
      </c>
      <c r="Z1914" s="30" t="n"/>
    </row>
    <row r="1915">
      <c r="A1915" s="30" t="n"/>
      <c r="B1915" s="30" t="n"/>
      <c r="C1915" s="30" t="n"/>
      <c r="D1915" s="30" t="n"/>
      <c r="E1915" s="30" t="n"/>
      <c r="F1915" s="30" t="n"/>
      <c r="G1915" s="30" t="n"/>
      <c r="H1915" s="30" t="n"/>
      <c r="I1915" s="31" t="n"/>
      <c r="J1915" s="30" t="n"/>
      <c r="K1915" s="30" t="n"/>
      <c r="L1915" s="30" t="n"/>
      <c r="M1915" s="30" t="n"/>
      <c r="N1915" s="32" t="n"/>
      <c r="O1915" s="30" t="n"/>
      <c r="P1915" s="32" t="n"/>
      <c r="Q1915" s="30" t="n"/>
      <c r="R1915" s="32" t="n"/>
      <c r="S1915" s="30" t="n"/>
      <c r="T1915" s="30" t="n"/>
      <c r="U1915" s="30" t="n"/>
      <c r="V1915" s="30" t="n"/>
      <c r="W1915" s="29">
        <f>IF(H1915="","",IF(H1915="Kenya","Yes","No"))</f>
        <v/>
      </c>
      <c r="X1915" s="29">
        <f>IF(B1915="","",IF(COUNTIF($B$5:$B$3004,B1915)&gt;1,"DUPLICATE","OK"))</f>
        <v/>
      </c>
      <c r="Y1915" s="29">
        <f>IF(OR(U1915="",V1915="",V1915="Excluded"),"",IF(COUNTIFS($U$5:$U$3004,U1915,$V$5:$V$3004,"&lt;&gt;"&amp;V1915,$V$5:$V$3004,"&lt;&gt;",$V$5:$V$3004,"&lt;&gt;Excluded")&gt;0,"LEAK RISK","OK"))</f>
        <v/>
      </c>
      <c r="Z1915" s="30" t="n"/>
    </row>
    <row r="1916">
      <c r="A1916" s="30" t="n"/>
      <c r="B1916" s="30" t="n"/>
      <c r="C1916" s="30" t="n"/>
      <c r="D1916" s="30" t="n"/>
      <c r="E1916" s="30" t="n"/>
      <c r="F1916" s="30" t="n"/>
      <c r="G1916" s="30" t="n"/>
      <c r="H1916" s="30" t="n"/>
      <c r="I1916" s="31" t="n"/>
      <c r="J1916" s="30" t="n"/>
      <c r="K1916" s="30" t="n"/>
      <c r="L1916" s="30" t="n"/>
      <c r="M1916" s="30" t="n"/>
      <c r="N1916" s="32" t="n"/>
      <c r="O1916" s="30" t="n"/>
      <c r="P1916" s="32" t="n"/>
      <c r="Q1916" s="30" t="n"/>
      <c r="R1916" s="32" t="n"/>
      <c r="S1916" s="30" t="n"/>
      <c r="T1916" s="30" t="n"/>
      <c r="U1916" s="30" t="n"/>
      <c r="V1916" s="30" t="n"/>
      <c r="W1916" s="29">
        <f>IF(H1916="","",IF(H1916="Kenya","Yes","No"))</f>
        <v/>
      </c>
      <c r="X1916" s="29">
        <f>IF(B1916="","",IF(COUNTIF($B$5:$B$3004,B1916)&gt;1,"DUPLICATE","OK"))</f>
        <v/>
      </c>
      <c r="Y1916" s="29">
        <f>IF(OR(U1916="",V1916="",V1916="Excluded"),"",IF(COUNTIFS($U$5:$U$3004,U1916,$V$5:$V$3004,"&lt;&gt;"&amp;V1916,$V$5:$V$3004,"&lt;&gt;",$V$5:$V$3004,"&lt;&gt;Excluded")&gt;0,"LEAK RISK","OK"))</f>
        <v/>
      </c>
      <c r="Z1916" s="30" t="n"/>
    </row>
    <row r="1917">
      <c r="A1917" s="30" t="n"/>
      <c r="B1917" s="30" t="n"/>
      <c r="C1917" s="30" t="n"/>
      <c r="D1917" s="30" t="n"/>
      <c r="E1917" s="30" t="n"/>
      <c r="F1917" s="30" t="n"/>
      <c r="G1917" s="30" t="n"/>
      <c r="H1917" s="30" t="n"/>
      <c r="I1917" s="31" t="n"/>
      <c r="J1917" s="30" t="n"/>
      <c r="K1917" s="30" t="n"/>
      <c r="L1917" s="30" t="n"/>
      <c r="M1917" s="30" t="n"/>
      <c r="N1917" s="32" t="n"/>
      <c r="O1917" s="30" t="n"/>
      <c r="P1917" s="32" t="n"/>
      <c r="Q1917" s="30" t="n"/>
      <c r="R1917" s="32" t="n"/>
      <c r="S1917" s="30" t="n"/>
      <c r="T1917" s="30" t="n"/>
      <c r="U1917" s="30" t="n"/>
      <c r="V1917" s="30" t="n"/>
      <c r="W1917" s="29">
        <f>IF(H1917="","",IF(H1917="Kenya","Yes","No"))</f>
        <v/>
      </c>
      <c r="X1917" s="29">
        <f>IF(B1917="","",IF(COUNTIF($B$5:$B$3004,B1917)&gt;1,"DUPLICATE","OK"))</f>
        <v/>
      </c>
      <c r="Y1917" s="29">
        <f>IF(OR(U1917="",V1917="",V1917="Excluded"),"",IF(COUNTIFS($U$5:$U$3004,U1917,$V$5:$V$3004,"&lt;&gt;"&amp;V1917,$V$5:$V$3004,"&lt;&gt;",$V$5:$V$3004,"&lt;&gt;Excluded")&gt;0,"LEAK RISK","OK"))</f>
        <v/>
      </c>
      <c r="Z1917" s="30" t="n"/>
    </row>
    <row r="1918">
      <c r="A1918" s="30" t="n"/>
      <c r="B1918" s="30" t="n"/>
      <c r="C1918" s="30" t="n"/>
      <c r="D1918" s="30" t="n"/>
      <c r="E1918" s="30" t="n"/>
      <c r="F1918" s="30" t="n"/>
      <c r="G1918" s="30" t="n"/>
      <c r="H1918" s="30" t="n"/>
      <c r="I1918" s="31" t="n"/>
      <c r="J1918" s="30" t="n"/>
      <c r="K1918" s="30" t="n"/>
      <c r="L1918" s="30" t="n"/>
      <c r="M1918" s="30" t="n"/>
      <c r="N1918" s="32" t="n"/>
      <c r="O1918" s="30" t="n"/>
      <c r="P1918" s="32" t="n"/>
      <c r="Q1918" s="30" t="n"/>
      <c r="R1918" s="32" t="n"/>
      <c r="S1918" s="30" t="n"/>
      <c r="T1918" s="30" t="n"/>
      <c r="U1918" s="30" t="n"/>
      <c r="V1918" s="30" t="n"/>
      <c r="W1918" s="29">
        <f>IF(H1918="","",IF(H1918="Kenya","Yes","No"))</f>
        <v/>
      </c>
      <c r="X1918" s="29">
        <f>IF(B1918="","",IF(COUNTIF($B$5:$B$3004,B1918)&gt;1,"DUPLICATE","OK"))</f>
        <v/>
      </c>
      <c r="Y1918" s="29">
        <f>IF(OR(U1918="",V1918="",V1918="Excluded"),"",IF(COUNTIFS($U$5:$U$3004,U1918,$V$5:$V$3004,"&lt;&gt;"&amp;V1918,$V$5:$V$3004,"&lt;&gt;",$V$5:$V$3004,"&lt;&gt;Excluded")&gt;0,"LEAK RISK","OK"))</f>
        <v/>
      </c>
      <c r="Z1918" s="30" t="n"/>
    </row>
    <row r="1919">
      <c r="A1919" s="30" t="n"/>
      <c r="B1919" s="30" t="n"/>
      <c r="C1919" s="30" t="n"/>
      <c r="D1919" s="30" t="n"/>
      <c r="E1919" s="30" t="n"/>
      <c r="F1919" s="30" t="n"/>
      <c r="G1919" s="30" t="n"/>
      <c r="H1919" s="30" t="n"/>
      <c r="I1919" s="31" t="n"/>
      <c r="J1919" s="30" t="n"/>
      <c r="K1919" s="30" t="n"/>
      <c r="L1919" s="30" t="n"/>
      <c r="M1919" s="30" t="n"/>
      <c r="N1919" s="32" t="n"/>
      <c r="O1919" s="30" t="n"/>
      <c r="P1919" s="32" t="n"/>
      <c r="Q1919" s="30" t="n"/>
      <c r="R1919" s="32" t="n"/>
      <c r="S1919" s="30" t="n"/>
      <c r="T1919" s="30" t="n"/>
      <c r="U1919" s="30" t="n"/>
      <c r="V1919" s="30" t="n"/>
      <c r="W1919" s="29">
        <f>IF(H1919="","",IF(H1919="Kenya","Yes","No"))</f>
        <v/>
      </c>
      <c r="X1919" s="29">
        <f>IF(B1919="","",IF(COUNTIF($B$5:$B$3004,B1919)&gt;1,"DUPLICATE","OK"))</f>
        <v/>
      </c>
      <c r="Y1919" s="29">
        <f>IF(OR(U1919="",V1919="",V1919="Excluded"),"",IF(COUNTIFS($U$5:$U$3004,U1919,$V$5:$V$3004,"&lt;&gt;"&amp;V1919,$V$5:$V$3004,"&lt;&gt;",$V$5:$V$3004,"&lt;&gt;Excluded")&gt;0,"LEAK RISK","OK"))</f>
        <v/>
      </c>
      <c r="Z1919" s="30" t="n"/>
    </row>
    <row r="1920">
      <c r="A1920" s="30" t="n"/>
      <c r="B1920" s="30" t="n"/>
      <c r="C1920" s="30" t="n"/>
      <c r="D1920" s="30" t="n"/>
      <c r="E1920" s="30" t="n"/>
      <c r="F1920" s="30" t="n"/>
      <c r="G1920" s="30" t="n"/>
      <c r="H1920" s="30" t="n"/>
      <c r="I1920" s="31" t="n"/>
      <c r="J1920" s="30" t="n"/>
      <c r="K1920" s="30" t="n"/>
      <c r="L1920" s="30" t="n"/>
      <c r="M1920" s="30" t="n"/>
      <c r="N1920" s="32" t="n"/>
      <c r="O1920" s="30" t="n"/>
      <c r="P1920" s="32" t="n"/>
      <c r="Q1920" s="30" t="n"/>
      <c r="R1920" s="32" t="n"/>
      <c r="S1920" s="30" t="n"/>
      <c r="T1920" s="30" t="n"/>
      <c r="U1920" s="30" t="n"/>
      <c r="V1920" s="30" t="n"/>
      <c r="W1920" s="29">
        <f>IF(H1920="","",IF(H1920="Kenya","Yes","No"))</f>
        <v/>
      </c>
      <c r="X1920" s="29">
        <f>IF(B1920="","",IF(COUNTIF($B$5:$B$3004,B1920)&gt;1,"DUPLICATE","OK"))</f>
        <v/>
      </c>
      <c r="Y1920" s="29">
        <f>IF(OR(U1920="",V1920="",V1920="Excluded"),"",IF(COUNTIFS($U$5:$U$3004,U1920,$V$5:$V$3004,"&lt;&gt;"&amp;V1920,$V$5:$V$3004,"&lt;&gt;",$V$5:$V$3004,"&lt;&gt;Excluded")&gt;0,"LEAK RISK","OK"))</f>
        <v/>
      </c>
      <c r="Z1920" s="30" t="n"/>
    </row>
    <row r="1921">
      <c r="A1921" s="30" t="n"/>
      <c r="B1921" s="30" t="n"/>
      <c r="C1921" s="30" t="n"/>
      <c r="D1921" s="30" t="n"/>
      <c r="E1921" s="30" t="n"/>
      <c r="F1921" s="30" t="n"/>
      <c r="G1921" s="30" t="n"/>
      <c r="H1921" s="30" t="n"/>
      <c r="I1921" s="31" t="n"/>
      <c r="J1921" s="30" t="n"/>
      <c r="K1921" s="30" t="n"/>
      <c r="L1921" s="30" t="n"/>
      <c r="M1921" s="30" t="n"/>
      <c r="N1921" s="32" t="n"/>
      <c r="O1921" s="30" t="n"/>
      <c r="P1921" s="32" t="n"/>
      <c r="Q1921" s="30" t="n"/>
      <c r="R1921" s="32" t="n"/>
      <c r="S1921" s="30" t="n"/>
      <c r="T1921" s="30" t="n"/>
      <c r="U1921" s="30" t="n"/>
      <c r="V1921" s="30" t="n"/>
      <c r="W1921" s="29">
        <f>IF(H1921="","",IF(H1921="Kenya","Yes","No"))</f>
        <v/>
      </c>
      <c r="X1921" s="29">
        <f>IF(B1921="","",IF(COUNTIF($B$5:$B$3004,B1921)&gt;1,"DUPLICATE","OK"))</f>
        <v/>
      </c>
      <c r="Y1921" s="29">
        <f>IF(OR(U1921="",V1921="",V1921="Excluded"),"",IF(COUNTIFS($U$5:$U$3004,U1921,$V$5:$V$3004,"&lt;&gt;"&amp;V1921,$V$5:$V$3004,"&lt;&gt;",$V$5:$V$3004,"&lt;&gt;Excluded")&gt;0,"LEAK RISK","OK"))</f>
        <v/>
      </c>
      <c r="Z1921" s="30" t="n"/>
    </row>
    <row r="1922">
      <c r="A1922" s="30" t="n"/>
      <c r="B1922" s="30" t="n"/>
      <c r="C1922" s="30" t="n"/>
      <c r="D1922" s="30" t="n"/>
      <c r="E1922" s="30" t="n"/>
      <c r="F1922" s="30" t="n"/>
      <c r="G1922" s="30" t="n"/>
      <c r="H1922" s="30" t="n"/>
      <c r="I1922" s="31" t="n"/>
      <c r="J1922" s="30" t="n"/>
      <c r="K1922" s="30" t="n"/>
      <c r="L1922" s="30" t="n"/>
      <c r="M1922" s="30" t="n"/>
      <c r="N1922" s="32" t="n"/>
      <c r="O1922" s="30" t="n"/>
      <c r="P1922" s="32" t="n"/>
      <c r="Q1922" s="30" t="n"/>
      <c r="R1922" s="32" t="n"/>
      <c r="S1922" s="30" t="n"/>
      <c r="T1922" s="30" t="n"/>
      <c r="U1922" s="30" t="n"/>
      <c r="V1922" s="30" t="n"/>
      <c r="W1922" s="29">
        <f>IF(H1922="","",IF(H1922="Kenya","Yes","No"))</f>
        <v/>
      </c>
      <c r="X1922" s="29">
        <f>IF(B1922="","",IF(COUNTIF($B$5:$B$3004,B1922)&gt;1,"DUPLICATE","OK"))</f>
        <v/>
      </c>
      <c r="Y1922" s="29">
        <f>IF(OR(U1922="",V1922="",V1922="Excluded"),"",IF(COUNTIFS($U$5:$U$3004,U1922,$V$5:$V$3004,"&lt;&gt;"&amp;V1922,$V$5:$V$3004,"&lt;&gt;",$V$5:$V$3004,"&lt;&gt;Excluded")&gt;0,"LEAK RISK","OK"))</f>
        <v/>
      </c>
      <c r="Z1922" s="30" t="n"/>
    </row>
    <row r="1923">
      <c r="A1923" s="30" t="n"/>
      <c r="B1923" s="30" t="n"/>
      <c r="C1923" s="30" t="n"/>
      <c r="D1923" s="30" t="n"/>
      <c r="E1923" s="30" t="n"/>
      <c r="F1923" s="30" t="n"/>
      <c r="G1923" s="30" t="n"/>
      <c r="H1923" s="30" t="n"/>
      <c r="I1923" s="31" t="n"/>
      <c r="J1923" s="30" t="n"/>
      <c r="K1923" s="30" t="n"/>
      <c r="L1923" s="30" t="n"/>
      <c r="M1923" s="30" t="n"/>
      <c r="N1923" s="32" t="n"/>
      <c r="O1923" s="30" t="n"/>
      <c r="P1923" s="32" t="n"/>
      <c r="Q1923" s="30" t="n"/>
      <c r="R1923" s="32" t="n"/>
      <c r="S1923" s="30" t="n"/>
      <c r="T1923" s="30" t="n"/>
      <c r="U1923" s="30" t="n"/>
      <c r="V1923" s="30" t="n"/>
      <c r="W1923" s="29">
        <f>IF(H1923="","",IF(H1923="Kenya","Yes","No"))</f>
        <v/>
      </c>
      <c r="X1923" s="29">
        <f>IF(B1923="","",IF(COUNTIF($B$5:$B$3004,B1923)&gt;1,"DUPLICATE","OK"))</f>
        <v/>
      </c>
      <c r="Y1923" s="29">
        <f>IF(OR(U1923="",V1923="",V1923="Excluded"),"",IF(COUNTIFS($U$5:$U$3004,U1923,$V$5:$V$3004,"&lt;&gt;"&amp;V1923,$V$5:$V$3004,"&lt;&gt;",$V$5:$V$3004,"&lt;&gt;Excluded")&gt;0,"LEAK RISK","OK"))</f>
        <v/>
      </c>
      <c r="Z1923" s="30" t="n"/>
    </row>
    <row r="1924">
      <c r="A1924" s="30" t="n"/>
      <c r="B1924" s="30" t="n"/>
      <c r="C1924" s="30" t="n"/>
      <c r="D1924" s="30" t="n"/>
      <c r="E1924" s="30" t="n"/>
      <c r="F1924" s="30" t="n"/>
      <c r="G1924" s="30" t="n"/>
      <c r="H1924" s="30" t="n"/>
      <c r="I1924" s="31" t="n"/>
      <c r="J1924" s="30" t="n"/>
      <c r="K1924" s="30" t="n"/>
      <c r="L1924" s="30" t="n"/>
      <c r="M1924" s="30" t="n"/>
      <c r="N1924" s="32" t="n"/>
      <c r="O1924" s="30" t="n"/>
      <c r="P1924" s="32" t="n"/>
      <c r="Q1924" s="30" t="n"/>
      <c r="R1924" s="32" t="n"/>
      <c r="S1924" s="30" t="n"/>
      <c r="T1924" s="30" t="n"/>
      <c r="U1924" s="30" t="n"/>
      <c r="V1924" s="30" t="n"/>
      <c r="W1924" s="29">
        <f>IF(H1924="","",IF(H1924="Kenya","Yes","No"))</f>
        <v/>
      </c>
      <c r="X1924" s="29">
        <f>IF(B1924="","",IF(COUNTIF($B$5:$B$3004,B1924)&gt;1,"DUPLICATE","OK"))</f>
        <v/>
      </c>
      <c r="Y1924" s="29">
        <f>IF(OR(U1924="",V1924="",V1924="Excluded"),"",IF(COUNTIFS($U$5:$U$3004,U1924,$V$5:$V$3004,"&lt;&gt;"&amp;V1924,$V$5:$V$3004,"&lt;&gt;",$V$5:$V$3004,"&lt;&gt;Excluded")&gt;0,"LEAK RISK","OK"))</f>
        <v/>
      </c>
      <c r="Z1924" s="30" t="n"/>
    </row>
    <row r="1925">
      <c r="A1925" s="30" t="n"/>
      <c r="B1925" s="30" t="n"/>
      <c r="C1925" s="30" t="n"/>
      <c r="D1925" s="30" t="n"/>
      <c r="E1925" s="30" t="n"/>
      <c r="F1925" s="30" t="n"/>
      <c r="G1925" s="30" t="n"/>
      <c r="H1925" s="30" t="n"/>
      <c r="I1925" s="31" t="n"/>
      <c r="J1925" s="30" t="n"/>
      <c r="K1925" s="30" t="n"/>
      <c r="L1925" s="30" t="n"/>
      <c r="M1925" s="30" t="n"/>
      <c r="N1925" s="32" t="n"/>
      <c r="O1925" s="30" t="n"/>
      <c r="P1925" s="32" t="n"/>
      <c r="Q1925" s="30" t="n"/>
      <c r="R1925" s="32" t="n"/>
      <c r="S1925" s="30" t="n"/>
      <c r="T1925" s="30" t="n"/>
      <c r="U1925" s="30" t="n"/>
      <c r="V1925" s="30" t="n"/>
      <c r="W1925" s="29">
        <f>IF(H1925="","",IF(H1925="Kenya","Yes","No"))</f>
        <v/>
      </c>
      <c r="X1925" s="29">
        <f>IF(B1925="","",IF(COUNTIF($B$5:$B$3004,B1925)&gt;1,"DUPLICATE","OK"))</f>
        <v/>
      </c>
      <c r="Y1925" s="29">
        <f>IF(OR(U1925="",V1925="",V1925="Excluded"),"",IF(COUNTIFS($U$5:$U$3004,U1925,$V$5:$V$3004,"&lt;&gt;"&amp;V1925,$V$5:$V$3004,"&lt;&gt;",$V$5:$V$3004,"&lt;&gt;Excluded")&gt;0,"LEAK RISK","OK"))</f>
        <v/>
      </c>
      <c r="Z1925" s="30" t="n"/>
    </row>
    <row r="1926">
      <c r="A1926" s="30" t="n"/>
      <c r="B1926" s="30" t="n"/>
      <c r="C1926" s="30" t="n"/>
      <c r="D1926" s="30" t="n"/>
      <c r="E1926" s="30" t="n"/>
      <c r="F1926" s="30" t="n"/>
      <c r="G1926" s="30" t="n"/>
      <c r="H1926" s="30" t="n"/>
      <c r="I1926" s="31" t="n"/>
      <c r="J1926" s="30" t="n"/>
      <c r="K1926" s="30" t="n"/>
      <c r="L1926" s="30" t="n"/>
      <c r="M1926" s="30" t="n"/>
      <c r="N1926" s="32" t="n"/>
      <c r="O1926" s="30" t="n"/>
      <c r="P1926" s="32" t="n"/>
      <c r="Q1926" s="30" t="n"/>
      <c r="R1926" s="32" t="n"/>
      <c r="S1926" s="30" t="n"/>
      <c r="T1926" s="30" t="n"/>
      <c r="U1926" s="30" t="n"/>
      <c r="V1926" s="30" t="n"/>
      <c r="W1926" s="29">
        <f>IF(H1926="","",IF(H1926="Kenya","Yes","No"))</f>
        <v/>
      </c>
      <c r="X1926" s="29">
        <f>IF(B1926="","",IF(COUNTIF($B$5:$B$3004,B1926)&gt;1,"DUPLICATE","OK"))</f>
        <v/>
      </c>
      <c r="Y1926" s="29">
        <f>IF(OR(U1926="",V1926="",V1926="Excluded"),"",IF(COUNTIFS($U$5:$U$3004,U1926,$V$5:$V$3004,"&lt;&gt;"&amp;V1926,$V$5:$V$3004,"&lt;&gt;",$V$5:$V$3004,"&lt;&gt;Excluded")&gt;0,"LEAK RISK","OK"))</f>
        <v/>
      </c>
      <c r="Z1926" s="30" t="n"/>
    </row>
    <row r="1927">
      <c r="A1927" s="30" t="n"/>
      <c r="B1927" s="30" t="n"/>
      <c r="C1927" s="30" t="n"/>
      <c r="D1927" s="30" t="n"/>
      <c r="E1927" s="30" t="n"/>
      <c r="F1927" s="30" t="n"/>
      <c r="G1927" s="30" t="n"/>
      <c r="H1927" s="30" t="n"/>
      <c r="I1927" s="31" t="n"/>
      <c r="J1927" s="30" t="n"/>
      <c r="K1927" s="30" t="n"/>
      <c r="L1927" s="30" t="n"/>
      <c r="M1927" s="30" t="n"/>
      <c r="N1927" s="32" t="n"/>
      <c r="O1927" s="30" t="n"/>
      <c r="P1927" s="32" t="n"/>
      <c r="Q1927" s="30" t="n"/>
      <c r="R1927" s="32" t="n"/>
      <c r="S1927" s="30" t="n"/>
      <c r="T1927" s="30" t="n"/>
      <c r="U1927" s="30" t="n"/>
      <c r="V1927" s="30" t="n"/>
      <c r="W1927" s="29">
        <f>IF(H1927="","",IF(H1927="Kenya","Yes","No"))</f>
        <v/>
      </c>
      <c r="X1927" s="29">
        <f>IF(B1927="","",IF(COUNTIF($B$5:$B$3004,B1927)&gt;1,"DUPLICATE","OK"))</f>
        <v/>
      </c>
      <c r="Y1927" s="29">
        <f>IF(OR(U1927="",V1927="",V1927="Excluded"),"",IF(COUNTIFS($U$5:$U$3004,U1927,$V$5:$V$3004,"&lt;&gt;"&amp;V1927,$V$5:$V$3004,"&lt;&gt;",$V$5:$V$3004,"&lt;&gt;Excluded")&gt;0,"LEAK RISK","OK"))</f>
        <v/>
      </c>
      <c r="Z1927" s="30" t="n"/>
    </row>
    <row r="1928">
      <c r="A1928" s="30" t="n"/>
      <c r="B1928" s="30" t="n"/>
      <c r="C1928" s="30" t="n"/>
      <c r="D1928" s="30" t="n"/>
      <c r="E1928" s="30" t="n"/>
      <c r="F1928" s="30" t="n"/>
      <c r="G1928" s="30" t="n"/>
      <c r="H1928" s="30" t="n"/>
      <c r="I1928" s="31" t="n"/>
      <c r="J1928" s="30" t="n"/>
      <c r="K1928" s="30" t="n"/>
      <c r="L1928" s="30" t="n"/>
      <c r="M1928" s="30" t="n"/>
      <c r="N1928" s="32" t="n"/>
      <c r="O1928" s="30" t="n"/>
      <c r="P1928" s="32" t="n"/>
      <c r="Q1928" s="30" t="n"/>
      <c r="R1928" s="32" t="n"/>
      <c r="S1928" s="30" t="n"/>
      <c r="T1928" s="30" t="n"/>
      <c r="U1928" s="30" t="n"/>
      <c r="V1928" s="30" t="n"/>
      <c r="W1928" s="29">
        <f>IF(H1928="","",IF(H1928="Kenya","Yes","No"))</f>
        <v/>
      </c>
      <c r="X1928" s="29">
        <f>IF(B1928="","",IF(COUNTIF($B$5:$B$3004,B1928)&gt;1,"DUPLICATE","OK"))</f>
        <v/>
      </c>
      <c r="Y1928" s="29">
        <f>IF(OR(U1928="",V1928="",V1928="Excluded"),"",IF(COUNTIFS($U$5:$U$3004,U1928,$V$5:$V$3004,"&lt;&gt;"&amp;V1928,$V$5:$V$3004,"&lt;&gt;",$V$5:$V$3004,"&lt;&gt;Excluded")&gt;0,"LEAK RISK","OK"))</f>
        <v/>
      </c>
      <c r="Z1928" s="30" t="n"/>
    </row>
    <row r="1929">
      <c r="A1929" s="30" t="n"/>
      <c r="B1929" s="30" t="n"/>
      <c r="C1929" s="30" t="n"/>
      <c r="D1929" s="30" t="n"/>
      <c r="E1929" s="30" t="n"/>
      <c r="F1929" s="30" t="n"/>
      <c r="G1929" s="30" t="n"/>
      <c r="H1929" s="30" t="n"/>
      <c r="I1929" s="31" t="n"/>
      <c r="J1929" s="30" t="n"/>
      <c r="K1929" s="30" t="n"/>
      <c r="L1929" s="30" t="n"/>
      <c r="M1929" s="30" t="n"/>
      <c r="N1929" s="32" t="n"/>
      <c r="O1929" s="30" t="n"/>
      <c r="P1929" s="32" t="n"/>
      <c r="Q1929" s="30" t="n"/>
      <c r="R1929" s="32" t="n"/>
      <c r="S1929" s="30" t="n"/>
      <c r="T1929" s="30" t="n"/>
      <c r="U1929" s="30" t="n"/>
      <c r="V1929" s="30" t="n"/>
      <c r="W1929" s="29">
        <f>IF(H1929="","",IF(H1929="Kenya","Yes","No"))</f>
        <v/>
      </c>
      <c r="X1929" s="29">
        <f>IF(B1929="","",IF(COUNTIF($B$5:$B$3004,B1929)&gt;1,"DUPLICATE","OK"))</f>
        <v/>
      </c>
      <c r="Y1929" s="29">
        <f>IF(OR(U1929="",V1929="",V1929="Excluded"),"",IF(COUNTIFS($U$5:$U$3004,U1929,$V$5:$V$3004,"&lt;&gt;"&amp;V1929,$V$5:$V$3004,"&lt;&gt;",$V$5:$V$3004,"&lt;&gt;Excluded")&gt;0,"LEAK RISK","OK"))</f>
        <v/>
      </c>
      <c r="Z1929" s="30" t="n"/>
    </row>
    <row r="1930">
      <c r="A1930" s="30" t="n"/>
      <c r="B1930" s="30" t="n"/>
      <c r="C1930" s="30" t="n"/>
      <c r="D1930" s="30" t="n"/>
      <c r="E1930" s="30" t="n"/>
      <c r="F1930" s="30" t="n"/>
      <c r="G1930" s="30" t="n"/>
      <c r="H1930" s="30" t="n"/>
      <c r="I1930" s="31" t="n"/>
      <c r="J1930" s="30" t="n"/>
      <c r="K1930" s="30" t="n"/>
      <c r="L1930" s="30" t="n"/>
      <c r="M1930" s="30" t="n"/>
      <c r="N1930" s="32" t="n"/>
      <c r="O1930" s="30" t="n"/>
      <c r="P1930" s="32" t="n"/>
      <c r="Q1930" s="30" t="n"/>
      <c r="R1930" s="32" t="n"/>
      <c r="S1930" s="30" t="n"/>
      <c r="T1930" s="30" t="n"/>
      <c r="U1930" s="30" t="n"/>
      <c r="V1930" s="30" t="n"/>
      <c r="W1930" s="29">
        <f>IF(H1930="","",IF(H1930="Kenya","Yes","No"))</f>
        <v/>
      </c>
      <c r="X1930" s="29">
        <f>IF(B1930="","",IF(COUNTIF($B$5:$B$3004,B1930)&gt;1,"DUPLICATE","OK"))</f>
        <v/>
      </c>
      <c r="Y1930" s="29">
        <f>IF(OR(U1930="",V1930="",V1930="Excluded"),"",IF(COUNTIFS($U$5:$U$3004,U1930,$V$5:$V$3004,"&lt;&gt;"&amp;V1930,$V$5:$V$3004,"&lt;&gt;",$V$5:$V$3004,"&lt;&gt;Excluded")&gt;0,"LEAK RISK","OK"))</f>
        <v/>
      </c>
      <c r="Z1930" s="30" t="n"/>
    </row>
    <row r="1931">
      <c r="A1931" s="30" t="n"/>
      <c r="B1931" s="30" t="n"/>
      <c r="C1931" s="30" t="n"/>
      <c r="D1931" s="30" t="n"/>
      <c r="E1931" s="30" t="n"/>
      <c r="F1931" s="30" t="n"/>
      <c r="G1931" s="30" t="n"/>
      <c r="H1931" s="30" t="n"/>
      <c r="I1931" s="31" t="n"/>
      <c r="J1931" s="30" t="n"/>
      <c r="K1931" s="30" t="n"/>
      <c r="L1931" s="30" t="n"/>
      <c r="M1931" s="30" t="n"/>
      <c r="N1931" s="32" t="n"/>
      <c r="O1931" s="30" t="n"/>
      <c r="P1931" s="32" t="n"/>
      <c r="Q1931" s="30" t="n"/>
      <c r="R1931" s="32" t="n"/>
      <c r="S1931" s="30" t="n"/>
      <c r="T1931" s="30" t="n"/>
      <c r="U1931" s="30" t="n"/>
      <c r="V1931" s="30" t="n"/>
      <c r="W1931" s="29">
        <f>IF(H1931="","",IF(H1931="Kenya","Yes","No"))</f>
        <v/>
      </c>
      <c r="X1931" s="29">
        <f>IF(B1931="","",IF(COUNTIF($B$5:$B$3004,B1931)&gt;1,"DUPLICATE","OK"))</f>
        <v/>
      </c>
      <c r="Y1931" s="29">
        <f>IF(OR(U1931="",V1931="",V1931="Excluded"),"",IF(COUNTIFS($U$5:$U$3004,U1931,$V$5:$V$3004,"&lt;&gt;"&amp;V1931,$V$5:$V$3004,"&lt;&gt;",$V$5:$V$3004,"&lt;&gt;Excluded")&gt;0,"LEAK RISK","OK"))</f>
        <v/>
      </c>
      <c r="Z1931" s="30" t="n"/>
    </row>
    <row r="1932">
      <c r="A1932" s="30" t="n"/>
      <c r="B1932" s="30" t="n"/>
      <c r="C1932" s="30" t="n"/>
      <c r="D1932" s="30" t="n"/>
      <c r="E1932" s="30" t="n"/>
      <c r="F1932" s="30" t="n"/>
      <c r="G1932" s="30" t="n"/>
      <c r="H1932" s="30" t="n"/>
      <c r="I1932" s="31" t="n"/>
      <c r="J1932" s="30" t="n"/>
      <c r="K1932" s="30" t="n"/>
      <c r="L1932" s="30" t="n"/>
      <c r="M1932" s="30" t="n"/>
      <c r="N1932" s="32" t="n"/>
      <c r="O1932" s="30" t="n"/>
      <c r="P1932" s="32" t="n"/>
      <c r="Q1932" s="30" t="n"/>
      <c r="R1932" s="32" t="n"/>
      <c r="S1932" s="30" t="n"/>
      <c r="T1932" s="30" t="n"/>
      <c r="U1932" s="30" t="n"/>
      <c r="V1932" s="30" t="n"/>
      <c r="W1932" s="29">
        <f>IF(H1932="","",IF(H1932="Kenya","Yes","No"))</f>
        <v/>
      </c>
      <c r="X1932" s="29">
        <f>IF(B1932="","",IF(COUNTIF($B$5:$B$3004,B1932)&gt;1,"DUPLICATE","OK"))</f>
        <v/>
      </c>
      <c r="Y1932" s="29">
        <f>IF(OR(U1932="",V1932="",V1932="Excluded"),"",IF(COUNTIFS($U$5:$U$3004,U1932,$V$5:$V$3004,"&lt;&gt;"&amp;V1932,$V$5:$V$3004,"&lt;&gt;",$V$5:$V$3004,"&lt;&gt;Excluded")&gt;0,"LEAK RISK","OK"))</f>
        <v/>
      </c>
      <c r="Z1932" s="30" t="n"/>
    </row>
    <row r="1933">
      <c r="A1933" s="30" t="n"/>
      <c r="B1933" s="30" t="n"/>
      <c r="C1933" s="30" t="n"/>
      <c r="D1933" s="30" t="n"/>
      <c r="E1933" s="30" t="n"/>
      <c r="F1933" s="30" t="n"/>
      <c r="G1933" s="30" t="n"/>
      <c r="H1933" s="30" t="n"/>
      <c r="I1933" s="31" t="n"/>
      <c r="J1933" s="30" t="n"/>
      <c r="K1933" s="30" t="n"/>
      <c r="L1933" s="30" t="n"/>
      <c r="M1933" s="30" t="n"/>
      <c r="N1933" s="32" t="n"/>
      <c r="O1933" s="30" t="n"/>
      <c r="P1933" s="32" t="n"/>
      <c r="Q1933" s="30" t="n"/>
      <c r="R1933" s="32" t="n"/>
      <c r="S1933" s="30" t="n"/>
      <c r="T1933" s="30" t="n"/>
      <c r="U1933" s="30" t="n"/>
      <c r="V1933" s="30" t="n"/>
      <c r="W1933" s="29">
        <f>IF(H1933="","",IF(H1933="Kenya","Yes","No"))</f>
        <v/>
      </c>
      <c r="X1933" s="29">
        <f>IF(B1933="","",IF(COUNTIF($B$5:$B$3004,B1933)&gt;1,"DUPLICATE","OK"))</f>
        <v/>
      </c>
      <c r="Y1933" s="29">
        <f>IF(OR(U1933="",V1933="",V1933="Excluded"),"",IF(COUNTIFS($U$5:$U$3004,U1933,$V$5:$V$3004,"&lt;&gt;"&amp;V1933,$V$5:$V$3004,"&lt;&gt;",$V$5:$V$3004,"&lt;&gt;Excluded")&gt;0,"LEAK RISK","OK"))</f>
        <v/>
      </c>
      <c r="Z1933" s="30" t="n"/>
    </row>
    <row r="1934">
      <c r="A1934" s="30" t="n"/>
      <c r="B1934" s="30" t="n"/>
      <c r="C1934" s="30" t="n"/>
      <c r="D1934" s="30" t="n"/>
      <c r="E1934" s="30" t="n"/>
      <c r="F1934" s="30" t="n"/>
      <c r="G1934" s="30" t="n"/>
      <c r="H1934" s="30" t="n"/>
      <c r="I1934" s="31" t="n"/>
      <c r="J1934" s="30" t="n"/>
      <c r="K1934" s="30" t="n"/>
      <c r="L1934" s="30" t="n"/>
      <c r="M1934" s="30" t="n"/>
      <c r="N1934" s="32" t="n"/>
      <c r="O1934" s="30" t="n"/>
      <c r="P1934" s="32" t="n"/>
      <c r="Q1934" s="30" t="n"/>
      <c r="R1934" s="32" t="n"/>
      <c r="S1934" s="30" t="n"/>
      <c r="T1934" s="30" t="n"/>
      <c r="U1934" s="30" t="n"/>
      <c r="V1934" s="30" t="n"/>
      <c r="W1934" s="29">
        <f>IF(H1934="","",IF(H1934="Kenya","Yes","No"))</f>
        <v/>
      </c>
      <c r="X1934" s="29">
        <f>IF(B1934="","",IF(COUNTIF($B$5:$B$3004,B1934)&gt;1,"DUPLICATE","OK"))</f>
        <v/>
      </c>
      <c r="Y1934" s="29">
        <f>IF(OR(U1934="",V1934="",V1934="Excluded"),"",IF(COUNTIFS($U$5:$U$3004,U1934,$V$5:$V$3004,"&lt;&gt;"&amp;V1934,$V$5:$V$3004,"&lt;&gt;",$V$5:$V$3004,"&lt;&gt;Excluded")&gt;0,"LEAK RISK","OK"))</f>
        <v/>
      </c>
      <c r="Z1934" s="30" t="n"/>
    </row>
    <row r="1935">
      <c r="A1935" s="30" t="n"/>
      <c r="B1935" s="30" t="n"/>
      <c r="C1935" s="30" t="n"/>
      <c r="D1935" s="30" t="n"/>
      <c r="E1935" s="30" t="n"/>
      <c r="F1935" s="30" t="n"/>
      <c r="G1935" s="30" t="n"/>
      <c r="H1935" s="30" t="n"/>
      <c r="I1935" s="31" t="n"/>
      <c r="J1935" s="30" t="n"/>
      <c r="K1935" s="30" t="n"/>
      <c r="L1935" s="30" t="n"/>
      <c r="M1935" s="30" t="n"/>
      <c r="N1935" s="32" t="n"/>
      <c r="O1935" s="30" t="n"/>
      <c r="P1935" s="32" t="n"/>
      <c r="Q1935" s="30" t="n"/>
      <c r="R1935" s="32" t="n"/>
      <c r="S1935" s="30" t="n"/>
      <c r="T1935" s="30" t="n"/>
      <c r="U1935" s="30" t="n"/>
      <c r="V1935" s="30" t="n"/>
      <c r="W1935" s="29">
        <f>IF(H1935="","",IF(H1935="Kenya","Yes","No"))</f>
        <v/>
      </c>
      <c r="X1935" s="29">
        <f>IF(B1935="","",IF(COUNTIF($B$5:$B$3004,B1935)&gt;1,"DUPLICATE","OK"))</f>
        <v/>
      </c>
      <c r="Y1935" s="29">
        <f>IF(OR(U1935="",V1935="",V1935="Excluded"),"",IF(COUNTIFS($U$5:$U$3004,U1935,$V$5:$V$3004,"&lt;&gt;"&amp;V1935,$V$5:$V$3004,"&lt;&gt;",$V$5:$V$3004,"&lt;&gt;Excluded")&gt;0,"LEAK RISK","OK"))</f>
        <v/>
      </c>
      <c r="Z1935" s="30" t="n"/>
    </row>
    <row r="1936">
      <c r="A1936" s="30" t="n"/>
      <c r="B1936" s="30" t="n"/>
      <c r="C1936" s="30" t="n"/>
      <c r="D1936" s="30" t="n"/>
      <c r="E1936" s="30" t="n"/>
      <c r="F1936" s="30" t="n"/>
      <c r="G1936" s="30" t="n"/>
      <c r="H1936" s="30" t="n"/>
      <c r="I1936" s="31" t="n"/>
      <c r="J1936" s="30" t="n"/>
      <c r="K1936" s="30" t="n"/>
      <c r="L1936" s="30" t="n"/>
      <c r="M1936" s="30" t="n"/>
      <c r="N1936" s="32" t="n"/>
      <c r="O1936" s="30" t="n"/>
      <c r="P1936" s="32" t="n"/>
      <c r="Q1936" s="30" t="n"/>
      <c r="R1936" s="32" t="n"/>
      <c r="S1936" s="30" t="n"/>
      <c r="T1936" s="30" t="n"/>
      <c r="U1936" s="30" t="n"/>
      <c r="V1936" s="30" t="n"/>
      <c r="W1936" s="29">
        <f>IF(H1936="","",IF(H1936="Kenya","Yes","No"))</f>
        <v/>
      </c>
      <c r="X1936" s="29">
        <f>IF(B1936="","",IF(COUNTIF($B$5:$B$3004,B1936)&gt;1,"DUPLICATE","OK"))</f>
        <v/>
      </c>
      <c r="Y1936" s="29">
        <f>IF(OR(U1936="",V1936="",V1936="Excluded"),"",IF(COUNTIFS($U$5:$U$3004,U1936,$V$5:$V$3004,"&lt;&gt;"&amp;V1936,$V$5:$V$3004,"&lt;&gt;",$V$5:$V$3004,"&lt;&gt;Excluded")&gt;0,"LEAK RISK","OK"))</f>
        <v/>
      </c>
      <c r="Z1936" s="30" t="n"/>
    </row>
    <row r="1937">
      <c r="A1937" s="30" t="n"/>
      <c r="B1937" s="30" t="n"/>
      <c r="C1937" s="30" t="n"/>
      <c r="D1937" s="30" t="n"/>
      <c r="E1937" s="30" t="n"/>
      <c r="F1937" s="30" t="n"/>
      <c r="G1937" s="30" t="n"/>
      <c r="H1937" s="30" t="n"/>
      <c r="I1937" s="31" t="n"/>
      <c r="J1937" s="30" t="n"/>
      <c r="K1937" s="30" t="n"/>
      <c r="L1937" s="30" t="n"/>
      <c r="M1937" s="30" t="n"/>
      <c r="N1937" s="32" t="n"/>
      <c r="O1937" s="30" t="n"/>
      <c r="P1937" s="32" t="n"/>
      <c r="Q1937" s="30" t="n"/>
      <c r="R1937" s="32" t="n"/>
      <c r="S1937" s="30" t="n"/>
      <c r="T1937" s="30" t="n"/>
      <c r="U1937" s="30" t="n"/>
      <c r="V1937" s="30" t="n"/>
      <c r="W1937" s="29">
        <f>IF(H1937="","",IF(H1937="Kenya","Yes","No"))</f>
        <v/>
      </c>
      <c r="X1937" s="29">
        <f>IF(B1937="","",IF(COUNTIF($B$5:$B$3004,B1937)&gt;1,"DUPLICATE","OK"))</f>
        <v/>
      </c>
      <c r="Y1937" s="29">
        <f>IF(OR(U1937="",V1937="",V1937="Excluded"),"",IF(COUNTIFS($U$5:$U$3004,U1937,$V$5:$V$3004,"&lt;&gt;"&amp;V1937,$V$5:$V$3004,"&lt;&gt;",$V$5:$V$3004,"&lt;&gt;Excluded")&gt;0,"LEAK RISK","OK"))</f>
        <v/>
      </c>
      <c r="Z1937" s="30" t="n"/>
    </row>
    <row r="1938">
      <c r="A1938" s="30" t="n"/>
      <c r="B1938" s="30" t="n"/>
      <c r="C1938" s="30" t="n"/>
      <c r="D1938" s="30" t="n"/>
      <c r="E1938" s="30" t="n"/>
      <c r="F1938" s="30" t="n"/>
      <c r="G1938" s="30" t="n"/>
      <c r="H1938" s="30" t="n"/>
      <c r="I1938" s="31" t="n"/>
      <c r="J1938" s="30" t="n"/>
      <c r="K1938" s="30" t="n"/>
      <c r="L1938" s="30" t="n"/>
      <c r="M1938" s="30" t="n"/>
      <c r="N1938" s="32" t="n"/>
      <c r="O1938" s="30" t="n"/>
      <c r="P1938" s="32" t="n"/>
      <c r="Q1938" s="30" t="n"/>
      <c r="R1938" s="32" t="n"/>
      <c r="S1938" s="30" t="n"/>
      <c r="T1938" s="30" t="n"/>
      <c r="U1938" s="30" t="n"/>
      <c r="V1938" s="30" t="n"/>
      <c r="W1938" s="29">
        <f>IF(H1938="","",IF(H1938="Kenya","Yes","No"))</f>
        <v/>
      </c>
      <c r="X1938" s="29">
        <f>IF(B1938="","",IF(COUNTIF($B$5:$B$3004,B1938)&gt;1,"DUPLICATE","OK"))</f>
        <v/>
      </c>
      <c r="Y1938" s="29">
        <f>IF(OR(U1938="",V1938="",V1938="Excluded"),"",IF(COUNTIFS($U$5:$U$3004,U1938,$V$5:$V$3004,"&lt;&gt;"&amp;V1938,$V$5:$V$3004,"&lt;&gt;",$V$5:$V$3004,"&lt;&gt;Excluded")&gt;0,"LEAK RISK","OK"))</f>
        <v/>
      </c>
      <c r="Z1938" s="30" t="n"/>
    </row>
    <row r="1939">
      <c r="A1939" s="30" t="n"/>
      <c r="B1939" s="30" t="n"/>
      <c r="C1939" s="30" t="n"/>
      <c r="D1939" s="30" t="n"/>
      <c r="E1939" s="30" t="n"/>
      <c r="F1939" s="30" t="n"/>
      <c r="G1939" s="30" t="n"/>
      <c r="H1939" s="30" t="n"/>
      <c r="I1939" s="31" t="n"/>
      <c r="J1939" s="30" t="n"/>
      <c r="K1939" s="30" t="n"/>
      <c r="L1939" s="30" t="n"/>
      <c r="M1939" s="30" t="n"/>
      <c r="N1939" s="32" t="n"/>
      <c r="O1939" s="30" t="n"/>
      <c r="P1939" s="32" t="n"/>
      <c r="Q1939" s="30" t="n"/>
      <c r="R1939" s="32" t="n"/>
      <c r="S1939" s="30" t="n"/>
      <c r="T1939" s="30" t="n"/>
      <c r="U1939" s="30" t="n"/>
      <c r="V1939" s="30" t="n"/>
      <c r="W1939" s="29">
        <f>IF(H1939="","",IF(H1939="Kenya","Yes","No"))</f>
        <v/>
      </c>
      <c r="X1939" s="29">
        <f>IF(B1939="","",IF(COUNTIF($B$5:$B$3004,B1939)&gt;1,"DUPLICATE","OK"))</f>
        <v/>
      </c>
      <c r="Y1939" s="29">
        <f>IF(OR(U1939="",V1939="",V1939="Excluded"),"",IF(COUNTIFS($U$5:$U$3004,U1939,$V$5:$V$3004,"&lt;&gt;"&amp;V1939,$V$5:$V$3004,"&lt;&gt;",$V$5:$V$3004,"&lt;&gt;Excluded")&gt;0,"LEAK RISK","OK"))</f>
        <v/>
      </c>
      <c r="Z1939" s="30" t="n"/>
    </row>
    <row r="1940">
      <c r="A1940" s="30" t="n"/>
      <c r="B1940" s="30" t="n"/>
      <c r="C1940" s="30" t="n"/>
      <c r="D1940" s="30" t="n"/>
      <c r="E1940" s="30" t="n"/>
      <c r="F1940" s="30" t="n"/>
      <c r="G1940" s="30" t="n"/>
      <c r="H1940" s="30" t="n"/>
      <c r="I1940" s="31" t="n"/>
      <c r="J1940" s="30" t="n"/>
      <c r="K1940" s="30" t="n"/>
      <c r="L1940" s="30" t="n"/>
      <c r="M1940" s="30" t="n"/>
      <c r="N1940" s="32" t="n"/>
      <c r="O1940" s="30" t="n"/>
      <c r="P1940" s="32" t="n"/>
      <c r="Q1940" s="30" t="n"/>
      <c r="R1940" s="32" t="n"/>
      <c r="S1940" s="30" t="n"/>
      <c r="T1940" s="30" t="n"/>
      <c r="U1940" s="30" t="n"/>
      <c r="V1940" s="30" t="n"/>
      <c r="W1940" s="29">
        <f>IF(H1940="","",IF(H1940="Kenya","Yes","No"))</f>
        <v/>
      </c>
      <c r="X1940" s="29">
        <f>IF(B1940="","",IF(COUNTIF($B$5:$B$3004,B1940)&gt;1,"DUPLICATE","OK"))</f>
        <v/>
      </c>
      <c r="Y1940" s="29">
        <f>IF(OR(U1940="",V1940="",V1940="Excluded"),"",IF(COUNTIFS($U$5:$U$3004,U1940,$V$5:$V$3004,"&lt;&gt;"&amp;V1940,$V$5:$V$3004,"&lt;&gt;",$V$5:$V$3004,"&lt;&gt;Excluded")&gt;0,"LEAK RISK","OK"))</f>
        <v/>
      </c>
      <c r="Z1940" s="30" t="n"/>
    </row>
    <row r="1941">
      <c r="A1941" s="30" t="n"/>
      <c r="B1941" s="30" t="n"/>
      <c r="C1941" s="30" t="n"/>
      <c r="D1941" s="30" t="n"/>
      <c r="E1941" s="30" t="n"/>
      <c r="F1941" s="30" t="n"/>
      <c r="G1941" s="30" t="n"/>
      <c r="H1941" s="30" t="n"/>
      <c r="I1941" s="31" t="n"/>
      <c r="J1941" s="30" t="n"/>
      <c r="K1941" s="30" t="n"/>
      <c r="L1941" s="30" t="n"/>
      <c r="M1941" s="30" t="n"/>
      <c r="N1941" s="32" t="n"/>
      <c r="O1941" s="30" t="n"/>
      <c r="P1941" s="32" t="n"/>
      <c r="Q1941" s="30" t="n"/>
      <c r="R1941" s="32" t="n"/>
      <c r="S1941" s="30" t="n"/>
      <c r="T1941" s="30" t="n"/>
      <c r="U1941" s="30" t="n"/>
      <c r="V1941" s="30" t="n"/>
      <c r="W1941" s="29">
        <f>IF(H1941="","",IF(H1941="Kenya","Yes","No"))</f>
        <v/>
      </c>
      <c r="X1941" s="29">
        <f>IF(B1941="","",IF(COUNTIF($B$5:$B$3004,B1941)&gt;1,"DUPLICATE","OK"))</f>
        <v/>
      </c>
      <c r="Y1941" s="29">
        <f>IF(OR(U1941="",V1941="",V1941="Excluded"),"",IF(COUNTIFS($U$5:$U$3004,U1941,$V$5:$V$3004,"&lt;&gt;"&amp;V1941,$V$5:$V$3004,"&lt;&gt;",$V$5:$V$3004,"&lt;&gt;Excluded")&gt;0,"LEAK RISK","OK"))</f>
        <v/>
      </c>
      <c r="Z1941" s="30" t="n"/>
    </row>
    <row r="1942">
      <c r="A1942" s="30" t="n"/>
      <c r="B1942" s="30" t="n"/>
      <c r="C1942" s="30" t="n"/>
      <c r="D1942" s="30" t="n"/>
      <c r="E1942" s="30" t="n"/>
      <c r="F1942" s="30" t="n"/>
      <c r="G1942" s="30" t="n"/>
      <c r="H1942" s="30" t="n"/>
      <c r="I1942" s="31" t="n"/>
      <c r="J1942" s="30" t="n"/>
      <c r="K1942" s="30" t="n"/>
      <c r="L1942" s="30" t="n"/>
      <c r="M1942" s="30" t="n"/>
      <c r="N1942" s="32" t="n"/>
      <c r="O1942" s="30" t="n"/>
      <c r="P1942" s="32" t="n"/>
      <c r="Q1942" s="30" t="n"/>
      <c r="R1942" s="32" t="n"/>
      <c r="S1942" s="30" t="n"/>
      <c r="T1942" s="30" t="n"/>
      <c r="U1942" s="30" t="n"/>
      <c r="V1942" s="30" t="n"/>
      <c r="W1942" s="29">
        <f>IF(H1942="","",IF(H1942="Kenya","Yes","No"))</f>
        <v/>
      </c>
      <c r="X1942" s="29">
        <f>IF(B1942="","",IF(COUNTIF($B$5:$B$3004,B1942)&gt;1,"DUPLICATE","OK"))</f>
        <v/>
      </c>
      <c r="Y1942" s="29">
        <f>IF(OR(U1942="",V1942="",V1942="Excluded"),"",IF(COUNTIFS($U$5:$U$3004,U1942,$V$5:$V$3004,"&lt;&gt;"&amp;V1942,$V$5:$V$3004,"&lt;&gt;",$V$5:$V$3004,"&lt;&gt;Excluded")&gt;0,"LEAK RISK","OK"))</f>
        <v/>
      </c>
      <c r="Z1942" s="30" t="n"/>
    </row>
    <row r="1943">
      <c r="A1943" s="30" t="n"/>
      <c r="B1943" s="30" t="n"/>
      <c r="C1943" s="30" t="n"/>
      <c r="D1943" s="30" t="n"/>
      <c r="E1943" s="30" t="n"/>
      <c r="F1943" s="30" t="n"/>
      <c r="G1943" s="30" t="n"/>
      <c r="H1943" s="30" t="n"/>
      <c r="I1943" s="31" t="n"/>
      <c r="J1943" s="30" t="n"/>
      <c r="K1943" s="30" t="n"/>
      <c r="L1943" s="30" t="n"/>
      <c r="M1943" s="30" t="n"/>
      <c r="N1943" s="32" t="n"/>
      <c r="O1943" s="30" t="n"/>
      <c r="P1943" s="32" t="n"/>
      <c r="Q1943" s="30" t="n"/>
      <c r="R1943" s="32" t="n"/>
      <c r="S1943" s="30" t="n"/>
      <c r="T1943" s="30" t="n"/>
      <c r="U1943" s="30" t="n"/>
      <c r="V1943" s="30" t="n"/>
      <c r="W1943" s="29">
        <f>IF(H1943="","",IF(H1943="Kenya","Yes","No"))</f>
        <v/>
      </c>
      <c r="X1943" s="29">
        <f>IF(B1943="","",IF(COUNTIF($B$5:$B$3004,B1943)&gt;1,"DUPLICATE","OK"))</f>
        <v/>
      </c>
      <c r="Y1943" s="29">
        <f>IF(OR(U1943="",V1943="",V1943="Excluded"),"",IF(COUNTIFS($U$5:$U$3004,U1943,$V$5:$V$3004,"&lt;&gt;"&amp;V1943,$V$5:$V$3004,"&lt;&gt;",$V$5:$V$3004,"&lt;&gt;Excluded")&gt;0,"LEAK RISK","OK"))</f>
        <v/>
      </c>
      <c r="Z1943" s="30" t="n"/>
    </row>
    <row r="1944">
      <c r="A1944" s="30" t="n"/>
      <c r="B1944" s="30" t="n"/>
      <c r="C1944" s="30" t="n"/>
      <c r="D1944" s="30" t="n"/>
      <c r="E1944" s="30" t="n"/>
      <c r="F1944" s="30" t="n"/>
      <c r="G1944" s="30" t="n"/>
      <c r="H1944" s="30" t="n"/>
      <c r="I1944" s="31" t="n"/>
      <c r="J1944" s="30" t="n"/>
      <c r="K1944" s="30" t="n"/>
      <c r="L1944" s="30" t="n"/>
      <c r="M1944" s="30" t="n"/>
      <c r="N1944" s="32" t="n"/>
      <c r="O1944" s="30" t="n"/>
      <c r="P1944" s="32" t="n"/>
      <c r="Q1944" s="30" t="n"/>
      <c r="R1944" s="32" t="n"/>
      <c r="S1944" s="30" t="n"/>
      <c r="T1944" s="30" t="n"/>
      <c r="U1944" s="30" t="n"/>
      <c r="V1944" s="30" t="n"/>
      <c r="W1944" s="29">
        <f>IF(H1944="","",IF(H1944="Kenya","Yes","No"))</f>
        <v/>
      </c>
      <c r="X1944" s="29">
        <f>IF(B1944="","",IF(COUNTIF($B$5:$B$3004,B1944)&gt;1,"DUPLICATE","OK"))</f>
        <v/>
      </c>
      <c r="Y1944" s="29">
        <f>IF(OR(U1944="",V1944="",V1944="Excluded"),"",IF(COUNTIFS($U$5:$U$3004,U1944,$V$5:$V$3004,"&lt;&gt;"&amp;V1944,$V$5:$V$3004,"&lt;&gt;",$V$5:$V$3004,"&lt;&gt;Excluded")&gt;0,"LEAK RISK","OK"))</f>
        <v/>
      </c>
      <c r="Z1944" s="30" t="n"/>
    </row>
    <row r="1945">
      <c r="A1945" s="30" t="n"/>
      <c r="B1945" s="30" t="n"/>
      <c r="C1945" s="30" t="n"/>
      <c r="D1945" s="30" t="n"/>
      <c r="E1945" s="30" t="n"/>
      <c r="F1945" s="30" t="n"/>
      <c r="G1945" s="30" t="n"/>
      <c r="H1945" s="30" t="n"/>
      <c r="I1945" s="31" t="n"/>
      <c r="J1945" s="30" t="n"/>
      <c r="K1945" s="30" t="n"/>
      <c r="L1945" s="30" t="n"/>
      <c r="M1945" s="30" t="n"/>
      <c r="N1945" s="32" t="n"/>
      <c r="O1945" s="30" t="n"/>
      <c r="P1945" s="32" t="n"/>
      <c r="Q1945" s="30" t="n"/>
      <c r="R1945" s="32" t="n"/>
      <c r="S1945" s="30" t="n"/>
      <c r="T1945" s="30" t="n"/>
      <c r="U1945" s="30" t="n"/>
      <c r="V1945" s="30" t="n"/>
      <c r="W1945" s="29">
        <f>IF(H1945="","",IF(H1945="Kenya","Yes","No"))</f>
        <v/>
      </c>
      <c r="X1945" s="29">
        <f>IF(B1945="","",IF(COUNTIF($B$5:$B$3004,B1945)&gt;1,"DUPLICATE","OK"))</f>
        <v/>
      </c>
      <c r="Y1945" s="29">
        <f>IF(OR(U1945="",V1945="",V1945="Excluded"),"",IF(COUNTIFS($U$5:$U$3004,U1945,$V$5:$V$3004,"&lt;&gt;"&amp;V1945,$V$5:$V$3004,"&lt;&gt;",$V$5:$V$3004,"&lt;&gt;Excluded")&gt;0,"LEAK RISK","OK"))</f>
        <v/>
      </c>
      <c r="Z1945" s="30" t="n"/>
    </row>
    <row r="1946">
      <c r="A1946" s="30" t="n"/>
      <c r="B1946" s="30" t="n"/>
      <c r="C1946" s="30" t="n"/>
      <c r="D1946" s="30" t="n"/>
      <c r="E1946" s="30" t="n"/>
      <c r="F1946" s="30" t="n"/>
      <c r="G1946" s="30" t="n"/>
      <c r="H1946" s="30" t="n"/>
      <c r="I1946" s="31" t="n"/>
      <c r="J1946" s="30" t="n"/>
      <c r="K1946" s="30" t="n"/>
      <c r="L1946" s="30" t="n"/>
      <c r="M1946" s="30" t="n"/>
      <c r="N1946" s="32" t="n"/>
      <c r="O1946" s="30" t="n"/>
      <c r="P1946" s="32" t="n"/>
      <c r="Q1946" s="30" t="n"/>
      <c r="R1946" s="32" t="n"/>
      <c r="S1946" s="30" t="n"/>
      <c r="T1946" s="30" t="n"/>
      <c r="U1946" s="30" t="n"/>
      <c r="V1946" s="30" t="n"/>
      <c r="W1946" s="29">
        <f>IF(H1946="","",IF(H1946="Kenya","Yes","No"))</f>
        <v/>
      </c>
      <c r="X1946" s="29">
        <f>IF(B1946="","",IF(COUNTIF($B$5:$B$3004,B1946)&gt;1,"DUPLICATE","OK"))</f>
        <v/>
      </c>
      <c r="Y1946" s="29">
        <f>IF(OR(U1946="",V1946="",V1946="Excluded"),"",IF(COUNTIFS($U$5:$U$3004,U1946,$V$5:$V$3004,"&lt;&gt;"&amp;V1946,$V$5:$V$3004,"&lt;&gt;",$V$5:$V$3004,"&lt;&gt;Excluded")&gt;0,"LEAK RISK","OK"))</f>
        <v/>
      </c>
      <c r="Z1946" s="30" t="n"/>
    </row>
    <row r="1947">
      <c r="A1947" s="30" t="n"/>
      <c r="B1947" s="30" t="n"/>
      <c r="C1947" s="30" t="n"/>
      <c r="D1947" s="30" t="n"/>
      <c r="E1947" s="30" t="n"/>
      <c r="F1947" s="30" t="n"/>
      <c r="G1947" s="30" t="n"/>
      <c r="H1947" s="30" t="n"/>
      <c r="I1947" s="31" t="n"/>
      <c r="J1947" s="30" t="n"/>
      <c r="K1947" s="30" t="n"/>
      <c r="L1947" s="30" t="n"/>
      <c r="M1947" s="30" t="n"/>
      <c r="N1947" s="32" t="n"/>
      <c r="O1947" s="30" t="n"/>
      <c r="P1947" s="32" t="n"/>
      <c r="Q1947" s="30" t="n"/>
      <c r="R1947" s="32" t="n"/>
      <c r="S1947" s="30" t="n"/>
      <c r="T1947" s="30" t="n"/>
      <c r="U1947" s="30" t="n"/>
      <c r="V1947" s="30" t="n"/>
      <c r="W1947" s="29">
        <f>IF(H1947="","",IF(H1947="Kenya","Yes","No"))</f>
        <v/>
      </c>
      <c r="X1947" s="29">
        <f>IF(B1947="","",IF(COUNTIF($B$5:$B$3004,B1947)&gt;1,"DUPLICATE","OK"))</f>
        <v/>
      </c>
      <c r="Y1947" s="29">
        <f>IF(OR(U1947="",V1947="",V1947="Excluded"),"",IF(COUNTIFS($U$5:$U$3004,U1947,$V$5:$V$3004,"&lt;&gt;"&amp;V1947,$V$5:$V$3004,"&lt;&gt;",$V$5:$V$3004,"&lt;&gt;Excluded")&gt;0,"LEAK RISK","OK"))</f>
        <v/>
      </c>
      <c r="Z1947" s="30" t="n"/>
    </row>
    <row r="1948">
      <c r="A1948" s="30" t="n"/>
      <c r="B1948" s="30" t="n"/>
      <c r="C1948" s="30" t="n"/>
      <c r="D1948" s="30" t="n"/>
      <c r="E1948" s="30" t="n"/>
      <c r="F1948" s="30" t="n"/>
      <c r="G1948" s="30" t="n"/>
      <c r="H1948" s="30" t="n"/>
      <c r="I1948" s="31" t="n"/>
      <c r="J1948" s="30" t="n"/>
      <c r="K1948" s="30" t="n"/>
      <c r="L1948" s="30" t="n"/>
      <c r="M1948" s="30" t="n"/>
      <c r="N1948" s="32" t="n"/>
      <c r="O1948" s="30" t="n"/>
      <c r="P1948" s="32" t="n"/>
      <c r="Q1948" s="30" t="n"/>
      <c r="R1948" s="32" t="n"/>
      <c r="S1948" s="30" t="n"/>
      <c r="T1948" s="30" t="n"/>
      <c r="U1948" s="30" t="n"/>
      <c r="V1948" s="30" t="n"/>
      <c r="W1948" s="29">
        <f>IF(H1948="","",IF(H1948="Kenya","Yes","No"))</f>
        <v/>
      </c>
      <c r="X1948" s="29">
        <f>IF(B1948="","",IF(COUNTIF($B$5:$B$3004,B1948)&gt;1,"DUPLICATE","OK"))</f>
        <v/>
      </c>
      <c r="Y1948" s="29">
        <f>IF(OR(U1948="",V1948="",V1948="Excluded"),"",IF(COUNTIFS($U$5:$U$3004,U1948,$V$5:$V$3004,"&lt;&gt;"&amp;V1948,$V$5:$V$3004,"&lt;&gt;",$V$5:$V$3004,"&lt;&gt;Excluded")&gt;0,"LEAK RISK","OK"))</f>
        <v/>
      </c>
      <c r="Z1948" s="30" t="n"/>
    </row>
    <row r="1949">
      <c r="A1949" s="30" t="n"/>
      <c r="B1949" s="30" t="n"/>
      <c r="C1949" s="30" t="n"/>
      <c r="D1949" s="30" t="n"/>
      <c r="E1949" s="30" t="n"/>
      <c r="F1949" s="30" t="n"/>
      <c r="G1949" s="30" t="n"/>
      <c r="H1949" s="30" t="n"/>
      <c r="I1949" s="31" t="n"/>
      <c r="J1949" s="30" t="n"/>
      <c r="K1949" s="30" t="n"/>
      <c r="L1949" s="30" t="n"/>
      <c r="M1949" s="30" t="n"/>
      <c r="N1949" s="32" t="n"/>
      <c r="O1949" s="30" t="n"/>
      <c r="P1949" s="32" t="n"/>
      <c r="Q1949" s="30" t="n"/>
      <c r="R1949" s="32" t="n"/>
      <c r="S1949" s="30" t="n"/>
      <c r="T1949" s="30" t="n"/>
      <c r="U1949" s="30" t="n"/>
      <c r="V1949" s="30" t="n"/>
      <c r="W1949" s="29">
        <f>IF(H1949="","",IF(H1949="Kenya","Yes","No"))</f>
        <v/>
      </c>
      <c r="X1949" s="29">
        <f>IF(B1949="","",IF(COUNTIF($B$5:$B$3004,B1949)&gt;1,"DUPLICATE","OK"))</f>
        <v/>
      </c>
      <c r="Y1949" s="29">
        <f>IF(OR(U1949="",V1949="",V1949="Excluded"),"",IF(COUNTIFS($U$5:$U$3004,U1949,$V$5:$V$3004,"&lt;&gt;"&amp;V1949,$V$5:$V$3004,"&lt;&gt;",$V$5:$V$3004,"&lt;&gt;Excluded")&gt;0,"LEAK RISK","OK"))</f>
        <v/>
      </c>
      <c r="Z1949" s="30" t="n"/>
    </row>
    <row r="1950">
      <c r="A1950" s="30" t="n"/>
      <c r="B1950" s="30" t="n"/>
      <c r="C1950" s="30" t="n"/>
      <c r="D1950" s="30" t="n"/>
      <c r="E1950" s="30" t="n"/>
      <c r="F1950" s="30" t="n"/>
      <c r="G1950" s="30" t="n"/>
      <c r="H1950" s="30" t="n"/>
      <c r="I1950" s="31" t="n"/>
      <c r="J1950" s="30" t="n"/>
      <c r="K1950" s="30" t="n"/>
      <c r="L1950" s="30" t="n"/>
      <c r="M1950" s="30" t="n"/>
      <c r="N1950" s="32" t="n"/>
      <c r="O1950" s="30" t="n"/>
      <c r="P1950" s="32" t="n"/>
      <c r="Q1950" s="30" t="n"/>
      <c r="R1950" s="32" t="n"/>
      <c r="S1950" s="30" t="n"/>
      <c r="T1950" s="30" t="n"/>
      <c r="U1950" s="30" t="n"/>
      <c r="V1950" s="30" t="n"/>
      <c r="W1950" s="29">
        <f>IF(H1950="","",IF(H1950="Kenya","Yes","No"))</f>
        <v/>
      </c>
      <c r="X1950" s="29">
        <f>IF(B1950="","",IF(COUNTIF($B$5:$B$3004,B1950)&gt;1,"DUPLICATE","OK"))</f>
        <v/>
      </c>
      <c r="Y1950" s="29">
        <f>IF(OR(U1950="",V1950="",V1950="Excluded"),"",IF(COUNTIFS($U$5:$U$3004,U1950,$V$5:$V$3004,"&lt;&gt;"&amp;V1950,$V$5:$V$3004,"&lt;&gt;",$V$5:$V$3004,"&lt;&gt;Excluded")&gt;0,"LEAK RISK","OK"))</f>
        <v/>
      </c>
      <c r="Z1950" s="30" t="n"/>
    </row>
    <row r="1951">
      <c r="A1951" s="30" t="n"/>
      <c r="B1951" s="30" t="n"/>
      <c r="C1951" s="30" t="n"/>
      <c r="D1951" s="30" t="n"/>
      <c r="E1951" s="30" t="n"/>
      <c r="F1951" s="30" t="n"/>
      <c r="G1951" s="30" t="n"/>
      <c r="H1951" s="30" t="n"/>
      <c r="I1951" s="31" t="n"/>
      <c r="J1951" s="30" t="n"/>
      <c r="K1951" s="30" t="n"/>
      <c r="L1951" s="30" t="n"/>
      <c r="M1951" s="30" t="n"/>
      <c r="N1951" s="32" t="n"/>
      <c r="O1951" s="30" t="n"/>
      <c r="P1951" s="32" t="n"/>
      <c r="Q1951" s="30" t="n"/>
      <c r="R1951" s="32" t="n"/>
      <c r="S1951" s="30" t="n"/>
      <c r="T1951" s="30" t="n"/>
      <c r="U1951" s="30" t="n"/>
      <c r="V1951" s="30" t="n"/>
      <c r="W1951" s="29">
        <f>IF(H1951="","",IF(H1951="Kenya","Yes","No"))</f>
        <v/>
      </c>
      <c r="X1951" s="29">
        <f>IF(B1951="","",IF(COUNTIF($B$5:$B$3004,B1951)&gt;1,"DUPLICATE","OK"))</f>
        <v/>
      </c>
      <c r="Y1951" s="29">
        <f>IF(OR(U1951="",V1951="",V1951="Excluded"),"",IF(COUNTIFS($U$5:$U$3004,U1951,$V$5:$V$3004,"&lt;&gt;"&amp;V1951,$V$5:$V$3004,"&lt;&gt;",$V$5:$V$3004,"&lt;&gt;Excluded")&gt;0,"LEAK RISK","OK"))</f>
        <v/>
      </c>
      <c r="Z1951" s="30" t="n"/>
    </row>
    <row r="1952">
      <c r="A1952" s="30" t="n"/>
      <c r="B1952" s="30" t="n"/>
      <c r="C1952" s="30" t="n"/>
      <c r="D1952" s="30" t="n"/>
      <c r="E1952" s="30" t="n"/>
      <c r="F1952" s="30" t="n"/>
      <c r="G1952" s="30" t="n"/>
      <c r="H1952" s="30" t="n"/>
      <c r="I1952" s="31" t="n"/>
      <c r="J1952" s="30" t="n"/>
      <c r="K1952" s="30" t="n"/>
      <c r="L1952" s="30" t="n"/>
      <c r="M1952" s="30" t="n"/>
      <c r="N1952" s="32" t="n"/>
      <c r="O1952" s="30" t="n"/>
      <c r="P1952" s="32" t="n"/>
      <c r="Q1952" s="30" t="n"/>
      <c r="R1952" s="32" t="n"/>
      <c r="S1952" s="30" t="n"/>
      <c r="T1952" s="30" t="n"/>
      <c r="U1952" s="30" t="n"/>
      <c r="V1952" s="30" t="n"/>
      <c r="W1952" s="29">
        <f>IF(H1952="","",IF(H1952="Kenya","Yes","No"))</f>
        <v/>
      </c>
      <c r="X1952" s="29">
        <f>IF(B1952="","",IF(COUNTIF($B$5:$B$3004,B1952)&gt;1,"DUPLICATE","OK"))</f>
        <v/>
      </c>
      <c r="Y1952" s="29">
        <f>IF(OR(U1952="",V1952="",V1952="Excluded"),"",IF(COUNTIFS($U$5:$U$3004,U1952,$V$5:$V$3004,"&lt;&gt;"&amp;V1952,$V$5:$V$3004,"&lt;&gt;",$V$5:$V$3004,"&lt;&gt;Excluded")&gt;0,"LEAK RISK","OK"))</f>
        <v/>
      </c>
      <c r="Z1952" s="30" t="n"/>
    </row>
    <row r="1953">
      <c r="A1953" s="30" t="n"/>
      <c r="B1953" s="30" t="n"/>
      <c r="C1953" s="30" t="n"/>
      <c r="D1953" s="30" t="n"/>
      <c r="E1953" s="30" t="n"/>
      <c r="F1953" s="30" t="n"/>
      <c r="G1953" s="30" t="n"/>
      <c r="H1953" s="30" t="n"/>
      <c r="I1953" s="31" t="n"/>
      <c r="J1953" s="30" t="n"/>
      <c r="K1953" s="30" t="n"/>
      <c r="L1953" s="30" t="n"/>
      <c r="M1953" s="30" t="n"/>
      <c r="N1953" s="32" t="n"/>
      <c r="O1953" s="30" t="n"/>
      <c r="P1953" s="32" t="n"/>
      <c r="Q1953" s="30" t="n"/>
      <c r="R1953" s="32" t="n"/>
      <c r="S1953" s="30" t="n"/>
      <c r="T1953" s="30" t="n"/>
      <c r="U1953" s="30" t="n"/>
      <c r="V1953" s="30" t="n"/>
      <c r="W1953" s="29">
        <f>IF(H1953="","",IF(H1953="Kenya","Yes","No"))</f>
        <v/>
      </c>
      <c r="X1953" s="29">
        <f>IF(B1953="","",IF(COUNTIF($B$5:$B$3004,B1953)&gt;1,"DUPLICATE","OK"))</f>
        <v/>
      </c>
      <c r="Y1953" s="29">
        <f>IF(OR(U1953="",V1953="",V1953="Excluded"),"",IF(COUNTIFS($U$5:$U$3004,U1953,$V$5:$V$3004,"&lt;&gt;"&amp;V1953,$V$5:$V$3004,"&lt;&gt;",$V$5:$V$3004,"&lt;&gt;Excluded")&gt;0,"LEAK RISK","OK"))</f>
        <v/>
      </c>
      <c r="Z1953" s="30" t="n"/>
    </row>
    <row r="1954">
      <c r="A1954" s="30" t="n"/>
      <c r="B1954" s="30" t="n"/>
      <c r="C1954" s="30" t="n"/>
      <c r="D1954" s="30" t="n"/>
      <c r="E1954" s="30" t="n"/>
      <c r="F1954" s="30" t="n"/>
      <c r="G1954" s="30" t="n"/>
      <c r="H1954" s="30" t="n"/>
      <c r="I1954" s="31" t="n"/>
      <c r="J1954" s="30" t="n"/>
      <c r="K1954" s="30" t="n"/>
      <c r="L1954" s="30" t="n"/>
      <c r="M1954" s="30" t="n"/>
      <c r="N1954" s="32" t="n"/>
      <c r="O1954" s="30" t="n"/>
      <c r="P1954" s="32" t="n"/>
      <c r="Q1954" s="30" t="n"/>
      <c r="R1954" s="32" t="n"/>
      <c r="S1954" s="30" t="n"/>
      <c r="T1954" s="30" t="n"/>
      <c r="U1954" s="30" t="n"/>
      <c r="V1954" s="30" t="n"/>
      <c r="W1954" s="29">
        <f>IF(H1954="","",IF(H1954="Kenya","Yes","No"))</f>
        <v/>
      </c>
      <c r="X1954" s="29">
        <f>IF(B1954="","",IF(COUNTIF($B$5:$B$3004,B1954)&gt;1,"DUPLICATE","OK"))</f>
        <v/>
      </c>
      <c r="Y1954" s="29">
        <f>IF(OR(U1954="",V1954="",V1954="Excluded"),"",IF(COUNTIFS($U$5:$U$3004,U1954,$V$5:$V$3004,"&lt;&gt;"&amp;V1954,$V$5:$V$3004,"&lt;&gt;",$V$5:$V$3004,"&lt;&gt;Excluded")&gt;0,"LEAK RISK","OK"))</f>
        <v/>
      </c>
      <c r="Z1954" s="30" t="n"/>
    </row>
    <row r="1955">
      <c r="A1955" s="30" t="n"/>
      <c r="B1955" s="30" t="n"/>
      <c r="C1955" s="30" t="n"/>
      <c r="D1955" s="30" t="n"/>
      <c r="E1955" s="30" t="n"/>
      <c r="F1955" s="30" t="n"/>
      <c r="G1955" s="30" t="n"/>
      <c r="H1955" s="30" t="n"/>
      <c r="I1955" s="31" t="n"/>
      <c r="J1955" s="30" t="n"/>
      <c r="K1955" s="30" t="n"/>
      <c r="L1955" s="30" t="n"/>
      <c r="M1955" s="30" t="n"/>
      <c r="N1955" s="32" t="n"/>
      <c r="O1955" s="30" t="n"/>
      <c r="P1955" s="32" t="n"/>
      <c r="Q1955" s="30" t="n"/>
      <c r="R1955" s="32" t="n"/>
      <c r="S1955" s="30" t="n"/>
      <c r="T1955" s="30" t="n"/>
      <c r="U1955" s="30" t="n"/>
      <c r="V1955" s="30" t="n"/>
      <c r="W1955" s="29">
        <f>IF(H1955="","",IF(H1955="Kenya","Yes","No"))</f>
        <v/>
      </c>
      <c r="X1955" s="29">
        <f>IF(B1955="","",IF(COUNTIF($B$5:$B$3004,B1955)&gt;1,"DUPLICATE","OK"))</f>
        <v/>
      </c>
      <c r="Y1955" s="29">
        <f>IF(OR(U1955="",V1955="",V1955="Excluded"),"",IF(COUNTIFS($U$5:$U$3004,U1955,$V$5:$V$3004,"&lt;&gt;"&amp;V1955,$V$5:$V$3004,"&lt;&gt;",$V$5:$V$3004,"&lt;&gt;Excluded")&gt;0,"LEAK RISK","OK"))</f>
        <v/>
      </c>
      <c r="Z1955" s="30" t="n"/>
    </row>
    <row r="1956">
      <c r="A1956" s="30" t="n"/>
      <c r="B1956" s="30" t="n"/>
      <c r="C1956" s="30" t="n"/>
      <c r="D1956" s="30" t="n"/>
      <c r="E1956" s="30" t="n"/>
      <c r="F1956" s="30" t="n"/>
      <c r="G1956" s="30" t="n"/>
      <c r="H1956" s="30" t="n"/>
      <c r="I1956" s="31" t="n"/>
      <c r="J1956" s="30" t="n"/>
      <c r="K1956" s="30" t="n"/>
      <c r="L1956" s="30" t="n"/>
      <c r="M1956" s="30" t="n"/>
      <c r="N1956" s="32" t="n"/>
      <c r="O1956" s="30" t="n"/>
      <c r="P1956" s="32" t="n"/>
      <c r="Q1956" s="30" t="n"/>
      <c r="R1956" s="32" t="n"/>
      <c r="S1956" s="30" t="n"/>
      <c r="T1956" s="30" t="n"/>
      <c r="U1956" s="30" t="n"/>
      <c r="V1956" s="30" t="n"/>
      <c r="W1956" s="29">
        <f>IF(H1956="","",IF(H1956="Kenya","Yes","No"))</f>
        <v/>
      </c>
      <c r="X1956" s="29">
        <f>IF(B1956="","",IF(COUNTIF($B$5:$B$3004,B1956)&gt;1,"DUPLICATE","OK"))</f>
        <v/>
      </c>
      <c r="Y1956" s="29">
        <f>IF(OR(U1956="",V1956="",V1956="Excluded"),"",IF(COUNTIFS($U$5:$U$3004,U1956,$V$5:$V$3004,"&lt;&gt;"&amp;V1956,$V$5:$V$3004,"&lt;&gt;",$V$5:$V$3004,"&lt;&gt;Excluded")&gt;0,"LEAK RISK","OK"))</f>
        <v/>
      </c>
      <c r="Z1956" s="30" t="n"/>
    </row>
    <row r="1957">
      <c r="A1957" s="30" t="n"/>
      <c r="B1957" s="30" t="n"/>
      <c r="C1957" s="30" t="n"/>
      <c r="D1957" s="30" t="n"/>
      <c r="E1957" s="30" t="n"/>
      <c r="F1957" s="30" t="n"/>
      <c r="G1957" s="30" t="n"/>
      <c r="H1957" s="30" t="n"/>
      <c r="I1957" s="31" t="n"/>
      <c r="J1957" s="30" t="n"/>
      <c r="K1957" s="30" t="n"/>
      <c r="L1957" s="30" t="n"/>
      <c r="M1957" s="30" t="n"/>
      <c r="N1957" s="32" t="n"/>
      <c r="O1957" s="30" t="n"/>
      <c r="P1957" s="32" t="n"/>
      <c r="Q1957" s="30" t="n"/>
      <c r="R1957" s="32" t="n"/>
      <c r="S1957" s="30" t="n"/>
      <c r="T1957" s="30" t="n"/>
      <c r="U1957" s="30" t="n"/>
      <c r="V1957" s="30" t="n"/>
      <c r="W1957" s="29">
        <f>IF(H1957="","",IF(H1957="Kenya","Yes","No"))</f>
        <v/>
      </c>
      <c r="X1957" s="29">
        <f>IF(B1957="","",IF(COUNTIF($B$5:$B$3004,B1957)&gt;1,"DUPLICATE","OK"))</f>
        <v/>
      </c>
      <c r="Y1957" s="29">
        <f>IF(OR(U1957="",V1957="",V1957="Excluded"),"",IF(COUNTIFS($U$5:$U$3004,U1957,$V$5:$V$3004,"&lt;&gt;"&amp;V1957,$V$5:$V$3004,"&lt;&gt;",$V$5:$V$3004,"&lt;&gt;Excluded")&gt;0,"LEAK RISK","OK"))</f>
        <v/>
      </c>
      <c r="Z1957" s="30" t="n"/>
    </row>
    <row r="1958">
      <c r="A1958" s="30" t="n"/>
      <c r="B1958" s="30" t="n"/>
      <c r="C1958" s="30" t="n"/>
      <c r="D1958" s="30" t="n"/>
      <c r="E1958" s="30" t="n"/>
      <c r="F1958" s="30" t="n"/>
      <c r="G1958" s="30" t="n"/>
      <c r="H1958" s="30" t="n"/>
      <c r="I1958" s="31" t="n"/>
      <c r="J1958" s="30" t="n"/>
      <c r="K1958" s="30" t="n"/>
      <c r="L1958" s="30" t="n"/>
      <c r="M1958" s="30" t="n"/>
      <c r="N1958" s="32" t="n"/>
      <c r="O1958" s="30" t="n"/>
      <c r="P1958" s="32" t="n"/>
      <c r="Q1958" s="30" t="n"/>
      <c r="R1958" s="32" t="n"/>
      <c r="S1958" s="30" t="n"/>
      <c r="T1958" s="30" t="n"/>
      <c r="U1958" s="30" t="n"/>
      <c r="V1958" s="30" t="n"/>
      <c r="W1958" s="29">
        <f>IF(H1958="","",IF(H1958="Kenya","Yes","No"))</f>
        <v/>
      </c>
      <c r="X1958" s="29">
        <f>IF(B1958="","",IF(COUNTIF($B$5:$B$3004,B1958)&gt;1,"DUPLICATE","OK"))</f>
        <v/>
      </c>
      <c r="Y1958" s="29">
        <f>IF(OR(U1958="",V1958="",V1958="Excluded"),"",IF(COUNTIFS($U$5:$U$3004,U1958,$V$5:$V$3004,"&lt;&gt;"&amp;V1958,$V$5:$V$3004,"&lt;&gt;",$V$5:$V$3004,"&lt;&gt;Excluded")&gt;0,"LEAK RISK","OK"))</f>
        <v/>
      </c>
      <c r="Z1958" s="30" t="n"/>
    </row>
    <row r="1959">
      <c r="A1959" s="30" t="n"/>
      <c r="B1959" s="30" t="n"/>
      <c r="C1959" s="30" t="n"/>
      <c r="D1959" s="30" t="n"/>
      <c r="E1959" s="30" t="n"/>
      <c r="F1959" s="30" t="n"/>
      <c r="G1959" s="30" t="n"/>
      <c r="H1959" s="30" t="n"/>
      <c r="I1959" s="31" t="n"/>
      <c r="J1959" s="30" t="n"/>
      <c r="K1959" s="30" t="n"/>
      <c r="L1959" s="30" t="n"/>
      <c r="M1959" s="30" t="n"/>
      <c r="N1959" s="32" t="n"/>
      <c r="O1959" s="30" t="n"/>
      <c r="P1959" s="32" t="n"/>
      <c r="Q1959" s="30" t="n"/>
      <c r="R1959" s="32" t="n"/>
      <c r="S1959" s="30" t="n"/>
      <c r="T1959" s="30" t="n"/>
      <c r="U1959" s="30" t="n"/>
      <c r="V1959" s="30" t="n"/>
      <c r="W1959" s="29">
        <f>IF(H1959="","",IF(H1959="Kenya","Yes","No"))</f>
        <v/>
      </c>
      <c r="X1959" s="29">
        <f>IF(B1959="","",IF(COUNTIF($B$5:$B$3004,B1959)&gt;1,"DUPLICATE","OK"))</f>
        <v/>
      </c>
      <c r="Y1959" s="29">
        <f>IF(OR(U1959="",V1959="",V1959="Excluded"),"",IF(COUNTIFS($U$5:$U$3004,U1959,$V$5:$V$3004,"&lt;&gt;"&amp;V1959,$V$5:$V$3004,"&lt;&gt;",$V$5:$V$3004,"&lt;&gt;Excluded")&gt;0,"LEAK RISK","OK"))</f>
        <v/>
      </c>
      <c r="Z1959" s="30" t="n"/>
    </row>
    <row r="1960">
      <c r="A1960" s="30" t="n"/>
      <c r="B1960" s="30" t="n"/>
      <c r="C1960" s="30" t="n"/>
      <c r="D1960" s="30" t="n"/>
      <c r="E1960" s="30" t="n"/>
      <c r="F1960" s="30" t="n"/>
      <c r="G1960" s="30" t="n"/>
      <c r="H1960" s="30" t="n"/>
      <c r="I1960" s="31" t="n"/>
      <c r="J1960" s="30" t="n"/>
      <c r="K1960" s="30" t="n"/>
      <c r="L1960" s="30" t="n"/>
      <c r="M1960" s="30" t="n"/>
      <c r="N1960" s="32" t="n"/>
      <c r="O1960" s="30" t="n"/>
      <c r="P1960" s="32" t="n"/>
      <c r="Q1960" s="30" t="n"/>
      <c r="R1960" s="32" t="n"/>
      <c r="S1960" s="30" t="n"/>
      <c r="T1960" s="30" t="n"/>
      <c r="U1960" s="30" t="n"/>
      <c r="V1960" s="30" t="n"/>
      <c r="W1960" s="29">
        <f>IF(H1960="","",IF(H1960="Kenya","Yes","No"))</f>
        <v/>
      </c>
      <c r="X1960" s="29">
        <f>IF(B1960="","",IF(COUNTIF($B$5:$B$3004,B1960)&gt;1,"DUPLICATE","OK"))</f>
        <v/>
      </c>
      <c r="Y1960" s="29">
        <f>IF(OR(U1960="",V1960="",V1960="Excluded"),"",IF(COUNTIFS($U$5:$U$3004,U1960,$V$5:$V$3004,"&lt;&gt;"&amp;V1960,$V$5:$V$3004,"&lt;&gt;",$V$5:$V$3004,"&lt;&gt;Excluded")&gt;0,"LEAK RISK","OK"))</f>
        <v/>
      </c>
      <c r="Z1960" s="30" t="n"/>
    </row>
    <row r="1961">
      <c r="A1961" s="30" t="n"/>
      <c r="B1961" s="30" t="n"/>
      <c r="C1961" s="30" t="n"/>
      <c r="D1961" s="30" t="n"/>
      <c r="E1961" s="30" t="n"/>
      <c r="F1961" s="30" t="n"/>
      <c r="G1961" s="30" t="n"/>
      <c r="H1961" s="30" t="n"/>
      <c r="I1961" s="31" t="n"/>
      <c r="J1961" s="30" t="n"/>
      <c r="K1961" s="30" t="n"/>
      <c r="L1961" s="30" t="n"/>
      <c r="M1961" s="30" t="n"/>
      <c r="N1961" s="32" t="n"/>
      <c r="O1961" s="30" t="n"/>
      <c r="P1961" s="32" t="n"/>
      <c r="Q1961" s="30" t="n"/>
      <c r="R1961" s="32" t="n"/>
      <c r="S1961" s="30" t="n"/>
      <c r="T1961" s="30" t="n"/>
      <c r="U1961" s="30" t="n"/>
      <c r="V1961" s="30" t="n"/>
      <c r="W1961" s="29">
        <f>IF(H1961="","",IF(H1961="Kenya","Yes","No"))</f>
        <v/>
      </c>
      <c r="X1961" s="29">
        <f>IF(B1961="","",IF(COUNTIF($B$5:$B$3004,B1961)&gt;1,"DUPLICATE","OK"))</f>
        <v/>
      </c>
      <c r="Y1961" s="29">
        <f>IF(OR(U1961="",V1961="",V1961="Excluded"),"",IF(COUNTIFS($U$5:$U$3004,U1961,$V$5:$V$3004,"&lt;&gt;"&amp;V1961,$V$5:$V$3004,"&lt;&gt;",$V$5:$V$3004,"&lt;&gt;Excluded")&gt;0,"LEAK RISK","OK"))</f>
        <v/>
      </c>
      <c r="Z1961" s="30" t="n"/>
    </row>
    <row r="1962">
      <c r="A1962" s="30" t="n"/>
      <c r="B1962" s="30" t="n"/>
      <c r="C1962" s="30" t="n"/>
      <c r="D1962" s="30" t="n"/>
      <c r="E1962" s="30" t="n"/>
      <c r="F1962" s="30" t="n"/>
      <c r="G1962" s="30" t="n"/>
      <c r="H1962" s="30" t="n"/>
      <c r="I1962" s="31" t="n"/>
      <c r="J1962" s="30" t="n"/>
      <c r="K1962" s="30" t="n"/>
      <c r="L1962" s="30" t="n"/>
      <c r="M1962" s="30" t="n"/>
      <c r="N1962" s="32" t="n"/>
      <c r="O1962" s="30" t="n"/>
      <c r="P1962" s="32" t="n"/>
      <c r="Q1962" s="30" t="n"/>
      <c r="R1962" s="32" t="n"/>
      <c r="S1962" s="30" t="n"/>
      <c r="T1962" s="30" t="n"/>
      <c r="U1962" s="30" t="n"/>
      <c r="V1962" s="30" t="n"/>
      <c r="W1962" s="29">
        <f>IF(H1962="","",IF(H1962="Kenya","Yes","No"))</f>
        <v/>
      </c>
      <c r="X1962" s="29">
        <f>IF(B1962="","",IF(COUNTIF($B$5:$B$3004,B1962)&gt;1,"DUPLICATE","OK"))</f>
        <v/>
      </c>
      <c r="Y1962" s="29">
        <f>IF(OR(U1962="",V1962="",V1962="Excluded"),"",IF(COUNTIFS($U$5:$U$3004,U1962,$V$5:$V$3004,"&lt;&gt;"&amp;V1962,$V$5:$V$3004,"&lt;&gt;",$V$5:$V$3004,"&lt;&gt;Excluded")&gt;0,"LEAK RISK","OK"))</f>
        <v/>
      </c>
      <c r="Z1962" s="30" t="n"/>
    </row>
    <row r="1963">
      <c r="A1963" s="30" t="n"/>
      <c r="B1963" s="30" t="n"/>
      <c r="C1963" s="30" t="n"/>
      <c r="D1963" s="30" t="n"/>
      <c r="E1963" s="30" t="n"/>
      <c r="F1963" s="30" t="n"/>
      <c r="G1963" s="30" t="n"/>
      <c r="H1963" s="30" t="n"/>
      <c r="I1963" s="31" t="n"/>
      <c r="J1963" s="30" t="n"/>
      <c r="K1963" s="30" t="n"/>
      <c r="L1963" s="30" t="n"/>
      <c r="M1963" s="30" t="n"/>
      <c r="N1963" s="32" t="n"/>
      <c r="O1963" s="30" t="n"/>
      <c r="P1963" s="32" t="n"/>
      <c r="Q1963" s="30" t="n"/>
      <c r="R1963" s="32" t="n"/>
      <c r="S1963" s="30" t="n"/>
      <c r="T1963" s="30" t="n"/>
      <c r="U1963" s="30" t="n"/>
      <c r="V1963" s="30" t="n"/>
      <c r="W1963" s="29">
        <f>IF(H1963="","",IF(H1963="Kenya","Yes","No"))</f>
        <v/>
      </c>
      <c r="X1963" s="29">
        <f>IF(B1963="","",IF(COUNTIF($B$5:$B$3004,B1963)&gt;1,"DUPLICATE","OK"))</f>
        <v/>
      </c>
      <c r="Y1963" s="29">
        <f>IF(OR(U1963="",V1963="",V1963="Excluded"),"",IF(COUNTIFS($U$5:$U$3004,U1963,$V$5:$V$3004,"&lt;&gt;"&amp;V1963,$V$5:$V$3004,"&lt;&gt;",$V$5:$V$3004,"&lt;&gt;Excluded")&gt;0,"LEAK RISK","OK"))</f>
        <v/>
      </c>
      <c r="Z1963" s="30" t="n"/>
    </row>
    <row r="1964">
      <c r="A1964" s="30" t="n"/>
      <c r="B1964" s="30" t="n"/>
      <c r="C1964" s="30" t="n"/>
      <c r="D1964" s="30" t="n"/>
      <c r="E1964" s="30" t="n"/>
      <c r="F1964" s="30" t="n"/>
      <c r="G1964" s="30" t="n"/>
      <c r="H1964" s="30" t="n"/>
      <c r="I1964" s="31" t="n"/>
      <c r="J1964" s="30" t="n"/>
      <c r="K1964" s="30" t="n"/>
      <c r="L1964" s="30" t="n"/>
      <c r="M1964" s="30" t="n"/>
      <c r="N1964" s="32" t="n"/>
      <c r="O1964" s="30" t="n"/>
      <c r="P1964" s="32" t="n"/>
      <c r="Q1964" s="30" t="n"/>
      <c r="R1964" s="32" t="n"/>
      <c r="S1964" s="30" t="n"/>
      <c r="T1964" s="30" t="n"/>
      <c r="U1964" s="30" t="n"/>
      <c r="V1964" s="30" t="n"/>
      <c r="W1964" s="29">
        <f>IF(H1964="","",IF(H1964="Kenya","Yes","No"))</f>
        <v/>
      </c>
      <c r="X1964" s="29">
        <f>IF(B1964="","",IF(COUNTIF($B$5:$B$3004,B1964)&gt;1,"DUPLICATE","OK"))</f>
        <v/>
      </c>
      <c r="Y1964" s="29">
        <f>IF(OR(U1964="",V1964="",V1964="Excluded"),"",IF(COUNTIFS($U$5:$U$3004,U1964,$V$5:$V$3004,"&lt;&gt;"&amp;V1964,$V$5:$V$3004,"&lt;&gt;",$V$5:$V$3004,"&lt;&gt;Excluded")&gt;0,"LEAK RISK","OK"))</f>
        <v/>
      </c>
      <c r="Z1964" s="30" t="n"/>
    </row>
    <row r="1965">
      <c r="A1965" s="30" t="n"/>
      <c r="B1965" s="30" t="n"/>
      <c r="C1965" s="30" t="n"/>
      <c r="D1965" s="30" t="n"/>
      <c r="E1965" s="30" t="n"/>
      <c r="F1965" s="30" t="n"/>
      <c r="G1965" s="30" t="n"/>
      <c r="H1965" s="30" t="n"/>
      <c r="I1965" s="31" t="n"/>
      <c r="J1965" s="30" t="n"/>
      <c r="K1965" s="30" t="n"/>
      <c r="L1965" s="30" t="n"/>
      <c r="M1965" s="30" t="n"/>
      <c r="N1965" s="32" t="n"/>
      <c r="O1965" s="30" t="n"/>
      <c r="P1965" s="32" t="n"/>
      <c r="Q1965" s="30" t="n"/>
      <c r="R1965" s="32" t="n"/>
      <c r="S1965" s="30" t="n"/>
      <c r="T1965" s="30" t="n"/>
      <c r="U1965" s="30" t="n"/>
      <c r="V1965" s="30" t="n"/>
      <c r="W1965" s="29">
        <f>IF(H1965="","",IF(H1965="Kenya","Yes","No"))</f>
        <v/>
      </c>
      <c r="X1965" s="29">
        <f>IF(B1965="","",IF(COUNTIF($B$5:$B$3004,B1965)&gt;1,"DUPLICATE","OK"))</f>
        <v/>
      </c>
      <c r="Y1965" s="29">
        <f>IF(OR(U1965="",V1965="",V1965="Excluded"),"",IF(COUNTIFS($U$5:$U$3004,U1965,$V$5:$V$3004,"&lt;&gt;"&amp;V1965,$V$5:$V$3004,"&lt;&gt;",$V$5:$V$3004,"&lt;&gt;Excluded")&gt;0,"LEAK RISK","OK"))</f>
        <v/>
      </c>
      <c r="Z1965" s="30" t="n"/>
    </row>
    <row r="1966">
      <c r="A1966" s="30" t="n"/>
      <c r="B1966" s="30" t="n"/>
      <c r="C1966" s="30" t="n"/>
      <c r="D1966" s="30" t="n"/>
      <c r="E1966" s="30" t="n"/>
      <c r="F1966" s="30" t="n"/>
      <c r="G1966" s="30" t="n"/>
      <c r="H1966" s="30" t="n"/>
      <c r="I1966" s="31" t="n"/>
      <c r="J1966" s="30" t="n"/>
      <c r="K1966" s="30" t="n"/>
      <c r="L1966" s="30" t="n"/>
      <c r="M1966" s="30" t="n"/>
      <c r="N1966" s="32" t="n"/>
      <c r="O1966" s="30" t="n"/>
      <c r="P1966" s="32" t="n"/>
      <c r="Q1966" s="30" t="n"/>
      <c r="R1966" s="32" t="n"/>
      <c r="S1966" s="30" t="n"/>
      <c r="T1966" s="30" t="n"/>
      <c r="U1966" s="30" t="n"/>
      <c r="V1966" s="30" t="n"/>
      <c r="W1966" s="29">
        <f>IF(H1966="","",IF(H1966="Kenya","Yes","No"))</f>
        <v/>
      </c>
      <c r="X1966" s="29">
        <f>IF(B1966="","",IF(COUNTIF($B$5:$B$3004,B1966)&gt;1,"DUPLICATE","OK"))</f>
        <v/>
      </c>
      <c r="Y1966" s="29">
        <f>IF(OR(U1966="",V1966="",V1966="Excluded"),"",IF(COUNTIFS($U$5:$U$3004,U1966,$V$5:$V$3004,"&lt;&gt;"&amp;V1966,$V$5:$V$3004,"&lt;&gt;",$V$5:$V$3004,"&lt;&gt;Excluded")&gt;0,"LEAK RISK","OK"))</f>
        <v/>
      </c>
      <c r="Z1966" s="30" t="n"/>
    </row>
    <row r="1967">
      <c r="A1967" s="30" t="n"/>
      <c r="B1967" s="30" t="n"/>
      <c r="C1967" s="30" t="n"/>
      <c r="D1967" s="30" t="n"/>
      <c r="E1967" s="30" t="n"/>
      <c r="F1967" s="30" t="n"/>
      <c r="G1967" s="30" t="n"/>
      <c r="H1967" s="30" t="n"/>
      <c r="I1967" s="31" t="n"/>
      <c r="J1967" s="30" t="n"/>
      <c r="K1967" s="30" t="n"/>
      <c r="L1967" s="30" t="n"/>
      <c r="M1967" s="30" t="n"/>
      <c r="N1967" s="32" t="n"/>
      <c r="O1967" s="30" t="n"/>
      <c r="P1967" s="32" t="n"/>
      <c r="Q1967" s="30" t="n"/>
      <c r="R1967" s="32" t="n"/>
      <c r="S1967" s="30" t="n"/>
      <c r="T1967" s="30" t="n"/>
      <c r="U1967" s="30" t="n"/>
      <c r="V1967" s="30" t="n"/>
      <c r="W1967" s="29">
        <f>IF(H1967="","",IF(H1967="Kenya","Yes","No"))</f>
        <v/>
      </c>
      <c r="X1967" s="29">
        <f>IF(B1967="","",IF(COUNTIF($B$5:$B$3004,B1967)&gt;1,"DUPLICATE","OK"))</f>
        <v/>
      </c>
      <c r="Y1967" s="29">
        <f>IF(OR(U1967="",V1967="",V1967="Excluded"),"",IF(COUNTIFS($U$5:$U$3004,U1967,$V$5:$V$3004,"&lt;&gt;"&amp;V1967,$V$5:$V$3004,"&lt;&gt;",$V$5:$V$3004,"&lt;&gt;Excluded")&gt;0,"LEAK RISK","OK"))</f>
        <v/>
      </c>
      <c r="Z1967" s="30" t="n"/>
    </row>
    <row r="1968">
      <c r="A1968" s="30" t="n"/>
      <c r="B1968" s="30" t="n"/>
      <c r="C1968" s="30" t="n"/>
      <c r="D1968" s="30" t="n"/>
      <c r="E1968" s="30" t="n"/>
      <c r="F1968" s="30" t="n"/>
      <c r="G1968" s="30" t="n"/>
      <c r="H1968" s="30" t="n"/>
      <c r="I1968" s="31" t="n"/>
      <c r="J1968" s="30" t="n"/>
      <c r="K1968" s="30" t="n"/>
      <c r="L1968" s="30" t="n"/>
      <c r="M1968" s="30" t="n"/>
      <c r="N1968" s="32" t="n"/>
      <c r="O1968" s="30" t="n"/>
      <c r="P1968" s="32" t="n"/>
      <c r="Q1968" s="30" t="n"/>
      <c r="R1968" s="32" t="n"/>
      <c r="S1968" s="30" t="n"/>
      <c r="T1968" s="30" t="n"/>
      <c r="U1968" s="30" t="n"/>
      <c r="V1968" s="30" t="n"/>
      <c r="W1968" s="29">
        <f>IF(H1968="","",IF(H1968="Kenya","Yes","No"))</f>
        <v/>
      </c>
      <c r="X1968" s="29">
        <f>IF(B1968="","",IF(COUNTIF($B$5:$B$3004,B1968)&gt;1,"DUPLICATE","OK"))</f>
        <v/>
      </c>
      <c r="Y1968" s="29">
        <f>IF(OR(U1968="",V1968="",V1968="Excluded"),"",IF(COUNTIFS($U$5:$U$3004,U1968,$V$5:$V$3004,"&lt;&gt;"&amp;V1968,$V$5:$V$3004,"&lt;&gt;",$V$5:$V$3004,"&lt;&gt;Excluded")&gt;0,"LEAK RISK","OK"))</f>
        <v/>
      </c>
      <c r="Z1968" s="30" t="n"/>
    </row>
    <row r="1969">
      <c r="A1969" s="30" t="n"/>
      <c r="B1969" s="30" t="n"/>
      <c r="C1969" s="30" t="n"/>
      <c r="D1969" s="30" t="n"/>
      <c r="E1969" s="30" t="n"/>
      <c r="F1969" s="30" t="n"/>
      <c r="G1969" s="30" t="n"/>
      <c r="H1969" s="30" t="n"/>
      <c r="I1969" s="31" t="n"/>
      <c r="J1969" s="30" t="n"/>
      <c r="K1969" s="30" t="n"/>
      <c r="L1969" s="30" t="n"/>
      <c r="M1969" s="30" t="n"/>
      <c r="N1969" s="32" t="n"/>
      <c r="O1969" s="30" t="n"/>
      <c r="P1969" s="32" t="n"/>
      <c r="Q1969" s="30" t="n"/>
      <c r="R1969" s="32" t="n"/>
      <c r="S1969" s="30" t="n"/>
      <c r="T1969" s="30" t="n"/>
      <c r="U1969" s="30" t="n"/>
      <c r="V1969" s="30" t="n"/>
      <c r="W1969" s="29">
        <f>IF(H1969="","",IF(H1969="Kenya","Yes","No"))</f>
        <v/>
      </c>
      <c r="X1969" s="29">
        <f>IF(B1969="","",IF(COUNTIF($B$5:$B$3004,B1969)&gt;1,"DUPLICATE","OK"))</f>
        <v/>
      </c>
      <c r="Y1969" s="29">
        <f>IF(OR(U1969="",V1969="",V1969="Excluded"),"",IF(COUNTIFS($U$5:$U$3004,U1969,$V$5:$V$3004,"&lt;&gt;"&amp;V1969,$V$5:$V$3004,"&lt;&gt;",$V$5:$V$3004,"&lt;&gt;Excluded")&gt;0,"LEAK RISK","OK"))</f>
        <v/>
      </c>
      <c r="Z1969" s="30" t="n"/>
    </row>
    <row r="1970">
      <c r="A1970" s="30" t="n"/>
      <c r="B1970" s="30" t="n"/>
      <c r="C1970" s="30" t="n"/>
      <c r="D1970" s="30" t="n"/>
      <c r="E1970" s="30" t="n"/>
      <c r="F1970" s="30" t="n"/>
      <c r="G1970" s="30" t="n"/>
      <c r="H1970" s="30" t="n"/>
      <c r="I1970" s="31" t="n"/>
      <c r="J1970" s="30" t="n"/>
      <c r="K1970" s="30" t="n"/>
      <c r="L1970" s="30" t="n"/>
      <c r="M1970" s="30" t="n"/>
      <c r="N1970" s="32" t="n"/>
      <c r="O1970" s="30" t="n"/>
      <c r="P1970" s="32" t="n"/>
      <c r="Q1970" s="30" t="n"/>
      <c r="R1970" s="32" t="n"/>
      <c r="S1970" s="30" t="n"/>
      <c r="T1970" s="30" t="n"/>
      <c r="U1970" s="30" t="n"/>
      <c r="V1970" s="30" t="n"/>
      <c r="W1970" s="29">
        <f>IF(H1970="","",IF(H1970="Kenya","Yes","No"))</f>
        <v/>
      </c>
      <c r="X1970" s="29">
        <f>IF(B1970="","",IF(COUNTIF($B$5:$B$3004,B1970)&gt;1,"DUPLICATE","OK"))</f>
        <v/>
      </c>
      <c r="Y1970" s="29">
        <f>IF(OR(U1970="",V1970="",V1970="Excluded"),"",IF(COUNTIFS($U$5:$U$3004,U1970,$V$5:$V$3004,"&lt;&gt;"&amp;V1970,$V$5:$V$3004,"&lt;&gt;",$V$5:$V$3004,"&lt;&gt;Excluded")&gt;0,"LEAK RISK","OK"))</f>
        <v/>
      </c>
      <c r="Z1970" s="30" t="n"/>
    </row>
    <row r="1971">
      <c r="A1971" s="30" t="n"/>
      <c r="B1971" s="30" t="n"/>
      <c r="C1971" s="30" t="n"/>
      <c r="D1971" s="30" t="n"/>
      <c r="E1971" s="30" t="n"/>
      <c r="F1971" s="30" t="n"/>
      <c r="G1971" s="30" t="n"/>
      <c r="H1971" s="30" t="n"/>
      <c r="I1971" s="31" t="n"/>
      <c r="J1971" s="30" t="n"/>
      <c r="K1971" s="30" t="n"/>
      <c r="L1971" s="30" t="n"/>
      <c r="M1971" s="30" t="n"/>
      <c r="N1971" s="32" t="n"/>
      <c r="O1971" s="30" t="n"/>
      <c r="P1971" s="32" t="n"/>
      <c r="Q1971" s="30" t="n"/>
      <c r="R1971" s="32" t="n"/>
      <c r="S1971" s="30" t="n"/>
      <c r="T1971" s="30" t="n"/>
      <c r="U1971" s="30" t="n"/>
      <c r="V1971" s="30" t="n"/>
      <c r="W1971" s="29">
        <f>IF(H1971="","",IF(H1971="Kenya","Yes","No"))</f>
        <v/>
      </c>
      <c r="X1971" s="29">
        <f>IF(B1971="","",IF(COUNTIF($B$5:$B$3004,B1971)&gt;1,"DUPLICATE","OK"))</f>
        <v/>
      </c>
      <c r="Y1971" s="29">
        <f>IF(OR(U1971="",V1971="",V1971="Excluded"),"",IF(COUNTIFS($U$5:$U$3004,U1971,$V$5:$V$3004,"&lt;&gt;"&amp;V1971,$V$5:$V$3004,"&lt;&gt;",$V$5:$V$3004,"&lt;&gt;Excluded")&gt;0,"LEAK RISK","OK"))</f>
        <v/>
      </c>
      <c r="Z1971" s="30" t="n"/>
    </row>
    <row r="1972">
      <c r="A1972" s="30" t="n"/>
      <c r="B1972" s="30" t="n"/>
      <c r="C1972" s="30" t="n"/>
      <c r="D1972" s="30" t="n"/>
      <c r="E1972" s="30" t="n"/>
      <c r="F1972" s="30" t="n"/>
      <c r="G1972" s="30" t="n"/>
      <c r="H1972" s="30" t="n"/>
      <c r="I1972" s="31" t="n"/>
      <c r="J1972" s="30" t="n"/>
      <c r="K1972" s="30" t="n"/>
      <c r="L1972" s="30" t="n"/>
      <c r="M1972" s="30" t="n"/>
      <c r="N1972" s="32" t="n"/>
      <c r="O1972" s="30" t="n"/>
      <c r="P1972" s="32" t="n"/>
      <c r="Q1972" s="30" t="n"/>
      <c r="R1972" s="32" t="n"/>
      <c r="S1972" s="30" t="n"/>
      <c r="T1972" s="30" t="n"/>
      <c r="U1972" s="30" t="n"/>
      <c r="V1972" s="30" t="n"/>
      <c r="W1972" s="29">
        <f>IF(H1972="","",IF(H1972="Kenya","Yes","No"))</f>
        <v/>
      </c>
      <c r="X1972" s="29">
        <f>IF(B1972="","",IF(COUNTIF($B$5:$B$3004,B1972)&gt;1,"DUPLICATE","OK"))</f>
        <v/>
      </c>
      <c r="Y1972" s="29">
        <f>IF(OR(U1972="",V1972="",V1972="Excluded"),"",IF(COUNTIFS($U$5:$U$3004,U1972,$V$5:$V$3004,"&lt;&gt;"&amp;V1972,$V$5:$V$3004,"&lt;&gt;",$V$5:$V$3004,"&lt;&gt;Excluded")&gt;0,"LEAK RISK","OK"))</f>
        <v/>
      </c>
      <c r="Z1972" s="30" t="n"/>
    </row>
    <row r="1973">
      <c r="A1973" s="30" t="n"/>
      <c r="B1973" s="30" t="n"/>
      <c r="C1973" s="30" t="n"/>
      <c r="D1973" s="30" t="n"/>
      <c r="E1973" s="30" t="n"/>
      <c r="F1973" s="30" t="n"/>
      <c r="G1973" s="30" t="n"/>
      <c r="H1973" s="30" t="n"/>
      <c r="I1973" s="31" t="n"/>
      <c r="J1973" s="30" t="n"/>
      <c r="K1973" s="30" t="n"/>
      <c r="L1973" s="30" t="n"/>
      <c r="M1973" s="30" t="n"/>
      <c r="N1973" s="32" t="n"/>
      <c r="O1973" s="30" t="n"/>
      <c r="P1973" s="32" t="n"/>
      <c r="Q1973" s="30" t="n"/>
      <c r="R1973" s="32" t="n"/>
      <c r="S1973" s="30" t="n"/>
      <c r="T1973" s="30" t="n"/>
      <c r="U1973" s="30" t="n"/>
      <c r="V1973" s="30" t="n"/>
      <c r="W1973" s="29">
        <f>IF(H1973="","",IF(H1973="Kenya","Yes","No"))</f>
        <v/>
      </c>
      <c r="X1973" s="29">
        <f>IF(B1973="","",IF(COUNTIF($B$5:$B$3004,B1973)&gt;1,"DUPLICATE","OK"))</f>
        <v/>
      </c>
      <c r="Y1973" s="29">
        <f>IF(OR(U1973="",V1973="",V1973="Excluded"),"",IF(COUNTIFS($U$5:$U$3004,U1973,$V$5:$V$3004,"&lt;&gt;"&amp;V1973,$V$5:$V$3004,"&lt;&gt;",$V$5:$V$3004,"&lt;&gt;Excluded")&gt;0,"LEAK RISK","OK"))</f>
        <v/>
      </c>
      <c r="Z1973" s="30" t="n"/>
    </row>
    <row r="1974">
      <c r="A1974" s="30" t="n"/>
      <c r="B1974" s="30" t="n"/>
      <c r="C1974" s="30" t="n"/>
      <c r="D1974" s="30" t="n"/>
      <c r="E1974" s="30" t="n"/>
      <c r="F1974" s="30" t="n"/>
      <c r="G1974" s="30" t="n"/>
      <c r="H1974" s="30" t="n"/>
      <c r="I1974" s="31" t="n"/>
      <c r="J1974" s="30" t="n"/>
      <c r="K1974" s="30" t="n"/>
      <c r="L1974" s="30" t="n"/>
      <c r="M1974" s="30" t="n"/>
      <c r="N1974" s="32" t="n"/>
      <c r="O1974" s="30" t="n"/>
      <c r="P1974" s="32" t="n"/>
      <c r="Q1974" s="30" t="n"/>
      <c r="R1974" s="32" t="n"/>
      <c r="S1974" s="30" t="n"/>
      <c r="T1974" s="30" t="n"/>
      <c r="U1974" s="30" t="n"/>
      <c r="V1974" s="30" t="n"/>
      <c r="W1974" s="29">
        <f>IF(H1974="","",IF(H1974="Kenya","Yes","No"))</f>
        <v/>
      </c>
      <c r="X1974" s="29">
        <f>IF(B1974="","",IF(COUNTIF($B$5:$B$3004,B1974)&gt;1,"DUPLICATE","OK"))</f>
        <v/>
      </c>
      <c r="Y1974" s="29">
        <f>IF(OR(U1974="",V1974="",V1974="Excluded"),"",IF(COUNTIFS($U$5:$U$3004,U1974,$V$5:$V$3004,"&lt;&gt;"&amp;V1974,$V$5:$V$3004,"&lt;&gt;",$V$5:$V$3004,"&lt;&gt;Excluded")&gt;0,"LEAK RISK","OK"))</f>
        <v/>
      </c>
      <c r="Z1974" s="30" t="n"/>
    </row>
    <row r="1975">
      <c r="A1975" s="30" t="n"/>
      <c r="B1975" s="30" t="n"/>
      <c r="C1975" s="30" t="n"/>
      <c r="D1975" s="30" t="n"/>
      <c r="E1975" s="30" t="n"/>
      <c r="F1975" s="30" t="n"/>
      <c r="G1975" s="30" t="n"/>
      <c r="H1975" s="30" t="n"/>
      <c r="I1975" s="31" t="n"/>
      <c r="J1975" s="30" t="n"/>
      <c r="K1975" s="30" t="n"/>
      <c r="L1975" s="30" t="n"/>
      <c r="M1975" s="30" t="n"/>
      <c r="N1975" s="32" t="n"/>
      <c r="O1975" s="30" t="n"/>
      <c r="P1975" s="32" t="n"/>
      <c r="Q1975" s="30" t="n"/>
      <c r="R1975" s="32" t="n"/>
      <c r="S1975" s="30" t="n"/>
      <c r="T1975" s="30" t="n"/>
      <c r="U1975" s="30" t="n"/>
      <c r="V1975" s="30" t="n"/>
      <c r="W1975" s="29">
        <f>IF(H1975="","",IF(H1975="Kenya","Yes","No"))</f>
        <v/>
      </c>
      <c r="X1975" s="29">
        <f>IF(B1975="","",IF(COUNTIF($B$5:$B$3004,B1975)&gt;1,"DUPLICATE","OK"))</f>
        <v/>
      </c>
      <c r="Y1975" s="29">
        <f>IF(OR(U1975="",V1975="",V1975="Excluded"),"",IF(COUNTIFS($U$5:$U$3004,U1975,$V$5:$V$3004,"&lt;&gt;"&amp;V1975,$V$5:$V$3004,"&lt;&gt;",$V$5:$V$3004,"&lt;&gt;Excluded")&gt;0,"LEAK RISK","OK"))</f>
        <v/>
      </c>
      <c r="Z1975" s="30" t="n"/>
    </row>
    <row r="1976">
      <c r="A1976" s="30" t="n"/>
      <c r="B1976" s="30" t="n"/>
      <c r="C1976" s="30" t="n"/>
      <c r="D1976" s="30" t="n"/>
      <c r="E1976" s="30" t="n"/>
      <c r="F1976" s="30" t="n"/>
      <c r="G1976" s="30" t="n"/>
      <c r="H1976" s="30" t="n"/>
      <c r="I1976" s="31" t="n"/>
      <c r="J1976" s="30" t="n"/>
      <c r="K1976" s="30" t="n"/>
      <c r="L1976" s="30" t="n"/>
      <c r="M1976" s="30" t="n"/>
      <c r="N1976" s="32" t="n"/>
      <c r="O1976" s="30" t="n"/>
      <c r="P1976" s="32" t="n"/>
      <c r="Q1976" s="30" t="n"/>
      <c r="R1976" s="32" t="n"/>
      <c r="S1976" s="30" t="n"/>
      <c r="T1976" s="30" t="n"/>
      <c r="U1976" s="30" t="n"/>
      <c r="V1976" s="30" t="n"/>
      <c r="W1976" s="29">
        <f>IF(H1976="","",IF(H1976="Kenya","Yes","No"))</f>
        <v/>
      </c>
      <c r="X1976" s="29">
        <f>IF(B1976="","",IF(COUNTIF($B$5:$B$3004,B1976)&gt;1,"DUPLICATE","OK"))</f>
        <v/>
      </c>
      <c r="Y1976" s="29">
        <f>IF(OR(U1976="",V1976="",V1976="Excluded"),"",IF(COUNTIFS($U$5:$U$3004,U1976,$V$5:$V$3004,"&lt;&gt;"&amp;V1976,$V$5:$V$3004,"&lt;&gt;",$V$5:$V$3004,"&lt;&gt;Excluded")&gt;0,"LEAK RISK","OK"))</f>
        <v/>
      </c>
      <c r="Z1976" s="30" t="n"/>
    </row>
    <row r="1977">
      <c r="A1977" s="30" t="n"/>
      <c r="B1977" s="30" t="n"/>
      <c r="C1977" s="30" t="n"/>
      <c r="D1977" s="30" t="n"/>
      <c r="E1977" s="30" t="n"/>
      <c r="F1977" s="30" t="n"/>
      <c r="G1977" s="30" t="n"/>
      <c r="H1977" s="30" t="n"/>
      <c r="I1977" s="31" t="n"/>
      <c r="J1977" s="30" t="n"/>
      <c r="K1977" s="30" t="n"/>
      <c r="L1977" s="30" t="n"/>
      <c r="M1977" s="30" t="n"/>
      <c r="N1977" s="32" t="n"/>
      <c r="O1977" s="30" t="n"/>
      <c r="P1977" s="32" t="n"/>
      <c r="Q1977" s="30" t="n"/>
      <c r="R1977" s="32" t="n"/>
      <c r="S1977" s="30" t="n"/>
      <c r="T1977" s="30" t="n"/>
      <c r="U1977" s="30" t="n"/>
      <c r="V1977" s="30" t="n"/>
      <c r="W1977" s="29">
        <f>IF(H1977="","",IF(H1977="Kenya","Yes","No"))</f>
        <v/>
      </c>
      <c r="X1977" s="29">
        <f>IF(B1977="","",IF(COUNTIF($B$5:$B$3004,B1977)&gt;1,"DUPLICATE","OK"))</f>
        <v/>
      </c>
      <c r="Y1977" s="29">
        <f>IF(OR(U1977="",V1977="",V1977="Excluded"),"",IF(COUNTIFS($U$5:$U$3004,U1977,$V$5:$V$3004,"&lt;&gt;"&amp;V1977,$V$5:$V$3004,"&lt;&gt;",$V$5:$V$3004,"&lt;&gt;Excluded")&gt;0,"LEAK RISK","OK"))</f>
        <v/>
      </c>
      <c r="Z1977" s="30" t="n"/>
    </row>
    <row r="1978">
      <c r="A1978" s="30" t="n"/>
      <c r="B1978" s="30" t="n"/>
      <c r="C1978" s="30" t="n"/>
      <c r="D1978" s="30" t="n"/>
      <c r="E1978" s="30" t="n"/>
      <c r="F1978" s="30" t="n"/>
      <c r="G1978" s="30" t="n"/>
      <c r="H1978" s="30" t="n"/>
      <c r="I1978" s="31" t="n"/>
      <c r="J1978" s="30" t="n"/>
      <c r="K1978" s="30" t="n"/>
      <c r="L1978" s="30" t="n"/>
      <c r="M1978" s="30" t="n"/>
      <c r="N1978" s="32" t="n"/>
      <c r="O1978" s="30" t="n"/>
      <c r="P1978" s="32" t="n"/>
      <c r="Q1978" s="30" t="n"/>
      <c r="R1978" s="32" t="n"/>
      <c r="S1978" s="30" t="n"/>
      <c r="T1978" s="30" t="n"/>
      <c r="U1978" s="30" t="n"/>
      <c r="V1978" s="30" t="n"/>
      <c r="W1978" s="29">
        <f>IF(H1978="","",IF(H1978="Kenya","Yes","No"))</f>
        <v/>
      </c>
      <c r="X1978" s="29">
        <f>IF(B1978="","",IF(COUNTIF($B$5:$B$3004,B1978)&gt;1,"DUPLICATE","OK"))</f>
        <v/>
      </c>
      <c r="Y1978" s="29">
        <f>IF(OR(U1978="",V1978="",V1978="Excluded"),"",IF(COUNTIFS($U$5:$U$3004,U1978,$V$5:$V$3004,"&lt;&gt;"&amp;V1978,$V$5:$V$3004,"&lt;&gt;",$V$5:$V$3004,"&lt;&gt;Excluded")&gt;0,"LEAK RISK","OK"))</f>
        <v/>
      </c>
      <c r="Z1978" s="30" t="n"/>
    </row>
    <row r="1979">
      <c r="A1979" s="30" t="n"/>
      <c r="B1979" s="30" t="n"/>
      <c r="C1979" s="30" t="n"/>
      <c r="D1979" s="30" t="n"/>
      <c r="E1979" s="30" t="n"/>
      <c r="F1979" s="30" t="n"/>
      <c r="G1979" s="30" t="n"/>
      <c r="H1979" s="30" t="n"/>
      <c r="I1979" s="31" t="n"/>
      <c r="J1979" s="30" t="n"/>
      <c r="K1979" s="30" t="n"/>
      <c r="L1979" s="30" t="n"/>
      <c r="M1979" s="30" t="n"/>
      <c r="N1979" s="32" t="n"/>
      <c r="O1979" s="30" t="n"/>
      <c r="P1979" s="32" t="n"/>
      <c r="Q1979" s="30" t="n"/>
      <c r="R1979" s="32" t="n"/>
      <c r="S1979" s="30" t="n"/>
      <c r="T1979" s="30" t="n"/>
      <c r="U1979" s="30" t="n"/>
      <c r="V1979" s="30" t="n"/>
      <c r="W1979" s="29">
        <f>IF(H1979="","",IF(H1979="Kenya","Yes","No"))</f>
        <v/>
      </c>
      <c r="X1979" s="29">
        <f>IF(B1979="","",IF(COUNTIF($B$5:$B$3004,B1979)&gt;1,"DUPLICATE","OK"))</f>
        <v/>
      </c>
      <c r="Y1979" s="29">
        <f>IF(OR(U1979="",V1979="",V1979="Excluded"),"",IF(COUNTIFS($U$5:$U$3004,U1979,$V$5:$V$3004,"&lt;&gt;"&amp;V1979,$V$5:$V$3004,"&lt;&gt;",$V$5:$V$3004,"&lt;&gt;Excluded")&gt;0,"LEAK RISK","OK"))</f>
        <v/>
      </c>
      <c r="Z1979" s="30" t="n"/>
    </row>
    <row r="1980">
      <c r="A1980" s="30" t="n"/>
      <c r="B1980" s="30" t="n"/>
      <c r="C1980" s="30" t="n"/>
      <c r="D1980" s="30" t="n"/>
      <c r="E1980" s="30" t="n"/>
      <c r="F1980" s="30" t="n"/>
      <c r="G1980" s="30" t="n"/>
      <c r="H1980" s="30" t="n"/>
      <c r="I1980" s="31" t="n"/>
      <c r="J1980" s="30" t="n"/>
      <c r="K1980" s="30" t="n"/>
      <c r="L1980" s="30" t="n"/>
      <c r="M1980" s="30" t="n"/>
      <c r="N1980" s="32" t="n"/>
      <c r="O1980" s="30" t="n"/>
      <c r="P1980" s="32" t="n"/>
      <c r="Q1980" s="30" t="n"/>
      <c r="R1980" s="32" t="n"/>
      <c r="S1980" s="30" t="n"/>
      <c r="T1980" s="30" t="n"/>
      <c r="U1980" s="30" t="n"/>
      <c r="V1980" s="30" t="n"/>
      <c r="W1980" s="29">
        <f>IF(H1980="","",IF(H1980="Kenya","Yes","No"))</f>
        <v/>
      </c>
      <c r="X1980" s="29">
        <f>IF(B1980="","",IF(COUNTIF($B$5:$B$3004,B1980)&gt;1,"DUPLICATE","OK"))</f>
        <v/>
      </c>
      <c r="Y1980" s="29">
        <f>IF(OR(U1980="",V1980="",V1980="Excluded"),"",IF(COUNTIFS($U$5:$U$3004,U1980,$V$5:$V$3004,"&lt;&gt;"&amp;V1980,$V$5:$V$3004,"&lt;&gt;",$V$5:$V$3004,"&lt;&gt;Excluded")&gt;0,"LEAK RISK","OK"))</f>
        <v/>
      </c>
      <c r="Z1980" s="30" t="n"/>
    </row>
    <row r="1981">
      <c r="A1981" s="30" t="n"/>
      <c r="B1981" s="30" t="n"/>
      <c r="C1981" s="30" t="n"/>
      <c r="D1981" s="30" t="n"/>
      <c r="E1981" s="30" t="n"/>
      <c r="F1981" s="30" t="n"/>
      <c r="G1981" s="30" t="n"/>
      <c r="H1981" s="30" t="n"/>
      <c r="I1981" s="31" t="n"/>
      <c r="J1981" s="30" t="n"/>
      <c r="K1981" s="30" t="n"/>
      <c r="L1981" s="30" t="n"/>
      <c r="M1981" s="30" t="n"/>
      <c r="N1981" s="32" t="n"/>
      <c r="O1981" s="30" t="n"/>
      <c r="P1981" s="32" t="n"/>
      <c r="Q1981" s="30" t="n"/>
      <c r="R1981" s="32" t="n"/>
      <c r="S1981" s="30" t="n"/>
      <c r="T1981" s="30" t="n"/>
      <c r="U1981" s="30" t="n"/>
      <c r="V1981" s="30" t="n"/>
      <c r="W1981" s="29">
        <f>IF(H1981="","",IF(H1981="Kenya","Yes","No"))</f>
        <v/>
      </c>
      <c r="X1981" s="29">
        <f>IF(B1981="","",IF(COUNTIF($B$5:$B$3004,B1981)&gt;1,"DUPLICATE","OK"))</f>
        <v/>
      </c>
      <c r="Y1981" s="29">
        <f>IF(OR(U1981="",V1981="",V1981="Excluded"),"",IF(COUNTIFS($U$5:$U$3004,U1981,$V$5:$V$3004,"&lt;&gt;"&amp;V1981,$V$5:$V$3004,"&lt;&gt;",$V$5:$V$3004,"&lt;&gt;Excluded")&gt;0,"LEAK RISK","OK"))</f>
        <v/>
      </c>
      <c r="Z1981" s="30" t="n"/>
    </row>
    <row r="1982">
      <c r="A1982" s="30" t="n"/>
      <c r="B1982" s="30" t="n"/>
      <c r="C1982" s="30" t="n"/>
      <c r="D1982" s="30" t="n"/>
      <c r="E1982" s="30" t="n"/>
      <c r="F1982" s="30" t="n"/>
      <c r="G1982" s="30" t="n"/>
      <c r="H1982" s="30" t="n"/>
      <c r="I1982" s="31" t="n"/>
      <c r="J1982" s="30" t="n"/>
      <c r="K1982" s="30" t="n"/>
      <c r="L1982" s="30" t="n"/>
      <c r="M1982" s="30" t="n"/>
      <c r="N1982" s="32" t="n"/>
      <c r="O1982" s="30" t="n"/>
      <c r="P1982" s="32" t="n"/>
      <c r="Q1982" s="30" t="n"/>
      <c r="R1982" s="32" t="n"/>
      <c r="S1982" s="30" t="n"/>
      <c r="T1982" s="30" t="n"/>
      <c r="U1982" s="30" t="n"/>
      <c r="V1982" s="30" t="n"/>
      <c r="W1982" s="29">
        <f>IF(H1982="","",IF(H1982="Kenya","Yes","No"))</f>
        <v/>
      </c>
      <c r="X1982" s="29">
        <f>IF(B1982="","",IF(COUNTIF($B$5:$B$3004,B1982)&gt;1,"DUPLICATE","OK"))</f>
        <v/>
      </c>
      <c r="Y1982" s="29">
        <f>IF(OR(U1982="",V1982="",V1982="Excluded"),"",IF(COUNTIFS($U$5:$U$3004,U1982,$V$5:$V$3004,"&lt;&gt;"&amp;V1982,$V$5:$V$3004,"&lt;&gt;",$V$5:$V$3004,"&lt;&gt;Excluded")&gt;0,"LEAK RISK","OK"))</f>
        <v/>
      </c>
      <c r="Z1982" s="30" t="n"/>
    </row>
    <row r="1983">
      <c r="A1983" s="30" t="n"/>
      <c r="B1983" s="30" t="n"/>
      <c r="C1983" s="30" t="n"/>
      <c r="D1983" s="30" t="n"/>
      <c r="E1983" s="30" t="n"/>
      <c r="F1983" s="30" t="n"/>
      <c r="G1983" s="30" t="n"/>
      <c r="H1983" s="30" t="n"/>
      <c r="I1983" s="31" t="n"/>
      <c r="J1983" s="30" t="n"/>
      <c r="K1983" s="30" t="n"/>
      <c r="L1983" s="30" t="n"/>
      <c r="M1983" s="30" t="n"/>
      <c r="N1983" s="32" t="n"/>
      <c r="O1983" s="30" t="n"/>
      <c r="P1983" s="32" t="n"/>
      <c r="Q1983" s="30" t="n"/>
      <c r="R1983" s="32" t="n"/>
      <c r="S1983" s="30" t="n"/>
      <c r="T1983" s="30" t="n"/>
      <c r="U1983" s="30" t="n"/>
      <c r="V1983" s="30" t="n"/>
      <c r="W1983" s="29">
        <f>IF(H1983="","",IF(H1983="Kenya","Yes","No"))</f>
        <v/>
      </c>
      <c r="X1983" s="29">
        <f>IF(B1983="","",IF(COUNTIF($B$5:$B$3004,B1983)&gt;1,"DUPLICATE","OK"))</f>
        <v/>
      </c>
      <c r="Y1983" s="29">
        <f>IF(OR(U1983="",V1983="",V1983="Excluded"),"",IF(COUNTIFS($U$5:$U$3004,U1983,$V$5:$V$3004,"&lt;&gt;"&amp;V1983,$V$5:$V$3004,"&lt;&gt;",$V$5:$V$3004,"&lt;&gt;Excluded")&gt;0,"LEAK RISK","OK"))</f>
        <v/>
      </c>
      <c r="Z1983" s="30" t="n"/>
    </row>
    <row r="1984">
      <c r="A1984" s="30" t="n"/>
      <c r="B1984" s="30" t="n"/>
      <c r="C1984" s="30" t="n"/>
      <c r="D1984" s="30" t="n"/>
      <c r="E1984" s="30" t="n"/>
      <c r="F1984" s="30" t="n"/>
      <c r="G1984" s="30" t="n"/>
      <c r="H1984" s="30" t="n"/>
      <c r="I1984" s="31" t="n"/>
      <c r="J1984" s="30" t="n"/>
      <c r="K1984" s="30" t="n"/>
      <c r="L1984" s="30" t="n"/>
      <c r="M1984" s="30" t="n"/>
      <c r="N1984" s="32" t="n"/>
      <c r="O1984" s="30" t="n"/>
      <c r="P1984" s="32" t="n"/>
      <c r="Q1984" s="30" t="n"/>
      <c r="R1984" s="32" t="n"/>
      <c r="S1984" s="30" t="n"/>
      <c r="T1984" s="30" t="n"/>
      <c r="U1984" s="30" t="n"/>
      <c r="V1984" s="30" t="n"/>
      <c r="W1984" s="29">
        <f>IF(H1984="","",IF(H1984="Kenya","Yes","No"))</f>
        <v/>
      </c>
      <c r="X1984" s="29">
        <f>IF(B1984="","",IF(COUNTIF($B$5:$B$3004,B1984)&gt;1,"DUPLICATE","OK"))</f>
        <v/>
      </c>
      <c r="Y1984" s="29">
        <f>IF(OR(U1984="",V1984="",V1984="Excluded"),"",IF(COUNTIFS($U$5:$U$3004,U1984,$V$5:$V$3004,"&lt;&gt;"&amp;V1984,$V$5:$V$3004,"&lt;&gt;",$V$5:$V$3004,"&lt;&gt;Excluded")&gt;0,"LEAK RISK","OK"))</f>
        <v/>
      </c>
      <c r="Z1984" s="30" t="n"/>
    </row>
    <row r="1985">
      <c r="A1985" s="30" t="n"/>
      <c r="B1985" s="30" t="n"/>
      <c r="C1985" s="30" t="n"/>
      <c r="D1985" s="30" t="n"/>
      <c r="E1985" s="30" t="n"/>
      <c r="F1985" s="30" t="n"/>
      <c r="G1985" s="30" t="n"/>
      <c r="H1985" s="30" t="n"/>
      <c r="I1985" s="31" t="n"/>
      <c r="J1985" s="30" t="n"/>
      <c r="K1985" s="30" t="n"/>
      <c r="L1985" s="30" t="n"/>
      <c r="M1985" s="30" t="n"/>
      <c r="N1985" s="32" t="n"/>
      <c r="O1985" s="30" t="n"/>
      <c r="P1985" s="32" t="n"/>
      <c r="Q1985" s="30" t="n"/>
      <c r="R1985" s="32" t="n"/>
      <c r="S1985" s="30" t="n"/>
      <c r="T1985" s="30" t="n"/>
      <c r="U1985" s="30" t="n"/>
      <c r="V1985" s="30" t="n"/>
      <c r="W1985" s="29">
        <f>IF(H1985="","",IF(H1985="Kenya","Yes","No"))</f>
        <v/>
      </c>
      <c r="X1985" s="29">
        <f>IF(B1985="","",IF(COUNTIF($B$5:$B$3004,B1985)&gt;1,"DUPLICATE","OK"))</f>
        <v/>
      </c>
      <c r="Y1985" s="29">
        <f>IF(OR(U1985="",V1985="",V1985="Excluded"),"",IF(COUNTIFS($U$5:$U$3004,U1985,$V$5:$V$3004,"&lt;&gt;"&amp;V1985,$V$5:$V$3004,"&lt;&gt;",$V$5:$V$3004,"&lt;&gt;Excluded")&gt;0,"LEAK RISK","OK"))</f>
        <v/>
      </c>
      <c r="Z1985" s="30" t="n"/>
    </row>
    <row r="1986">
      <c r="A1986" s="30" t="n"/>
      <c r="B1986" s="30" t="n"/>
      <c r="C1986" s="30" t="n"/>
      <c r="D1986" s="30" t="n"/>
      <c r="E1986" s="30" t="n"/>
      <c r="F1986" s="30" t="n"/>
      <c r="G1986" s="30" t="n"/>
      <c r="H1986" s="30" t="n"/>
      <c r="I1986" s="31" t="n"/>
      <c r="J1986" s="30" t="n"/>
      <c r="K1986" s="30" t="n"/>
      <c r="L1986" s="30" t="n"/>
      <c r="M1986" s="30" t="n"/>
      <c r="N1986" s="32" t="n"/>
      <c r="O1986" s="30" t="n"/>
      <c r="P1986" s="32" t="n"/>
      <c r="Q1986" s="30" t="n"/>
      <c r="R1986" s="32" t="n"/>
      <c r="S1986" s="30" t="n"/>
      <c r="T1986" s="30" t="n"/>
      <c r="U1986" s="30" t="n"/>
      <c r="V1986" s="30" t="n"/>
      <c r="W1986" s="29">
        <f>IF(H1986="","",IF(H1986="Kenya","Yes","No"))</f>
        <v/>
      </c>
      <c r="X1986" s="29">
        <f>IF(B1986="","",IF(COUNTIF($B$5:$B$3004,B1986)&gt;1,"DUPLICATE","OK"))</f>
        <v/>
      </c>
      <c r="Y1986" s="29">
        <f>IF(OR(U1986="",V1986="",V1986="Excluded"),"",IF(COUNTIFS($U$5:$U$3004,U1986,$V$5:$V$3004,"&lt;&gt;"&amp;V1986,$V$5:$V$3004,"&lt;&gt;",$V$5:$V$3004,"&lt;&gt;Excluded")&gt;0,"LEAK RISK","OK"))</f>
        <v/>
      </c>
      <c r="Z1986" s="30" t="n"/>
    </row>
    <row r="1987">
      <c r="A1987" s="30" t="n"/>
      <c r="B1987" s="30" t="n"/>
      <c r="C1987" s="30" t="n"/>
      <c r="D1987" s="30" t="n"/>
      <c r="E1987" s="30" t="n"/>
      <c r="F1987" s="30" t="n"/>
      <c r="G1987" s="30" t="n"/>
      <c r="H1987" s="30" t="n"/>
      <c r="I1987" s="31" t="n"/>
      <c r="J1987" s="30" t="n"/>
      <c r="K1987" s="30" t="n"/>
      <c r="L1987" s="30" t="n"/>
      <c r="M1987" s="30" t="n"/>
      <c r="N1987" s="32" t="n"/>
      <c r="O1987" s="30" t="n"/>
      <c r="P1987" s="32" t="n"/>
      <c r="Q1987" s="30" t="n"/>
      <c r="R1987" s="32" t="n"/>
      <c r="S1987" s="30" t="n"/>
      <c r="T1987" s="30" t="n"/>
      <c r="U1987" s="30" t="n"/>
      <c r="V1987" s="30" t="n"/>
      <c r="W1987" s="29">
        <f>IF(H1987="","",IF(H1987="Kenya","Yes","No"))</f>
        <v/>
      </c>
      <c r="X1987" s="29">
        <f>IF(B1987="","",IF(COUNTIF($B$5:$B$3004,B1987)&gt;1,"DUPLICATE","OK"))</f>
        <v/>
      </c>
      <c r="Y1987" s="29">
        <f>IF(OR(U1987="",V1987="",V1987="Excluded"),"",IF(COUNTIFS($U$5:$U$3004,U1987,$V$5:$V$3004,"&lt;&gt;"&amp;V1987,$V$5:$V$3004,"&lt;&gt;",$V$5:$V$3004,"&lt;&gt;Excluded")&gt;0,"LEAK RISK","OK"))</f>
        <v/>
      </c>
      <c r="Z1987" s="30" t="n"/>
    </row>
    <row r="1988">
      <c r="A1988" s="30" t="n"/>
      <c r="B1988" s="30" t="n"/>
      <c r="C1988" s="30" t="n"/>
      <c r="D1988" s="30" t="n"/>
      <c r="E1988" s="30" t="n"/>
      <c r="F1988" s="30" t="n"/>
      <c r="G1988" s="30" t="n"/>
      <c r="H1988" s="30" t="n"/>
      <c r="I1988" s="31" t="n"/>
      <c r="J1988" s="30" t="n"/>
      <c r="K1988" s="30" t="n"/>
      <c r="L1988" s="30" t="n"/>
      <c r="M1988" s="30" t="n"/>
      <c r="N1988" s="32" t="n"/>
      <c r="O1988" s="30" t="n"/>
      <c r="P1988" s="32" t="n"/>
      <c r="Q1988" s="30" t="n"/>
      <c r="R1988" s="32" t="n"/>
      <c r="S1988" s="30" t="n"/>
      <c r="T1988" s="30" t="n"/>
      <c r="U1988" s="30" t="n"/>
      <c r="V1988" s="30" t="n"/>
      <c r="W1988" s="29">
        <f>IF(H1988="","",IF(H1988="Kenya","Yes","No"))</f>
        <v/>
      </c>
      <c r="X1988" s="29">
        <f>IF(B1988="","",IF(COUNTIF($B$5:$B$3004,B1988)&gt;1,"DUPLICATE","OK"))</f>
        <v/>
      </c>
      <c r="Y1988" s="29">
        <f>IF(OR(U1988="",V1988="",V1988="Excluded"),"",IF(COUNTIFS($U$5:$U$3004,U1988,$V$5:$V$3004,"&lt;&gt;"&amp;V1988,$V$5:$V$3004,"&lt;&gt;",$V$5:$V$3004,"&lt;&gt;Excluded")&gt;0,"LEAK RISK","OK"))</f>
        <v/>
      </c>
      <c r="Z1988" s="30" t="n"/>
    </row>
    <row r="1989">
      <c r="A1989" s="30" t="n"/>
      <c r="B1989" s="30" t="n"/>
      <c r="C1989" s="30" t="n"/>
      <c r="D1989" s="30" t="n"/>
      <c r="E1989" s="30" t="n"/>
      <c r="F1989" s="30" t="n"/>
      <c r="G1989" s="30" t="n"/>
      <c r="H1989" s="30" t="n"/>
      <c r="I1989" s="31" t="n"/>
      <c r="J1989" s="30" t="n"/>
      <c r="K1989" s="30" t="n"/>
      <c r="L1989" s="30" t="n"/>
      <c r="M1989" s="30" t="n"/>
      <c r="N1989" s="32" t="n"/>
      <c r="O1989" s="30" t="n"/>
      <c r="P1989" s="32" t="n"/>
      <c r="Q1989" s="30" t="n"/>
      <c r="R1989" s="32" t="n"/>
      <c r="S1989" s="30" t="n"/>
      <c r="T1989" s="30" t="n"/>
      <c r="U1989" s="30" t="n"/>
      <c r="V1989" s="30" t="n"/>
      <c r="W1989" s="29">
        <f>IF(H1989="","",IF(H1989="Kenya","Yes","No"))</f>
        <v/>
      </c>
      <c r="X1989" s="29">
        <f>IF(B1989="","",IF(COUNTIF($B$5:$B$3004,B1989)&gt;1,"DUPLICATE","OK"))</f>
        <v/>
      </c>
      <c r="Y1989" s="29">
        <f>IF(OR(U1989="",V1989="",V1989="Excluded"),"",IF(COUNTIFS($U$5:$U$3004,U1989,$V$5:$V$3004,"&lt;&gt;"&amp;V1989,$V$5:$V$3004,"&lt;&gt;",$V$5:$V$3004,"&lt;&gt;Excluded")&gt;0,"LEAK RISK","OK"))</f>
        <v/>
      </c>
      <c r="Z1989" s="30" t="n"/>
    </row>
    <row r="1990">
      <c r="A1990" s="30" t="n"/>
      <c r="B1990" s="30" t="n"/>
      <c r="C1990" s="30" t="n"/>
      <c r="D1990" s="30" t="n"/>
      <c r="E1990" s="30" t="n"/>
      <c r="F1990" s="30" t="n"/>
      <c r="G1990" s="30" t="n"/>
      <c r="H1990" s="30" t="n"/>
      <c r="I1990" s="31" t="n"/>
      <c r="J1990" s="30" t="n"/>
      <c r="K1990" s="30" t="n"/>
      <c r="L1990" s="30" t="n"/>
      <c r="M1990" s="30" t="n"/>
      <c r="N1990" s="32" t="n"/>
      <c r="O1990" s="30" t="n"/>
      <c r="P1990" s="32" t="n"/>
      <c r="Q1990" s="30" t="n"/>
      <c r="R1990" s="32" t="n"/>
      <c r="S1990" s="30" t="n"/>
      <c r="T1990" s="30" t="n"/>
      <c r="U1990" s="30" t="n"/>
      <c r="V1990" s="30" t="n"/>
      <c r="W1990" s="29">
        <f>IF(H1990="","",IF(H1990="Kenya","Yes","No"))</f>
        <v/>
      </c>
      <c r="X1990" s="29">
        <f>IF(B1990="","",IF(COUNTIF($B$5:$B$3004,B1990)&gt;1,"DUPLICATE","OK"))</f>
        <v/>
      </c>
      <c r="Y1990" s="29">
        <f>IF(OR(U1990="",V1990="",V1990="Excluded"),"",IF(COUNTIFS($U$5:$U$3004,U1990,$V$5:$V$3004,"&lt;&gt;"&amp;V1990,$V$5:$V$3004,"&lt;&gt;",$V$5:$V$3004,"&lt;&gt;Excluded")&gt;0,"LEAK RISK","OK"))</f>
        <v/>
      </c>
      <c r="Z1990" s="30" t="n"/>
    </row>
    <row r="1991">
      <c r="A1991" s="30" t="n"/>
      <c r="B1991" s="30" t="n"/>
      <c r="C1991" s="30" t="n"/>
      <c r="D1991" s="30" t="n"/>
      <c r="E1991" s="30" t="n"/>
      <c r="F1991" s="30" t="n"/>
      <c r="G1991" s="30" t="n"/>
      <c r="H1991" s="30" t="n"/>
      <c r="I1991" s="31" t="n"/>
      <c r="J1991" s="30" t="n"/>
      <c r="K1991" s="30" t="n"/>
      <c r="L1991" s="30" t="n"/>
      <c r="M1991" s="30" t="n"/>
      <c r="N1991" s="32" t="n"/>
      <c r="O1991" s="30" t="n"/>
      <c r="P1991" s="32" t="n"/>
      <c r="Q1991" s="30" t="n"/>
      <c r="R1991" s="32" t="n"/>
      <c r="S1991" s="30" t="n"/>
      <c r="T1991" s="30" t="n"/>
      <c r="U1991" s="30" t="n"/>
      <c r="V1991" s="30" t="n"/>
      <c r="W1991" s="29">
        <f>IF(H1991="","",IF(H1991="Kenya","Yes","No"))</f>
        <v/>
      </c>
      <c r="X1991" s="29">
        <f>IF(B1991="","",IF(COUNTIF($B$5:$B$3004,B1991)&gt;1,"DUPLICATE","OK"))</f>
        <v/>
      </c>
      <c r="Y1991" s="29">
        <f>IF(OR(U1991="",V1991="",V1991="Excluded"),"",IF(COUNTIFS($U$5:$U$3004,U1991,$V$5:$V$3004,"&lt;&gt;"&amp;V1991,$V$5:$V$3004,"&lt;&gt;",$V$5:$V$3004,"&lt;&gt;Excluded")&gt;0,"LEAK RISK","OK"))</f>
        <v/>
      </c>
      <c r="Z1991" s="30" t="n"/>
    </row>
    <row r="1992">
      <c r="A1992" s="30" t="n"/>
      <c r="B1992" s="30" t="n"/>
      <c r="C1992" s="30" t="n"/>
      <c r="D1992" s="30" t="n"/>
      <c r="E1992" s="30" t="n"/>
      <c r="F1992" s="30" t="n"/>
      <c r="G1992" s="30" t="n"/>
      <c r="H1992" s="30" t="n"/>
      <c r="I1992" s="31" t="n"/>
      <c r="J1992" s="30" t="n"/>
      <c r="K1992" s="30" t="n"/>
      <c r="L1992" s="30" t="n"/>
      <c r="M1992" s="30" t="n"/>
      <c r="N1992" s="32" t="n"/>
      <c r="O1992" s="30" t="n"/>
      <c r="P1992" s="32" t="n"/>
      <c r="Q1992" s="30" t="n"/>
      <c r="R1992" s="32" t="n"/>
      <c r="S1992" s="30" t="n"/>
      <c r="T1992" s="30" t="n"/>
      <c r="U1992" s="30" t="n"/>
      <c r="V1992" s="30" t="n"/>
      <c r="W1992" s="29">
        <f>IF(H1992="","",IF(H1992="Kenya","Yes","No"))</f>
        <v/>
      </c>
      <c r="X1992" s="29">
        <f>IF(B1992="","",IF(COUNTIF($B$5:$B$3004,B1992)&gt;1,"DUPLICATE","OK"))</f>
        <v/>
      </c>
      <c r="Y1992" s="29">
        <f>IF(OR(U1992="",V1992="",V1992="Excluded"),"",IF(COUNTIFS($U$5:$U$3004,U1992,$V$5:$V$3004,"&lt;&gt;"&amp;V1992,$V$5:$V$3004,"&lt;&gt;",$V$5:$V$3004,"&lt;&gt;Excluded")&gt;0,"LEAK RISK","OK"))</f>
        <v/>
      </c>
      <c r="Z1992" s="30" t="n"/>
    </row>
    <row r="1993">
      <c r="A1993" s="30" t="n"/>
      <c r="B1993" s="30" t="n"/>
      <c r="C1993" s="30" t="n"/>
      <c r="D1993" s="30" t="n"/>
      <c r="E1993" s="30" t="n"/>
      <c r="F1993" s="30" t="n"/>
      <c r="G1993" s="30" t="n"/>
      <c r="H1993" s="30" t="n"/>
      <c r="I1993" s="31" t="n"/>
      <c r="J1993" s="30" t="n"/>
      <c r="K1993" s="30" t="n"/>
      <c r="L1993" s="30" t="n"/>
      <c r="M1993" s="30" t="n"/>
      <c r="N1993" s="32" t="n"/>
      <c r="O1993" s="30" t="n"/>
      <c r="P1993" s="32" t="n"/>
      <c r="Q1993" s="30" t="n"/>
      <c r="R1993" s="32" t="n"/>
      <c r="S1993" s="30" t="n"/>
      <c r="T1993" s="30" t="n"/>
      <c r="U1993" s="30" t="n"/>
      <c r="V1993" s="30" t="n"/>
      <c r="W1993" s="29">
        <f>IF(H1993="","",IF(H1993="Kenya","Yes","No"))</f>
        <v/>
      </c>
      <c r="X1993" s="29">
        <f>IF(B1993="","",IF(COUNTIF($B$5:$B$3004,B1993)&gt;1,"DUPLICATE","OK"))</f>
        <v/>
      </c>
      <c r="Y1993" s="29">
        <f>IF(OR(U1993="",V1993="",V1993="Excluded"),"",IF(COUNTIFS($U$5:$U$3004,U1993,$V$5:$V$3004,"&lt;&gt;"&amp;V1993,$V$5:$V$3004,"&lt;&gt;",$V$5:$V$3004,"&lt;&gt;Excluded")&gt;0,"LEAK RISK","OK"))</f>
        <v/>
      </c>
      <c r="Z1993" s="30" t="n"/>
    </row>
    <row r="1994">
      <c r="A1994" s="30" t="n"/>
      <c r="B1994" s="30" t="n"/>
      <c r="C1994" s="30" t="n"/>
      <c r="D1994" s="30" t="n"/>
      <c r="E1994" s="30" t="n"/>
      <c r="F1994" s="30" t="n"/>
      <c r="G1994" s="30" t="n"/>
      <c r="H1994" s="30" t="n"/>
      <c r="I1994" s="31" t="n"/>
      <c r="J1994" s="30" t="n"/>
      <c r="K1994" s="30" t="n"/>
      <c r="L1994" s="30" t="n"/>
      <c r="M1994" s="30" t="n"/>
      <c r="N1994" s="32" t="n"/>
      <c r="O1994" s="30" t="n"/>
      <c r="P1994" s="32" t="n"/>
      <c r="Q1994" s="30" t="n"/>
      <c r="R1994" s="32" t="n"/>
      <c r="S1994" s="30" t="n"/>
      <c r="T1994" s="30" t="n"/>
      <c r="U1994" s="30" t="n"/>
      <c r="V1994" s="30" t="n"/>
      <c r="W1994" s="29">
        <f>IF(H1994="","",IF(H1994="Kenya","Yes","No"))</f>
        <v/>
      </c>
      <c r="X1994" s="29">
        <f>IF(B1994="","",IF(COUNTIF($B$5:$B$3004,B1994)&gt;1,"DUPLICATE","OK"))</f>
        <v/>
      </c>
      <c r="Y1994" s="29">
        <f>IF(OR(U1994="",V1994="",V1994="Excluded"),"",IF(COUNTIFS($U$5:$U$3004,U1994,$V$5:$V$3004,"&lt;&gt;"&amp;V1994,$V$5:$V$3004,"&lt;&gt;",$V$5:$V$3004,"&lt;&gt;Excluded")&gt;0,"LEAK RISK","OK"))</f>
        <v/>
      </c>
      <c r="Z1994" s="30" t="n"/>
    </row>
    <row r="1995">
      <c r="A1995" s="30" t="n"/>
      <c r="B1995" s="30" t="n"/>
      <c r="C1995" s="30" t="n"/>
      <c r="D1995" s="30" t="n"/>
      <c r="E1995" s="30" t="n"/>
      <c r="F1995" s="30" t="n"/>
      <c r="G1995" s="30" t="n"/>
      <c r="H1995" s="30" t="n"/>
      <c r="I1995" s="31" t="n"/>
      <c r="J1995" s="30" t="n"/>
      <c r="K1995" s="30" t="n"/>
      <c r="L1995" s="30" t="n"/>
      <c r="M1995" s="30" t="n"/>
      <c r="N1995" s="32" t="n"/>
      <c r="O1995" s="30" t="n"/>
      <c r="P1995" s="32" t="n"/>
      <c r="Q1995" s="30" t="n"/>
      <c r="R1995" s="32" t="n"/>
      <c r="S1995" s="30" t="n"/>
      <c r="T1995" s="30" t="n"/>
      <c r="U1995" s="30" t="n"/>
      <c r="V1995" s="30" t="n"/>
      <c r="W1995" s="29">
        <f>IF(H1995="","",IF(H1995="Kenya","Yes","No"))</f>
        <v/>
      </c>
      <c r="X1995" s="29">
        <f>IF(B1995="","",IF(COUNTIF($B$5:$B$3004,B1995)&gt;1,"DUPLICATE","OK"))</f>
        <v/>
      </c>
      <c r="Y1995" s="29">
        <f>IF(OR(U1995="",V1995="",V1995="Excluded"),"",IF(COUNTIFS($U$5:$U$3004,U1995,$V$5:$V$3004,"&lt;&gt;"&amp;V1995,$V$5:$V$3004,"&lt;&gt;",$V$5:$V$3004,"&lt;&gt;Excluded")&gt;0,"LEAK RISK","OK"))</f>
        <v/>
      </c>
      <c r="Z1995" s="30" t="n"/>
    </row>
    <row r="1996">
      <c r="A1996" s="30" t="n"/>
      <c r="B1996" s="30" t="n"/>
      <c r="C1996" s="30" t="n"/>
      <c r="D1996" s="30" t="n"/>
      <c r="E1996" s="30" t="n"/>
      <c r="F1996" s="30" t="n"/>
      <c r="G1996" s="30" t="n"/>
      <c r="H1996" s="30" t="n"/>
      <c r="I1996" s="31" t="n"/>
      <c r="J1996" s="30" t="n"/>
      <c r="K1996" s="30" t="n"/>
      <c r="L1996" s="30" t="n"/>
      <c r="M1996" s="30" t="n"/>
      <c r="N1996" s="32" t="n"/>
      <c r="O1996" s="30" t="n"/>
      <c r="P1996" s="32" t="n"/>
      <c r="Q1996" s="30" t="n"/>
      <c r="R1996" s="32" t="n"/>
      <c r="S1996" s="30" t="n"/>
      <c r="T1996" s="30" t="n"/>
      <c r="U1996" s="30" t="n"/>
      <c r="V1996" s="30" t="n"/>
      <c r="W1996" s="29">
        <f>IF(H1996="","",IF(H1996="Kenya","Yes","No"))</f>
        <v/>
      </c>
      <c r="X1996" s="29">
        <f>IF(B1996="","",IF(COUNTIF($B$5:$B$3004,B1996)&gt;1,"DUPLICATE","OK"))</f>
        <v/>
      </c>
      <c r="Y1996" s="29">
        <f>IF(OR(U1996="",V1996="",V1996="Excluded"),"",IF(COUNTIFS($U$5:$U$3004,U1996,$V$5:$V$3004,"&lt;&gt;"&amp;V1996,$V$5:$V$3004,"&lt;&gt;",$V$5:$V$3004,"&lt;&gt;Excluded")&gt;0,"LEAK RISK","OK"))</f>
        <v/>
      </c>
      <c r="Z1996" s="30" t="n"/>
    </row>
    <row r="1997">
      <c r="A1997" s="30" t="n"/>
      <c r="B1997" s="30" t="n"/>
      <c r="C1997" s="30" t="n"/>
      <c r="D1997" s="30" t="n"/>
      <c r="E1997" s="30" t="n"/>
      <c r="F1997" s="30" t="n"/>
      <c r="G1997" s="30" t="n"/>
      <c r="H1997" s="30" t="n"/>
      <c r="I1997" s="31" t="n"/>
      <c r="J1997" s="30" t="n"/>
      <c r="K1997" s="30" t="n"/>
      <c r="L1997" s="30" t="n"/>
      <c r="M1997" s="30" t="n"/>
      <c r="N1997" s="32" t="n"/>
      <c r="O1997" s="30" t="n"/>
      <c r="P1997" s="32" t="n"/>
      <c r="Q1997" s="30" t="n"/>
      <c r="R1997" s="32" t="n"/>
      <c r="S1997" s="30" t="n"/>
      <c r="T1997" s="30" t="n"/>
      <c r="U1997" s="30" t="n"/>
      <c r="V1997" s="30" t="n"/>
      <c r="W1997" s="29">
        <f>IF(H1997="","",IF(H1997="Kenya","Yes","No"))</f>
        <v/>
      </c>
      <c r="X1997" s="29">
        <f>IF(B1997="","",IF(COUNTIF($B$5:$B$3004,B1997)&gt;1,"DUPLICATE","OK"))</f>
        <v/>
      </c>
      <c r="Y1997" s="29">
        <f>IF(OR(U1997="",V1997="",V1997="Excluded"),"",IF(COUNTIFS($U$5:$U$3004,U1997,$V$5:$V$3004,"&lt;&gt;"&amp;V1997,$V$5:$V$3004,"&lt;&gt;",$V$5:$V$3004,"&lt;&gt;Excluded")&gt;0,"LEAK RISK","OK"))</f>
        <v/>
      </c>
      <c r="Z1997" s="30" t="n"/>
    </row>
    <row r="1998">
      <c r="A1998" s="30" t="n"/>
      <c r="B1998" s="30" t="n"/>
      <c r="C1998" s="30" t="n"/>
      <c r="D1998" s="30" t="n"/>
      <c r="E1998" s="30" t="n"/>
      <c r="F1998" s="30" t="n"/>
      <c r="G1998" s="30" t="n"/>
      <c r="H1998" s="30" t="n"/>
      <c r="I1998" s="31" t="n"/>
      <c r="J1998" s="30" t="n"/>
      <c r="K1998" s="30" t="n"/>
      <c r="L1998" s="30" t="n"/>
      <c r="M1998" s="30" t="n"/>
      <c r="N1998" s="32" t="n"/>
      <c r="O1998" s="30" t="n"/>
      <c r="P1998" s="32" t="n"/>
      <c r="Q1998" s="30" t="n"/>
      <c r="R1998" s="32" t="n"/>
      <c r="S1998" s="30" t="n"/>
      <c r="T1998" s="30" t="n"/>
      <c r="U1998" s="30" t="n"/>
      <c r="V1998" s="30" t="n"/>
      <c r="W1998" s="29">
        <f>IF(H1998="","",IF(H1998="Kenya","Yes","No"))</f>
        <v/>
      </c>
      <c r="X1998" s="29">
        <f>IF(B1998="","",IF(COUNTIF($B$5:$B$3004,B1998)&gt;1,"DUPLICATE","OK"))</f>
        <v/>
      </c>
      <c r="Y1998" s="29">
        <f>IF(OR(U1998="",V1998="",V1998="Excluded"),"",IF(COUNTIFS($U$5:$U$3004,U1998,$V$5:$V$3004,"&lt;&gt;"&amp;V1998,$V$5:$V$3004,"&lt;&gt;",$V$5:$V$3004,"&lt;&gt;Excluded")&gt;0,"LEAK RISK","OK"))</f>
        <v/>
      </c>
      <c r="Z1998" s="30" t="n"/>
    </row>
    <row r="1999">
      <c r="A1999" s="30" t="n"/>
      <c r="B1999" s="30" t="n"/>
      <c r="C1999" s="30" t="n"/>
      <c r="D1999" s="30" t="n"/>
      <c r="E1999" s="30" t="n"/>
      <c r="F1999" s="30" t="n"/>
      <c r="G1999" s="30" t="n"/>
      <c r="H1999" s="30" t="n"/>
      <c r="I1999" s="31" t="n"/>
      <c r="J1999" s="30" t="n"/>
      <c r="K1999" s="30" t="n"/>
      <c r="L1999" s="30" t="n"/>
      <c r="M1999" s="30" t="n"/>
      <c r="N1999" s="32" t="n"/>
      <c r="O1999" s="30" t="n"/>
      <c r="P1999" s="32" t="n"/>
      <c r="Q1999" s="30" t="n"/>
      <c r="R1999" s="32" t="n"/>
      <c r="S1999" s="30" t="n"/>
      <c r="T1999" s="30" t="n"/>
      <c r="U1999" s="30" t="n"/>
      <c r="V1999" s="30" t="n"/>
      <c r="W1999" s="29">
        <f>IF(H1999="","",IF(H1999="Kenya","Yes","No"))</f>
        <v/>
      </c>
      <c r="X1999" s="29">
        <f>IF(B1999="","",IF(COUNTIF($B$5:$B$3004,B1999)&gt;1,"DUPLICATE","OK"))</f>
        <v/>
      </c>
      <c r="Y1999" s="29">
        <f>IF(OR(U1999="",V1999="",V1999="Excluded"),"",IF(COUNTIFS($U$5:$U$3004,U1999,$V$5:$V$3004,"&lt;&gt;"&amp;V1999,$V$5:$V$3004,"&lt;&gt;",$V$5:$V$3004,"&lt;&gt;Excluded")&gt;0,"LEAK RISK","OK"))</f>
        <v/>
      </c>
      <c r="Z1999" s="30" t="n"/>
    </row>
    <row r="2000">
      <c r="A2000" s="30" t="n"/>
      <c r="B2000" s="30" t="n"/>
      <c r="C2000" s="30" t="n"/>
      <c r="D2000" s="30" t="n"/>
      <c r="E2000" s="30" t="n"/>
      <c r="F2000" s="30" t="n"/>
      <c r="G2000" s="30" t="n"/>
      <c r="H2000" s="30" t="n"/>
      <c r="I2000" s="31" t="n"/>
      <c r="J2000" s="30" t="n"/>
      <c r="K2000" s="30" t="n"/>
      <c r="L2000" s="30" t="n"/>
      <c r="M2000" s="30" t="n"/>
      <c r="N2000" s="32" t="n"/>
      <c r="O2000" s="30" t="n"/>
      <c r="P2000" s="32" t="n"/>
      <c r="Q2000" s="30" t="n"/>
      <c r="R2000" s="32" t="n"/>
      <c r="S2000" s="30" t="n"/>
      <c r="T2000" s="30" t="n"/>
      <c r="U2000" s="30" t="n"/>
      <c r="V2000" s="30" t="n"/>
      <c r="W2000" s="29">
        <f>IF(H2000="","",IF(H2000="Kenya","Yes","No"))</f>
        <v/>
      </c>
      <c r="X2000" s="29">
        <f>IF(B2000="","",IF(COUNTIF($B$5:$B$3004,B2000)&gt;1,"DUPLICATE","OK"))</f>
        <v/>
      </c>
      <c r="Y2000" s="29">
        <f>IF(OR(U2000="",V2000="",V2000="Excluded"),"",IF(COUNTIFS($U$5:$U$3004,U2000,$V$5:$V$3004,"&lt;&gt;"&amp;V2000,$V$5:$V$3004,"&lt;&gt;",$V$5:$V$3004,"&lt;&gt;Excluded")&gt;0,"LEAK RISK","OK"))</f>
        <v/>
      </c>
      <c r="Z2000" s="30" t="n"/>
    </row>
    <row r="2001">
      <c r="A2001" s="30" t="n"/>
      <c r="B2001" s="30" t="n"/>
      <c r="C2001" s="30" t="n"/>
      <c r="D2001" s="30" t="n"/>
      <c r="E2001" s="30" t="n"/>
      <c r="F2001" s="30" t="n"/>
      <c r="G2001" s="30" t="n"/>
      <c r="H2001" s="30" t="n"/>
      <c r="I2001" s="31" t="n"/>
      <c r="J2001" s="30" t="n"/>
      <c r="K2001" s="30" t="n"/>
      <c r="L2001" s="30" t="n"/>
      <c r="M2001" s="30" t="n"/>
      <c r="N2001" s="32" t="n"/>
      <c r="O2001" s="30" t="n"/>
      <c r="P2001" s="32" t="n"/>
      <c r="Q2001" s="30" t="n"/>
      <c r="R2001" s="32" t="n"/>
      <c r="S2001" s="30" t="n"/>
      <c r="T2001" s="30" t="n"/>
      <c r="U2001" s="30" t="n"/>
      <c r="V2001" s="30" t="n"/>
      <c r="W2001" s="29">
        <f>IF(H2001="","",IF(H2001="Kenya","Yes","No"))</f>
        <v/>
      </c>
      <c r="X2001" s="29">
        <f>IF(B2001="","",IF(COUNTIF($B$5:$B$3004,B2001)&gt;1,"DUPLICATE","OK"))</f>
        <v/>
      </c>
      <c r="Y2001" s="29">
        <f>IF(OR(U2001="",V2001="",V2001="Excluded"),"",IF(COUNTIFS($U$5:$U$3004,U2001,$V$5:$V$3004,"&lt;&gt;"&amp;V2001,$V$5:$V$3004,"&lt;&gt;",$V$5:$V$3004,"&lt;&gt;Excluded")&gt;0,"LEAK RISK","OK"))</f>
        <v/>
      </c>
      <c r="Z2001" s="30" t="n"/>
    </row>
    <row r="2002">
      <c r="A2002" s="30" t="n"/>
      <c r="B2002" s="30" t="n"/>
      <c r="C2002" s="30" t="n"/>
      <c r="D2002" s="30" t="n"/>
      <c r="E2002" s="30" t="n"/>
      <c r="F2002" s="30" t="n"/>
      <c r="G2002" s="30" t="n"/>
      <c r="H2002" s="30" t="n"/>
      <c r="I2002" s="31" t="n"/>
      <c r="J2002" s="30" t="n"/>
      <c r="K2002" s="30" t="n"/>
      <c r="L2002" s="30" t="n"/>
      <c r="M2002" s="30" t="n"/>
      <c r="N2002" s="32" t="n"/>
      <c r="O2002" s="30" t="n"/>
      <c r="P2002" s="32" t="n"/>
      <c r="Q2002" s="30" t="n"/>
      <c r="R2002" s="32" t="n"/>
      <c r="S2002" s="30" t="n"/>
      <c r="T2002" s="30" t="n"/>
      <c r="U2002" s="30" t="n"/>
      <c r="V2002" s="30" t="n"/>
      <c r="W2002" s="29">
        <f>IF(H2002="","",IF(H2002="Kenya","Yes","No"))</f>
        <v/>
      </c>
      <c r="X2002" s="29">
        <f>IF(B2002="","",IF(COUNTIF($B$5:$B$3004,B2002)&gt;1,"DUPLICATE","OK"))</f>
        <v/>
      </c>
      <c r="Y2002" s="29">
        <f>IF(OR(U2002="",V2002="",V2002="Excluded"),"",IF(COUNTIFS($U$5:$U$3004,U2002,$V$5:$V$3004,"&lt;&gt;"&amp;V2002,$V$5:$V$3004,"&lt;&gt;",$V$5:$V$3004,"&lt;&gt;Excluded")&gt;0,"LEAK RISK","OK"))</f>
        <v/>
      </c>
      <c r="Z2002" s="30" t="n"/>
    </row>
    <row r="2003">
      <c r="A2003" s="30" t="n"/>
      <c r="B2003" s="30" t="n"/>
      <c r="C2003" s="30" t="n"/>
      <c r="D2003" s="30" t="n"/>
      <c r="E2003" s="30" t="n"/>
      <c r="F2003" s="30" t="n"/>
      <c r="G2003" s="30" t="n"/>
      <c r="H2003" s="30" t="n"/>
      <c r="I2003" s="31" t="n"/>
      <c r="J2003" s="30" t="n"/>
      <c r="K2003" s="30" t="n"/>
      <c r="L2003" s="30" t="n"/>
      <c r="M2003" s="30" t="n"/>
      <c r="N2003" s="32" t="n"/>
      <c r="O2003" s="30" t="n"/>
      <c r="P2003" s="32" t="n"/>
      <c r="Q2003" s="30" t="n"/>
      <c r="R2003" s="32" t="n"/>
      <c r="S2003" s="30" t="n"/>
      <c r="T2003" s="30" t="n"/>
      <c r="U2003" s="30" t="n"/>
      <c r="V2003" s="30" t="n"/>
      <c r="W2003" s="29">
        <f>IF(H2003="","",IF(H2003="Kenya","Yes","No"))</f>
        <v/>
      </c>
      <c r="X2003" s="29">
        <f>IF(B2003="","",IF(COUNTIF($B$5:$B$3004,B2003)&gt;1,"DUPLICATE","OK"))</f>
        <v/>
      </c>
      <c r="Y2003" s="29">
        <f>IF(OR(U2003="",V2003="",V2003="Excluded"),"",IF(COUNTIFS($U$5:$U$3004,U2003,$V$5:$V$3004,"&lt;&gt;"&amp;V2003,$V$5:$V$3004,"&lt;&gt;",$V$5:$V$3004,"&lt;&gt;Excluded")&gt;0,"LEAK RISK","OK"))</f>
        <v/>
      </c>
      <c r="Z2003" s="30" t="n"/>
    </row>
    <row r="2004">
      <c r="A2004" s="30" t="n"/>
      <c r="B2004" s="30" t="n"/>
      <c r="C2004" s="30" t="n"/>
      <c r="D2004" s="30" t="n"/>
      <c r="E2004" s="30" t="n"/>
      <c r="F2004" s="30" t="n"/>
      <c r="G2004" s="30" t="n"/>
      <c r="H2004" s="30" t="n"/>
      <c r="I2004" s="31" t="n"/>
      <c r="J2004" s="30" t="n"/>
      <c r="K2004" s="30" t="n"/>
      <c r="L2004" s="30" t="n"/>
      <c r="M2004" s="30" t="n"/>
      <c r="N2004" s="32" t="n"/>
      <c r="O2004" s="30" t="n"/>
      <c r="P2004" s="32" t="n"/>
      <c r="Q2004" s="30" t="n"/>
      <c r="R2004" s="32" t="n"/>
      <c r="S2004" s="30" t="n"/>
      <c r="T2004" s="30" t="n"/>
      <c r="U2004" s="30" t="n"/>
      <c r="V2004" s="30" t="n"/>
      <c r="W2004" s="29">
        <f>IF(H2004="","",IF(H2004="Kenya","Yes","No"))</f>
        <v/>
      </c>
      <c r="X2004" s="29">
        <f>IF(B2004="","",IF(COUNTIF($B$5:$B$3004,B2004)&gt;1,"DUPLICATE","OK"))</f>
        <v/>
      </c>
      <c r="Y2004" s="29">
        <f>IF(OR(U2004="",V2004="",V2004="Excluded"),"",IF(COUNTIFS($U$5:$U$3004,U2004,$V$5:$V$3004,"&lt;&gt;"&amp;V2004,$V$5:$V$3004,"&lt;&gt;",$V$5:$V$3004,"&lt;&gt;Excluded")&gt;0,"LEAK RISK","OK"))</f>
        <v/>
      </c>
      <c r="Z2004" s="30" t="n"/>
    </row>
    <row r="2005">
      <c r="A2005" s="30" t="n"/>
      <c r="B2005" s="30" t="n"/>
      <c r="C2005" s="30" t="n"/>
      <c r="D2005" s="30" t="n"/>
      <c r="E2005" s="30" t="n"/>
      <c r="F2005" s="30" t="n"/>
      <c r="G2005" s="30" t="n"/>
      <c r="H2005" s="30" t="n"/>
      <c r="I2005" s="31" t="n"/>
      <c r="J2005" s="30" t="n"/>
      <c r="K2005" s="30" t="n"/>
      <c r="L2005" s="30" t="n"/>
      <c r="M2005" s="30" t="n"/>
      <c r="N2005" s="32" t="n"/>
      <c r="O2005" s="30" t="n"/>
      <c r="P2005" s="32" t="n"/>
      <c r="Q2005" s="30" t="n"/>
      <c r="R2005" s="32" t="n"/>
      <c r="S2005" s="30" t="n"/>
      <c r="T2005" s="30" t="n"/>
      <c r="U2005" s="30" t="n"/>
      <c r="V2005" s="30" t="n"/>
      <c r="W2005" s="29">
        <f>IF(H2005="","",IF(H2005="Kenya","Yes","No"))</f>
        <v/>
      </c>
      <c r="X2005" s="29">
        <f>IF(B2005="","",IF(COUNTIF($B$5:$B$3004,B2005)&gt;1,"DUPLICATE","OK"))</f>
        <v/>
      </c>
      <c r="Y2005" s="29">
        <f>IF(OR(U2005="",V2005="",V2005="Excluded"),"",IF(COUNTIFS($U$5:$U$3004,U2005,$V$5:$V$3004,"&lt;&gt;"&amp;V2005,$V$5:$V$3004,"&lt;&gt;",$V$5:$V$3004,"&lt;&gt;Excluded")&gt;0,"LEAK RISK","OK"))</f>
        <v/>
      </c>
      <c r="Z2005" s="30" t="n"/>
    </row>
    <row r="2006">
      <c r="A2006" s="30" t="n"/>
      <c r="B2006" s="30" t="n"/>
      <c r="C2006" s="30" t="n"/>
      <c r="D2006" s="30" t="n"/>
      <c r="E2006" s="30" t="n"/>
      <c r="F2006" s="30" t="n"/>
      <c r="G2006" s="30" t="n"/>
      <c r="H2006" s="30" t="n"/>
      <c r="I2006" s="31" t="n"/>
      <c r="J2006" s="30" t="n"/>
      <c r="K2006" s="30" t="n"/>
      <c r="L2006" s="30" t="n"/>
      <c r="M2006" s="30" t="n"/>
      <c r="N2006" s="32" t="n"/>
      <c r="O2006" s="30" t="n"/>
      <c r="P2006" s="32" t="n"/>
      <c r="Q2006" s="30" t="n"/>
      <c r="R2006" s="32" t="n"/>
      <c r="S2006" s="30" t="n"/>
      <c r="T2006" s="30" t="n"/>
      <c r="U2006" s="30" t="n"/>
      <c r="V2006" s="30" t="n"/>
      <c r="W2006" s="29">
        <f>IF(H2006="","",IF(H2006="Kenya","Yes","No"))</f>
        <v/>
      </c>
      <c r="X2006" s="29">
        <f>IF(B2006="","",IF(COUNTIF($B$5:$B$3004,B2006)&gt;1,"DUPLICATE","OK"))</f>
        <v/>
      </c>
      <c r="Y2006" s="29">
        <f>IF(OR(U2006="",V2006="",V2006="Excluded"),"",IF(COUNTIFS($U$5:$U$3004,U2006,$V$5:$V$3004,"&lt;&gt;"&amp;V2006,$V$5:$V$3004,"&lt;&gt;",$V$5:$V$3004,"&lt;&gt;Excluded")&gt;0,"LEAK RISK","OK"))</f>
        <v/>
      </c>
      <c r="Z2006" s="30" t="n"/>
    </row>
    <row r="2007">
      <c r="A2007" s="30" t="n"/>
      <c r="B2007" s="30" t="n"/>
      <c r="C2007" s="30" t="n"/>
      <c r="D2007" s="30" t="n"/>
      <c r="E2007" s="30" t="n"/>
      <c r="F2007" s="30" t="n"/>
      <c r="G2007" s="30" t="n"/>
      <c r="H2007" s="30" t="n"/>
      <c r="I2007" s="31" t="n"/>
      <c r="J2007" s="30" t="n"/>
      <c r="K2007" s="30" t="n"/>
      <c r="L2007" s="30" t="n"/>
      <c r="M2007" s="30" t="n"/>
      <c r="N2007" s="32" t="n"/>
      <c r="O2007" s="30" t="n"/>
      <c r="P2007" s="32" t="n"/>
      <c r="Q2007" s="30" t="n"/>
      <c r="R2007" s="32" t="n"/>
      <c r="S2007" s="30" t="n"/>
      <c r="T2007" s="30" t="n"/>
      <c r="U2007" s="30" t="n"/>
      <c r="V2007" s="30" t="n"/>
      <c r="W2007" s="29">
        <f>IF(H2007="","",IF(H2007="Kenya","Yes","No"))</f>
        <v/>
      </c>
      <c r="X2007" s="29">
        <f>IF(B2007="","",IF(COUNTIF($B$5:$B$3004,B2007)&gt;1,"DUPLICATE","OK"))</f>
        <v/>
      </c>
      <c r="Y2007" s="29">
        <f>IF(OR(U2007="",V2007="",V2007="Excluded"),"",IF(COUNTIFS($U$5:$U$3004,U2007,$V$5:$V$3004,"&lt;&gt;"&amp;V2007,$V$5:$V$3004,"&lt;&gt;",$V$5:$V$3004,"&lt;&gt;Excluded")&gt;0,"LEAK RISK","OK"))</f>
        <v/>
      </c>
      <c r="Z2007" s="30" t="n"/>
    </row>
    <row r="2008">
      <c r="A2008" s="30" t="n"/>
      <c r="B2008" s="30" t="n"/>
      <c r="C2008" s="30" t="n"/>
      <c r="D2008" s="30" t="n"/>
      <c r="E2008" s="30" t="n"/>
      <c r="F2008" s="30" t="n"/>
      <c r="G2008" s="30" t="n"/>
      <c r="H2008" s="30" t="n"/>
      <c r="I2008" s="31" t="n"/>
      <c r="J2008" s="30" t="n"/>
      <c r="K2008" s="30" t="n"/>
      <c r="L2008" s="30" t="n"/>
      <c r="M2008" s="30" t="n"/>
      <c r="N2008" s="32" t="n"/>
      <c r="O2008" s="30" t="n"/>
      <c r="P2008" s="32" t="n"/>
      <c r="Q2008" s="30" t="n"/>
      <c r="R2008" s="32" t="n"/>
      <c r="S2008" s="30" t="n"/>
      <c r="T2008" s="30" t="n"/>
      <c r="U2008" s="30" t="n"/>
      <c r="V2008" s="30" t="n"/>
      <c r="W2008" s="29">
        <f>IF(H2008="","",IF(H2008="Kenya","Yes","No"))</f>
        <v/>
      </c>
      <c r="X2008" s="29">
        <f>IF(B2008="","",IF(COUNTIF($B$5:$B$3004,B2008)&gt;1,"DUPLICATE","OK"))</f>
        <v/>
      </c>
      <c r="Y2008" s="29">
        <f>IF(OR(U2008="",V2008="",V2008="Excluded"),"",IF(COUNTIFS($U$5:$U$3004,U2008,$V$5:$V$3004,"&lt;&gt;"&amp;V2008,$V$5:$V$3004,"&lt;&gt;",$V$5:$V$3004,"&lt;&gt;Excluded")&gt;0,"LEAK RISK","OK"))</f>
        <v/>
      </c>
      <c r="Z2008" s="30" t="n"/>
    </row>
    <row r="2009">
      <c r="A2009" s="30" t="n"/>
      <c r="B2009" s="30" t="n"/>
      <c r="C2009" s="30" t="n"/>
      <c r="D2009" s="30" t="n"/>
      <c r="E2009" s="30" t="n"/>
      <c r="F2009" s="30" t="n"/>
      <c r="G2009" s="30" t="n"/>
      <c r="H2009" s="30" t="n"/>
      <c r="I2009" s="31" t="n"/>
      <c r="J2009" s="30" t="n"/>
      <c r="K2009" s="30" t="n"/>
      <c r="L2009" s="30" t="n"/>
      <c r="M2009" s="30" t="n"/>
      <c r="N2009" s="32" t="n"/>
      <c r="O2009" s="30" t="n"/>
      <c r="P2009" s="32" t="n"/>
      <c r="Q2009" s="30" t="n"/>
      <c r="R2009" s="32" t="n"/>
      <c r="S2009" s="30" t="n"/>
      <c r="T2009" s="30" t="n"/>
      <c r="U2009" s="30" t="n"/>
      <c r="V2009" s="30" t="n"/>
      <c r="W2009" s="29">
        <f>IF(H2009="","",IF(H2009="Kenya","Yes","No"))</f>
        <v/>
      </c>
      <c r="X2009" s="29">
        <f>IF(B2009="","",IF(COUNTIF($B$5:$B$3004,B2009)&gt;1,"DUPLICATE","OK"))</f>
        <v/>
      </c>
      <c r="Y2009" s="29">
        <f>IF(OR(U2009="",V2009="",V2009="Excluded"),"",IF(COUNTIFS($U$5:$U$3004,U2009,$V$5:$V$3004,"&lt;&gt;"&amp;V2009,$V$5:$V$3004,"&lt;&gt;",$V$5:$V$3004,"&lt;&gt;Excluded")&gt;0,"LEAK RISK","OK"))</f>
        <v/>
      </c>
      <c r="Z2009" s="30" t="n"/>
    </row>
    <row r="2010">
      <c r="A2010" s="30" t="n"/>
      <c r="B2010" s="30" t="n"/>
      <c r="C2010" s="30" t="n"/>
      <c r="D2010" s="30" t="n"/>
      <c r="E2010" s="30" t="n"/>
      <c r="F2010" s="30" t="n"/>
      <c r="G2010" s="30" t="n"/>
      <c r="H2010" s="30" t="n"/>
      <c r="I2010" s="31" t="n"/>
      <c r="J2010" s="30" t="n"/>
      <c r="K2010" s="30" t="n"/>
      <c r="L2010" s="30" t="n"/>
      <c r="M2010" s="30" t="n"/>
      <c r="N2010" s="32" t="n"/>
      <c r="O2010" s="30" t="n"/>
      <c r="P2010" s="32" t="n"/>
      <c r="Q2010" s="30" t="n"/>
      <c r="R2010" s="32" t="n"/>
      <c r="S2010" s="30" t="n"/>
      <c r="T2010" s="30" t="n"/>
      <c r="U2010" s="30" t="n"/>
      <c r="V2010" s="30" t="n"/>
      <c r="W2010" s="29">
        <f>IF(H2010="","",IF(H2010="Kenya","Yes","No"))</f>
        <v/>
      </c>
      <c r="X2010" s="29">
        <f>IF(B2010="","",IF(COUNTIF($B$5:$B$3004,B2010)&gt;1,"DUPLICATE","OK"))</f>
        <v/>
      </c>
      <c r="Y2010" s="29">
        <f>IF(OR(U2010="",V2010="",V2010="Excluded"),"",IF(COUNTIFS($U$5:$U$3004,U2010,$V$5:$V$3004,"&lt;&gt;"&amp;V2010,$V$5:$V$3004,"&lt;&gt;",$V$5:$V$3004,"&lt;&gt;Excluded")&gt;0,"LEAK RISK","OK"))</f>
        <v/>
      </c>
      <c r="Z2010" s="30" t="n"/>
    </row>
    <row r="2011">
      <c r="A2011" s="30" t="n"/>
      <c r="B2011" s="30" t="n"/>
      <c r="C2011" s="30" t="n"/>
      <c r="D2011" s="30" t="n"/>
      <c r="E2011" s="30" t="n"/>
      <c r="F2011" s="30" t="n"/>
      <c r="G2011" s="30" t="n"/>
      <c r="H2011" s="30" t="n"/>
      <c r="I2011" s="31" t="n"/>
      <c r="J2011" s="30" t="n"/>
      <c r="K2011" s="30" t="n"/>
      <c r="L2011" s="30" t="n"/>
      <c r="M2011" s="30" t="n"/>
      <c r="N2011" s="32" t="n"/>
      <c r="O2011" s="30" t="n"/>
      <c r="P2011" s="32" t="n"/>
      <c r="Q2011" s="30" t="n"/>
      <c r="R2011" s="32" t="n"/>
      <c r="S2011" s="30" t="n"/>
      <c r="T2011" s="30" t="n"/>
      <c r="U2011" s="30" t="n"/>
      <c r="V2011" s="30" t="n"/>
      <c r="W2011" s="29">
        <f>IF(H2011="","",IF(H2011="Kenya","Yes","No"))</f>
        <v/>
      </c>
      <c r="X2011" s="29">
        <f>IF(B2011="","",IF(COUNTIF($B$5:$B$3004,B2011)&gt;1,"DUPLICATE","OK"))</f>
        <v/>
      </c>
      <c r="Y2011" s="29">
        <f>IF(OR(U2011="",V2011="",V2011="Excluded"),"",IF(COUNTIFS($U$5:$U$3004,U2011,$V$5:$V$3004,"&lt;&gt;"&amp;V2011,$V$5:$V$3004,"&lt;&gt;",$V$5:$V$3004,"&lt;&gt;Excluded")&gt;0,"LEAK RISK","OK"))</f>
        <v/>
      </c>
      <c r="Z2011" s="30" t="n"/>
    </row>
    <row r="2012">
      <c r="A2012" s="30" t="n"/>
      <c r="B2012" s="30" t="n"/>
      <c r="C2012" s="30" t="n"/>
      <c r="D2012" s="30" t="n"/>
      <c r="E2012" s="30" t="n"/>
      <c r="F2012" s="30" t="n"/>
      <c r="G2012" s="30" t="n"/>
      <c r="H2012" s="30" t="n"/>
      <c r="I2012" s="31" t="n"/>
      <c r="J2012" s="30" t="n"/>
      <c r="K2012" s="30" t="n"/>
      <c r="L2012" s="30" t="n"/>
      <c r="M2012" s="30" t="n"/>
      <c r="N2012" s="32" t="n"/>
      <c r="O2012" s="30" t="n"/>
      <c r="P2012" s="32" t="n"/>
      <c r="Q2012" s="30" t="n"/>
      <c r="R2012" s="32" t="n"/>
      <c r="S2012" s="30" t="n"/>
      <c r="T2012" s="30" t="n"/>
      <c r="U2012" s="30" t="n"/>
      <c r="V2012" s="30" t="n"/>
      <c r="W2012" s="29">
        <f>IF(H2012="","",IF(H2012="Kenya","Yes","No"))</f>
        <v/>
      </c>
      <c r="X2012" s="29">
        <f>IF(B2012="","",IF(COUNTIF($B$5:$B$3004,B2012)&gt;1,"DUPLICATE","OK"))</f>
        <v/>
      </c>
      <c r="Y2012" s="29">
        <f>IF(OR(U2012="",V2012="",V2012="Excluded"),"",IF(COUNTIFS($U$5:$U$3004,U2012,$V$5:$V$3004,"&lt;&gt;"&amp;V2012,$V$5:$V$3004,"&lt;&gt;",$V$5:$V$3004,"&lt;&gt;Excluded")&gt;0,"LEAK RISK","OK"))</f>
        <v/>
      </c>
      <c r="Z2012" s="30" t="n"/>
    </row>
    <row r="2013">
      <c r="A2013" s="30" t="n"/>
      <c r="B2013" s="30" t="n"/>
      <c r="C2013" s="30" t="n"/>
      <c r="D2013" s="30" t="n"/>
      <c r="E2013" s="30" t="n"/>
      <c r="F2013" s="30" t="n"/>
      <c r="G2013" s="30" t="n"/>
      <c r="H2013" s="30" t="n"/>
      <c r="I2013" s="31" t="n"/>
      <c r="J2013" s="30" t="n"/>
      <c r="K2013" s="30" t="n"/>
      <c r="L2013" s="30" t="n"/>
      <c r="M2013" s="30" t="n"/>
      <c r="N2013" s="32" t="n"/>
      <c r="O2013" s="30" t="n"/>
      <c r="P2013" s="32" t="n"/>
      <c r="Q2013" s="30" t="n"/>
      <c r="R2013" s="32" t="n"/>
      <c r="S2013" s="30" t="n"/>
      <c r="T2013" s="30" t="n"/>
      <c r="U2013" s="30" t="n"/>
      <c r="V2013" s="30" t="n"/>
      <c r="W2013" s="29">
        <f>IF(H2013="","",IF(H2013="Kenya","Yes","No"))</f>
        <v/>
      </c>
      <c r="X2013" s="29">
        <f>IF(B2013="","",IF(COUNTIF($B$5:$B$3004,B2013)&gt;1,"DUPLICATE","OK"))</f>
        <v/>
      </c>
      <c r="Y2013" s="29">
        <f>IF(OR(U2013="",V2013="",V2013="Excluded"),"",IF(COUNTIFS($U$5:$U$3004,U2013,$V$5:$V$3004,"&lt;&gt;"&amp;V2013,$V$5:$V$3004,"&lt;&gt;",$V$5:$V$3004,"&lt;&gt;Excluded")&gt;0,"LEAK RISK","OK"))</f>
        <v/>
      </c>
      <c r="Z2013" s="30" t="n"/>
    </row>
    <row r="2014">
      <c r="A2014" s="30" t="n"/>
      <c r="B2014" s="30" t="n"/>
      <c r="C2014" s="30" t="n"/>
      <c r="D2014" s="30" t="n"/>
      <c r="E2014" s="30" t="n"/>
      <c r="F2014" s="30" t="n"/>
      <c r="G2014" s="30" t="n"/>
      <c r="H2014" s="30" t="n"/>
      <c r="I2014" s="31" t="n"/>
      <c r="J2014" s="30" t="n"/>
      <c r="K2014" s="30" t="n"/>
      <c r="L2014" s="30" t="n"/>
      <c r="M2014" s="30" t="n"/>
      <c r="N2014" s="32" t="n"/>
      <c r="O2014" s="30" t="n"/>
      <c r="P2014" s="32" t="n"/>
      <c r="Q2014" s="30" t="n"/>
      <c r="R2014" s="32" t="n"/>
      <c r="S2014" s="30" t="n"/>
      <c r="T2014" s="30" t="n"/>
      <c r="U2014" s="30" t="n"/>
      <c r="V2014" s="30" t="n"/>
      <c r="W2014" s="29">
        <f>IF(H2014="","",IF(H2014="Kenya","Yes","No"))</f>
        <v/>
      </c>
      <c r="X2014" s="29">
        <f>IF(B2014="","",IF(COUNTIF($B$5:$B$3004,B2014)&gt;1,"DUPLICATE","OK"))</f>
        <v/>
      </c>
      <c r="Y2014" s="29">
        <f>IF(OR(U2014="",V2014="",V2014="Excluded"),"",IF(COUNTIFS($U$5:$U$3004,U2014,$V$5:$V$3004,"&lt;&gt;"&amp;V2014,$V$5:$V$3004,"&lt;&gt;",$V$5:$V$3004,"&lt;&gt;Excluded")&gt;0,"LEAK RISK","OK"))</f>
        <v/>
      </c>
      <c r="Z2014" s="30" t="n"/>
    </row>
    <row r="2015">
      <c r="A2015" s="30" t="n"/>
      <c r="B2015" s="30" t="n"/>
      <c r="C2015" s="30" t="n"/>
      <c r="D2015" s="30" t="n"/>
      <c r="E2015" s="30" t="n"/>
      <c r="F2015" s="30" t="n"/>
      <c r="G2015" s="30" t="n"/>
      <c r="H2015" s="30" t="n"/>
      <c r="I2015" s="31" t="n"/>
      <c r="J2015" s="30" t="n"/>
      <c r="K2015" s="30" t="n"/>
      <c r="L2015" s="30" t="n"/>
      <c r="M2015" s="30" t="n"/>
      <c r="N2015" s="32" t="n"/>
      <c r="O2015" s="30" t="n"/>
      <c r="P2015" s="32" t="n"/>
      <c r="Q2015" s="30" t="n"/>
      <c r="R2015" s="32" t="n"/>
      <c r="S2015" s="30" t="n"/>
      <c r="T2015" s="30" t="n"/>
      <c r="U2015" s="30" t="n"/>
      <c r="V2015" s="30" t="n"/>
      <c r="W2015" s="29">
        <f>IF(H2015="","",IF(H2015="Kenya","Yes","No"))</f>
        <v/>
      </c>
      <c r="X2015" s="29">
        <f>IF(B2015="","",IF(COUNTIF($B$5:$B$3004,B2015)&gt;1,"DUPLICATE","OK"))</f>
        <v/>
      </c>
      <c r="Y2015" s="29">
        <f>IF(OR(U2015="",V2015="",V2015="Excluded"),"",IF(COUNTIFS($U$5:$U$3004,U2015,$V$5:$V$3004,"&lt;&gt;"&amp;V2015,$V$5:$V$3004,"&lt;&gt;",$V$5:$V$3004,"&lt;&gt;Excluded")&gt;0,"LEAK RISK","OK"))</f>
        <v/>
      </c>
      <c r="Z2015" s="30" t="n"/>
    </row>
    <row r="2016">
      <c r="A2016" s="30" t="n"/>
      <c r="B2016" s="30" t="n"/>
      <c r="C2016" s="30" t="n"/>
      <c r="D2016" s="30" t="n"/>
      <c r="E2016" s="30" t="n"/>
      <c r="F2016" s="30" t="n"/>
      <c r="G2016" s="30" t="n"/>
      <c r="H2016" s="30" t="n"/>
      <c r="I2016" s="31" t="n"/>
      <c r="J2016" s="30" t="n"/>
      <c r="K2016" s="30" t="n"/>
      <c r="L2016" s="30" t="n"/>
      <c r="M2016" s="30" t="n"/>
      <c r="N2016" s="32" t="n"/>
      <c r="O2016" s="30" t="n"/>
      <c r="P2016" s="32" t="n"/>
      <c r="Q2016" s="30" t="n"/>
      <c r="R2016" s="32" t="n"/>
      <c r="S2016" s="30" t="n"/>
      <c r="T2016" s="30" t="n"/>
      <c r="U2016" s="30" t="n"/>
      <c r="V2016" s="30" t="n"/>
      <c r="W2016" s="29">
        <f>IF(H2016="","",IF(H2016="Kenya","Yes","No"))</f>
        <v/>
      </c>
      <c r="X2016" s="29">
        <f>IF(B2016="","",IF(COUNTIF($B$5:$B$3004,B2016)&gt;1,"DUPLICATE","OK"))</f>
        <v/>
      </c>
      <c r="Y2016" s="29">
        <f>IF(OR(U2016="",V2016="",V2016="Excluded"),"",IF(COUNTIFS($U$5:$U$3004,U2016,$V$5:$V$3004,"&lt;&gt;"&amp;V2016,$V$5:$V$3004,"&lt;&gt;",$V$5:$V$3004,"&lt;&gt;Excluded")&gt;0,"LEAK RISK","OK"))</f>
        <v/>
      </c>
      <c r="Z2016" s="30" t="n"/>
    </row>
    <row r="2017">
      <c r="A2017" s="30" t="n"/>
      <c r="B2017" s="30" t="n"/>
      <c r="C2017" s="30" t="n"/>
      <c r="D2017" s="30" t="n"/>
      <c r="E2017" s="30" t="n"/>
      <c r="F2017" s="30" t="n"/>
      <c r="G2017" s="30" t="n"/>
      <c r="H2017" s="30" t="n"/>
      <c r="I2017" s="31" t="n"/>
      <c r="J2017" s="30" t="n"/>
      <c r="K2017" s="30" t="n"/>
      <c r="L2017" s="30" t="n"/>
      <c r="M2017" s="30" t="n"/>
      <c r="N2017" s="32" t="n"/>
      <c r="O2017" s="30" t="n"/>
      <c r="P2017" s="32" t="n"/>
      <c r="Q2017" s="30" t="n"/>
      <c r="R2017" s="32" t="n"/>
      <c r="S2017" s="30" t="n"/>
      <c r="T2017" s="30" t="n"/>
      <c r="U2017" s="30" t="n"/>
      <c r="V2017" s="30" t="n"/>
      <c r="W2017" s="29">
        <f>IF(H2017="","",IF(H2017="Kenya","Yes","No"))</f>
        <v/>
      </c>
      <c r="X2017" s="29">
        <f>IF(B2017="","",IF(COUNTIF($B$5:$B$3004,B2017)&gt;1,"DUPLICATE","OK"))</f>
        <v/>
      </c>
      <c r="Y2017" s="29">
        <f>IF(OR(U2017="",V2017="",V2017="Excluded"),"",IF(COUNTIFS($U$5:$U$3004,U2017,$V$5:$V$3004,"&lt;&gt;"&amp;V2017,$V$5:$V$3004,"&lt;&gt;",$V$5:$V$3004,"&lt;&gt;Excluded")&gt;0,"LEAK RISK","OK"))</f>
        <v/>
      </c>
      <c r="Z2017" s="30" t="n"/>
    </row>
    <row r="2018">
      <c r="A2018" s="30" t="n"/>
      <c r="B2018" s="30" t="n"/>
      <c r="C2018" s="30" t="n"/>
      <c r="D2018" s="30" t="n"/>
      <c r="E2018" s="30" t="n"/>
      <c r="F2018" s="30" t="n"/>
      <c r="G2018" s="30" t="n"/>
      <c r="H2018" s="30" t="n"/>
      <c r="I2018" s="31" t="n"/>
      <c r="J2018" s="30" t="n"/>
      <c r="K2018" s="30" t="n"/>
      <c r="L2018" s="30" t="n"/>
      <c r="M2018" s="30" t="n"/>
      <c r="N2018" s="32" t="n"/>
      <c r="O2018" s="30" t="n"/>
      <c r="P2018" s="32" t="n"/>
      <c r="Q2018" s="30" t="n"/>
      <c r="R2018" s="32" t="n"/>
      <c r="S2018" s="30" t="n"/>
      <c r="T2018" s="30" t="n"/>
      <c r="U2018" s="30" t="n"/>
      <c r="V2018" s="30" t="n"/>
      <c r="W2018" s="29">
        <f>IF(H2018="","",IF(H2018="Kenya","Yes","No"))</f>
        <v/>
      </c>
      <c r="X2018" s="29">
        <f>IF(B2018="","",IF(COUNTIF($B$5:$B$3004,B2018)&gt;1,"DUPLICATE","OK"))</f>
        <v/>
      </c>
      <c r="Y2018" s="29">
        <f>IF(OR(U2018="",V2018="",V2018="Excluded"),"",IF(COUNTIFS($U$5:$U$3004,U2018,$V$5:$V$3004,"&lt;&gt;"&amp;V2018,$V$5:$V$3004,"&lt;&gt;",$V$5:$V$3004,"&lt;&gt;Excluded")&gt;0,"LEAK RISK","OK"))</f>
        <v/>
      </c>
      <c r="Z2018" s="30" t="n"/>
    </row>
    <row r="2019">
      <c r="A2019" s="30" t="n"/>
      <c r="B2019" s="30" t="n"/>
      <c r="C2019" s="30" t="n"/>
      <c r="D2019" s="30" t="n"/>
      <c r="E2019" s="30" t="n"/>
      <c r="F2019" s="30" t="n"/>
      <c r="G2019" s="30" t="n"/>
      <c r="H2019" s="30" t="n"/>
      <c r="I2019" s="31" t="n"/>
      <c r="J2019" s="30" t="n"/>
      <c r="K2019" s="30" t="n"/>
      <c r="L2019" s="30" t="n"/>
      <c r="M2019" s="30" t="n"/>
      <c r="N2019" s="32" t="n"/>
      <c r="O2019" s="30" t="n"/>
      <c r="P2019" s="32" t="n"/>
      <c r="Q2019" s="30" t="n"/>
      <c r="R2019" s="32" t="n"/>
      <c r="S2019" s="30" t="n"/>
      <c r="T2019" s="30" t="n"/>
      <c r="U2019" s="30" t="n"/>
      <c r="V2019" s="30" t="n"/>
      <c r="W2019" s="29">
        <f>IF(H2019="","",IF(H2019="Kenya","Yes","No"))</f>
        <v/>
      </c>
      <c r="X2019" s="29">
        <f>IF(B2019="","",IF(COUNTIF($B$5:$B$3004,B2019)&gt;1,"DUPLICATE","OK"))</f>
        <v/>
      </c>
      <c r="Y2019" s="29">
        <f>IF(OR(U2019="",V2019="",V2019="Excluded"),"",IF(COUNTIFS($U$5:$U$3004,U2019,$V$5:$V$3004,"&lt;&gt;"&amp;V2019,$V$5:$V$3004,"&lt;&gt;",$V$5:$V$3004,"&lt;&gt;Excluded")&gt;0,"LEAK RISK","OK"))</f>
        <v/>
      </c>
      <c r="Z2019" s="30" t="n"/>
    </row>
    <row r="2020">
      <c r="A2020" s="30" t="n"/>
      <c r="B2020" s="30" t="n"/>
      <c r="C2020" s="30" t="n"/>
      <c r="D2020" s="30" t="n"/>
      <c r="E2020" s="30" t="n"/>
      <c r="F2020" s="30" t="n"/>
      <c r="G2020" s="30" t="n"/>
      <c r="H2020" s="30" t="n"/>
      <c r="I2020" s="31" t="n"/>
      <c r="J2020" s="30" t="n"/>
      <c r="K2020" s="30" t="n"/>
      <c r="L2020" s="30" t="n"/>
      <c r="M2020" s="30" t="n"/>
      <c r="N2020" s="32" t="n"/>
      <c r="O2020" s="30" t="n"/>
      <c r="P2020" s="32" t="n"/>
      <c r="Q2020" s="30" t="n"/>
      <c r="R2020" s="32" t="n"/>
      <c r="S2020" s="30" t="n"/>
      <c r="T2020" s="30" t="n"/>
      <c r="U2020" s="30" t="n"/>
      <c r="V2020" s="30" t="n"/>
      <c r="W2020" s="29">
        <f>IF(H2020="","",IF(H2020="Kenya","Yes","No"))</f>
        <v/>
      </c>
      <c r="X2020" s="29">
        <f>IF(B2020="","",IF(COUNTIF($B$5:$B$3004,B2020)&gt;1,"DUPLICATE","OK"))</f>
        <v/>
      </c>
      <c r="Y2020" s="29">
        <f>IF(OR(U2020="",V2020="",V2020="Excluded"),"",IF(COUNTIFS($U$5:$U$3004,U2020,$V$5:$V$3004,"&lt;&gt;"&amp;V2020,$V$5:$V$3004,"&lt;&gt;",$V$5:$V$3004,"&lt;&gt;Excluded")&gt;0,"LEAK RISK","OK"))</f>
        <v/>
      </c>
      <c r="Z2020" s="30" t="n"/>
    </row>
    <row r="2021">
      <c r="A2021" s="30" t="n"/>
      <c r="B2021" s="30" t="n"/>
      <c r="C2021" s="30" t="n"/>
      <c r="D2021" s="30" t="n"/>
      <c r="E2021" s="30" t="n"/>
      <c r="F2021" s="30" t="n"/>
      <c r="G2021" s="30" t="n"/>
      <c r="H2021" s="30" t="n"/>
      <c r="I2021" s="31" t="n"/>
      <c r="J2021" s="30" t="n"/>
      <c r="K2021" s="30" t="n"/>
      <c r="L2021" s="30" t="n"/>
      <c r="M2021" s="30" t="n"/>
      <c r="N2021" s="32" t="n"/>
      <c r="O2021" s="30" t="n"/>
      <c r="P2021" s="32" t="n"/>
      <c r="Q2021" s="30" t="n"/>
      <c r="R2021" s="32" t="n"/>
      <c r="S2021" s="30" t="n"/>
      <c r="T2021" s="30" t="n"/>
      <c r="U2021" s="30" t="n"/>
      <c r="V2021" s="30" t="n"/>
      <c r="W2021" s="29">
        <f>IF(H2021="","",IF(H2021="Kenya","Yes","No"))</f>
        <v/>
      </c>
      <c r="X2021" s="29">
        <f>IF(B2021="","",IF(COUNTIF($B$5:$B$3004,B2021)&gt;1,"DUPLICATE","OK"))</f>
        <v/>
      </c>
      <c r="Y2021" s="29">
        <f>IF(OR(U2021="",V2021="",V2021="Excluded"),"",IF(COUNTIFS($U$5:$U$3004,U2021,$V$5:$V$3004,"&lt;&gt;"&amp;V2021,$V$5:$V$3004,"&lt;&gt;",$V$5:$V$3004,"&lt;&gt;Excluded")&gt;0,"LEAK RISK","OK"))</f>
        <v/>
      </c>
      <c r="Z2021" s="30" t="n"/>
    </row>
    <row r="2022">
      <c r="A2022" s="30" t="n"/>
      <c r="B2022" s="30" t="n"/>
      <c r="C2022" s="30" t="n"/>
      <c r="D2022" s="30" t="n"/>
      <c r="E2022" s="30" t="n"/>
      <c r="F2022" s="30" t="n"/>
      <c r="G2022" s="30" t="n"/>
      <c r="H2022" s="30" t="n"/>
      <c r="I2022" s="31" t="n"/>
      <c r="J2022" s="30" t="n"/>
      <c r="K2022" s="30" t="n"/>
      <c r="L2022" s="30" t="n"/>
      <c r="M2022" s="30" t="n"/>
      <c r="N2022" s="32" t="n"/>
      <c r="O2022" s="30" t="n"/>
      <c r="P2022" s="32" t="n"/>
      <c r="Q2022" s="30" t="n"/>
      <c r="R2022" s="32" t="n"/>
      <c r="S2022" s="30" t="n"/>
      <c r="T2022" s="30" t="n"/>
      <c r="U2022" s="30" t="n"/>
      <c r="V2022" s="30" t="n"/>
      <c r="W2022" s="29">
        <f>IF(H2022="","",IF(H2022="Kenya","Yes","No"))</f>
        <v/>
      </c>
      <c r="X2022" s="29">
        <f>IF(B2022="","",IF(COUNTIF($B$5:$B$3004,B2022)&gt;1,"DUPLICATE","OK"))</f>
        <v/>
      </c>
      <c r="Y2022" s="29">
        <f>IF(OR(U2022="",V2022="",V2022="Excluded"),"",IF(COUNTIFS($U$5:$U$3004,U2022,$V$5:$V$3004,"&lt;&gt;"&amp;V2022,$V$5:$V$3004,"&lt;&gt;",$V$5:$V$3004,"&lt;&gt;Excluded")&gt;0,"LEAK RISK","OK"))</f>
        <v/>
      </c>
      <c r="Z2022" s="30" t="n"/>
    </row>
    <row r="2023">
      <c r="A2023" s="30" t="n"/>
      <c r="B2023" s="30" t="n"/>
      <c r="C2023" s="30" t="n"/>
      <c r="D2023" s="30" t="n"/>
      <c r="E2023" s="30" t="n"/>
      <c r="F2023" s="30" t="n"/>
      <c r="G2023" s="30" t="n"/>
      <c r="H2023" s="30" t="n"/>
      <c r="I2023" s="31" t="n"/>
      <c r="J2023" s="30" t="n"/>
      <c r="K2023" s="30" t="n"/>
      <c r="L2023" s="30" t="n"/>
      <c r="M2023" s="30" t="n"/>
      <c r="N2023" s="32" t="n"/>
      <c r="O2023" s="30" t="n"/>
      <c r="P2023" s="32" t="n"/>
      <c r="Q2023" s="30" t="n"/>
      <c r="R2023" s="32" t="n"/>
      <c r="S2023" s="30" t="n"/>
      <c r="T2023" s="30" t="n"/>
      <c r="U2023" s="30" t="n"/>
      <c r="V2023" s="30" t="n"/>
      <c r="W2023" s="29">
        <f>IF(H2023="","",IF(H2023="Kenya","Yes","No"))</f>
        <v/>
      </c>
      <c r="X2023" s="29">
        <f>IF(B2023="","",IF(COUNTIF($B$5:$B$3004,B2023)&gt;1,"DUPLICATE","OK"))</f>
        <v/>
      </c>
      <c r="Y2023" s="29">
        <f>IF(OR(U2023="",V2023="",V2023="Excluded"),"",IF(COUNTIFS($U$5:$U$3004,U2023,$V$5:$V$3004,"&lt;&gt;"&amp;V2023,$V$5:$V$3004,"&lt;&gt;",$V$5:$V$3004,"&lt;&gt;Excluded")&gt;0,"LEAK RISK","OK"))</f>
        <v/>
      </c>
      <c r="Z2023" s="30" t="n"/>
    </row>
    <row r="2024">
      <c r="A2024" s="30" t="n"/>
      <c r="B2024" s="30" t="n"/>
      <c r="C2024" s="30" t="n"/>
      <c r="D2024" s="30" t="n"/>
      <c r="E2024" s="30" t="n"/>
      <c r="F2024" s="30" t="n"/>
      <c r="G2024" s="30" t="n"/>
      <c r="H2024" s="30" t="n"/>
      <c r="I2024" s="31" t="n"/>
      <c r="J2024" s="30" t="n"/>
      <c r="K2024" s="30" t="n"/>
      <c r="L2024" s="30" t="n"/>
      <c r="M2024" s="30" t="n"/>
      <c r="N2024" s="32" t="n"/>
      <c r="O2024" s="30" t="n"/>
      <c r="P2024" s="32" t="n"/>
      <c r="Q2024" s="30" t="n"/>
      <c r="R2024" s="32" t="n"/>
      <c r="S2024" s="30" t="n"/>
      <c r="T2024" s="30" t="n"/>
      <c r="U2024" s="30" t="n"/>
      <c r="V2024" s="30" t="n"/>
      <c r="W2024" s="29">
        <f>IF(H2024="","",IF(H2024="Kenya","Yes","No"))</f>
        <v/>
      </c>
      <c r="X2024" s="29">
        <f>IF(B2024="","",IF(COUNTIF($B$5:$B$3004,B2024)&gt;1,"DUPLICATE","OK"))</f>
        <v/>
      </c>
      <c r="Y2024" s="29">
        <f>IF(OR(U2024="",V2024="",V2024="Excluded"),"",IF(COUNTIFS($U$5:$U$3004,U2024,$V$5:$V$3004,"&lt;&gt;"&amp;V2024,$V$5:$V$3004,"&lt;&gt;",$V$5:$V$3004,"&lt;&gt;Excluded")&gt;0,"LEAK RISK","OK"))</f>
        <v/>
      </c>
      <c r="Z2024" s="30" t="n"/>
    </row>
    <row r="2025">
      <c r="A2025" s="30" t="n"/>
      <c r="B2025" s="30" t="n"/>
      <c r="C2025" s="30" t="n"/>
      <c r="D2025" s="30" t="n"/>
      <c r="E2025" s="30" t="n"/>
      <c r="F2025" s="30" t="n"/>
      <c r="G2025" s="30" t="n"/>
      <c r="H2025" s="30" t="n"/>
      <c r="I2025" s="31" t="n"/>
      <c r="J2025" s="30" t="n"/>
      <c r="K2025" s="30" t="n"/>
      <c r="L2025" s="30" t="n"/>
      <c r="M2025" s="30" t="n"/>
      <c r="N2025" s="32" t="n"/>
      <c r="O2025" s="30" t="n"/>
      <c r="P2025" s="32" t="n"/>
      <c r="Q2025" s="30" t="n"/>
      <c r="R2025" s="32" t="n"/>
      <c r="S2025" s="30" t="n"/>
      <c r="T2025" s="30" t="n"/>
      <c r="U2025" s="30" t="n"/>
      <c r="V2025" s="30" t="n"/>
      <c r="W2025" s="29">
        <f>IF(H2025="","",IF(H2025="Kenya","Yes","No"))</f>
        <v/>
      </c>
      <c r="X2025" s="29">
        <f>IF(B2025="","",IF(COUNTIF($B$5:$B$3004,B2025)&gt;1,"DUPLICATE","OK"))</f>
        <v/>
      </c>
      <c r="Y2025" s="29">
        <f>IF(OR(U2025="",V2025="",V2025="Excluded"),"",IF(COUNTIFS($U$5:$U$3004,U2025,$V$5:$V$3004,"&lt;&gt;"&amp;V2025,$V$5:$V$3004,"&lt;&gt;",$V$5:$V$3004,"&lt;&gt;Excluded")&gt;0,"LEAK RISK","OK"))</f>
        <v/>
      </c>
      <c r="Z2025" s="30" t="n"/>
    </row>
    <row r="2026">
      <c r="A2026" s="30" t="n"/>
      <c r="B2026" s="30" t="n"/>
      <c r="C2026" s="30" t="n"/>
      <c r="D2026" s="30" t="n"/>
      <c r="E2026" s="30" t="n"/>
      <c r="F2026" s="30" t="n"/>
      <c r="G2026" s="30" t="n"/>
      <c r="H2026" s="30" t="n"/>
      <c r="I2026" s="31" t="n"/>
      <c r="J2026" s="30" t="n"/>
      <c r="K2026" s="30" t="n"/>
      <c r="L2026" s="30" t="n"/>
      <c r="M2026" s="30" t="n"/>
      <c r="N2026" s="32" t="n"/>
      <c r="O2026" s="30" t="n"/>
      <c r="P2026" s="32" t="n"/>
      <c r="Q2026" s="30" t="n"/>
      <c r="R2026" s="32" t="n"/>
      <c r="S2026" s="30" t="n"/>
      <c r="T2026" s="30" t="n"/>
      <c r="U2026" s="30" t="n"/>
      <c r="V2026" s="30" t="n"/>
      <c r="W2026" s="29">
        <f>IF(H2026="","",IF(H2026="Kenya","Yes","No"))</f>
        <v/>
      </c>
      <c r="X2026" s="29">
        <f>IF(B2026="","",IF(COUNTIF($B$5:$B$3004,B2026)&gt;1,"DUPLICATE","OK"))</f>
        <v/>
      </c>
      <c r="Y2026" s="29">
        <f>IF(OR(U2026="",V2026="",V2026="Excluded"),"",IF(COUNTIFS($U$5:$U$3004,U2026,$V$5:$V$3004,"&lt;&gt;"&amp;V2026,$V$5:$V$3004,"&lt;&gt;",$V$5:$V$3004,"&lt;&gt;Excluded")&gt;0,"LEAK RISK","OK"))</f>
        <v/>
      </c>
      <c r="Z2026" s="30" t="n"/>
    </row>
    <row r="2027">
      <c r="A2027" s="30" t="n"/>
      <c r="B2027" s="30" t="n"/>
      <c r="C2027" s="30" t="n"/>
      <c r="D2027" s="30" t="n"/>
      <c r="E2027" s="30" t="n"/>
      <c r="F2027" s="30" t="n"/>
      <c r="G2027" s="30" t="n"/>
      <c r="H2027" s="30" t="n"/>
      <c r="I2027" s="31" t="n"/>
      <c r="J2027" s="30" t="n"/>
      <c r="K2027" s="30" t="n"/>
      <c r="L2027" s="30" t="n"/>
      <c r="M2027" s="30" t="n"/>
      <c r="N2027" s="32" t="n"/>
      <c r="O2027" s="30" t="n"/>
      <c r="P2027" s="32" t="n"/>
      <c r="Q2027" s="30" t="n"/>
      <c r="R2027" s="32" t="n"/>
      <c r="S2027" s="30" t="n"/>
      <c r="T2027" s="30" t="n"/>
      <c r="U2027" s="30" t="n"/>
      <c r="V2027" s="30" t="n"/>
      <c r="W2027" s="29">
        <f>IF(H2027="","",IF(H2027="Kenya","Yes","No"))</f>
        <v/>
      </c>
      <c r="X2027" s="29">
        <f>IF(B2027="","",IF(COUNTIF($B$5:$B$3004,B2027)&gt;1,"DUPLICATE","OK"))</f>
        <v/>
      </c>
      <c r="Y2027" s="29">
        <f>IF(OR(U2027="",V2027="",V2027="Excluded"),"",IF(COUNTIFS($U$5:$U$3004,U2027,$V$5:$V$3004,"&lt;&gt;"&amp;V2027,$V$5:$V$3004,"&lt;&gt;",$V$5:$V$3004,"&lt;&gt;Excluded")&gt;0,"LEAK RISK","OK"))</f>
        <v/>
      </c>
      <c r="Z2027" s="30" t="n"/>
    </row>
    <row r="2028">
      <c r="A2028" s="30" t="n"/>
      <c r="B2028" s="30" t="n"/>
      <c r="C2028" s="30" t="n"/>
      <c r="D2028" s="30" t="n"/>
      <c r="E2028" s="30" t="n"/>
      <c r="F2028" s="30" t="n"/>
      <c r="G2028" s="30" t="n"/>
      <c r="H2028" s="30" t="n"/>
      <c r="I2028" s="31" t="n"/>
      <c r="J2028" s="30" t="n"/>
      <c r="K2028" s="30" t="n"/>
      <c r="L2028" s="30" t="n"/>
      <c r="M2028" s="30" t="n"/>
      <c r="N2028" s="32" t="n"/>
      <c r="O2028" s="30" t="n"/>
      <c r="P2028" s="32" t="n"/>
      <c r="Q2028" s="30" t="n"/>
      <c r="R2028" s="32" t="n"/>
      <c r="S2028" s="30" t="n"/>
      <c r="T2028" s="30" t="n"/>
      <c r="U2028" s="30" t="n"/>
      <c r="V2028" s="30" t="n"/>
      <c r="W2028" s="29">
        <f>IF(H2028="","",IF(H2028="Kenya","Yes","No"))</f>
        <v/>
      </c>
      <c r="X2028" s="29">
        <f>IF(B2028="","",IF(COUNTIF($B$5:$B$3004,B2028)&gt;1,"DUPLICATE","OK"))</f>
        <v/>
      </c>
      <c r="Y2028" s="29">
        <f>IF(OR(U2028="",V2028="",V2028="Excluded"),"",IF(COUNTIFS($U$5:$U$3004,U2028,$V$5:$V$3004,"&lt;&gt;"&amp;V2028,$V$5:$V$3004,"&lt;&gt;",$V$5:$V$3004,"&lt;&gt;Excluded")&gt;0,"LEAK RISK","OK"))</f>
        <v/>
      </c>
      <c r="Z2028" s="30" t="n"/>
    </row>
    <row r="2029">
      <c r="A2029" s="30" t="n"/>
      <c r="B2029" s="30" t="n"/>
      <c r="C2029" s="30" t="n"/>
      <c r="D2029" s="30" t="n"/>
      <c r="E2029" s="30" t="n"/>
      <c r="F2029" s="30" t="n"/>
      <c r="G2029" s="30" t="n"/>
      <c r="H2029" s="30" t="n"/>
      <c r="I2029" s="31" t="n"/>
      <c r="J2029" s="30" t="n"/>
      <c r="K2029" s="30" t="n"/>
      <c r="L2029" s="30" t="n"/>
      <c r="M2029" s="30" t="n"/>
      <c r="N2029" s="32" t="n"/>
      <c r="O2029" s="30" t="n"/>
      <c r="P2029" s="32" t="n"/>
      <c r="Q2029" s="30" t="n"/>
      <c r="R2029" s="32" t="n"/>
      <c r="S2029" s="30" t="n"/>
      <c r="T2029" s="30" t="n"/>
      <c r="U2029" s="30" t="n"/>
      <c r="V2029" s="30" t="n"/>
      <c r="W2029" s="29">
        <f>IF(H2029="","",IF(H2029="Kenya","Yes","No"))</f>
        <v/>
      </c>
      <c r="X2029" s="29">
        <f>IF(B2029="","",IF(COUNTIF($B$5:$B$3004,B2029)&gt;1,"DUPLICATE","OK"))</f>
        <v/>
      </c>
      <c r="Y2029" s="29">
        <f>IF(OR(U2029="",V2029="",V2029="Excluded"),"",IF(COUNTIFS($U$5:$U$3004,U2029,$V$5:$V$3004,"&lt;&gt;"&amp;V2029,$V$5:$V$3004,"&lt;&gt;",$V$5:$V$3004,"&lt;&gt;Excluded")&gt;0,"LEAK RISK","OK"))</f>
        <v/>
      </c>
      <c r="Z2029" s="30" t="n"/>
    </row>
    <row r="2030">
      <c r="A2030" s="30" t="n"/>
      <c r="B2030" s="30" t="n"/>
      <c r="C2030" s="30" t="n"/>
      <c r="D2030" s="30" t="n"/>
      <c r="E2030" s="30" t="n"/>
      <c r="F2030" s="30" t="n"/>
      <c r="G2030" s="30" t="n"/>
      <c r="H2030" s="30" t="n"/>
      <c r="I2030" s="31" t="n"/>
      <c r="J2030" s="30" t="n"/>
      <c r="K2030" s="30" t="n"/>
      <c r="L2030" s="30" t="n"/>
      <c r="M2030" s="30" t="n"/>
      <c r="N2030" s="32" t="n"/>
      <c r="O2030" s="30" t="n"/>
      <c r="P2030" s="32" t="n"/>
      <c r="Q2030" s="30" t="n"/>
      <c r="R2030" s="32" t="n"/>
      <c r="S2030" s="30" t="n"/>
      <c r="T2030" s="30" t="n"/>
      <c r="U2030" s="30" t="n"/>
      <c r="V2030" s="30" t="n"/>
      <c r="W2030" s="29">
        <f>IF(H2030="","",IF(H2030="Kenya","Yes","No"))</f>
        <v/>
      </c>
      <c r="X2030" s="29">
        <f>IF(B2030="","",IF(COUNTIF($B$5:$B$3004,B2030)&gt;1,"DUPLICATE","OK"))</f>
        <v/>
      </c>
      <c r="Y2030" s="29">
        <f>IF(OR(U2030="",V2030="",V2030="Excluded"),"",IF(COUNTIFS($U$5:$U$3004,U2030,$V$5:$V$3004,"&lt;&gt;"&amp;V2030,$V$5:$V$3004,"&lt;&gt;",$V$5:$V$3004,"&lt;&gt;Excluded")&gt;0,"LEAK RISK","OK"))</f>
        <v/>
      </c>
      <c r="Z2030" s="30" t="n"/>
    </row>
    <row r="2031">
      <c r="A2031" s="30" t="n"/>
      <c r="B2031" s="30" t="n"/>
      <c r="C2031" s="30" t="n"/>
      <c r="D2031" s="30" t="n"/>
      <c r="E2031" s="30" t="n"/>
      <c r="F2031" s="30" t="n"/>
      <c r="G2031" s="30" t="n"/>
      <c r="H2031" s="30" t="n"/>
      <c r="I2031" s="31" t="n"/>
      <c r="J2031" s="30" t="n"/>
      <c r="K2031" s="30" t="n"/>
      <c r="L2031" s="30" t="n"/>
      <c r="M2031" s="30" t="n"/>
      <c r="N2031" s="32" t="n"/>
      <c r="O2031" s="30" t="n"/>
      <c r="P2031" s="32" t="n"/>
      <c r="Q2031" s="30" t="n"/>
      <c r="R2031" s="32" t="n"/>
      <c r="S2031" s="30" t="n"/>
      <c r="T2031" s="30" t="n"/>
      <c r="U2031" s="30" t="n"/>
      <c r="V2031" s="30" t="n"/>
      <c r="W2031" s="29">
        <f>IF(H2031="","",IF(H2031="Kenya","Yes","No"))</f>
        <v/>
      </c>
      <c r="X2031" s="29">
        <f>IF(B2031="","",IF(COUNTIF($B$5:$B$3004,B2031)&gt;1,"DUPLICATE","OK"))</f>
        <v/>
      </c>
      <c r="Y2031" s="29">
        <f>IF(OR(U2031="",V2031="",V2031="Excluded"),"",IF(COUNTIFS($U$5:$U$3004,U2031,$V$5:$V$3004,"&lt;&gt;"&amp;V2031,$V$5:$V$3004,"&lt;&gt;",$V$5:$V$3004,"&lt;&gt;Excluded")&gt;0,"LEAK RISK","OK"))</f>
        <v/>
      </c>
      <c r="Z2031" s="30" t="n"/>
    </row>
    <row r="2032">
      <c r="A2032" s="30" t="n"/>
      <c r="B2032" s="30" t="n"/>
      <c r="C2032" s="30" t="n"/>
      <c r="D2032" s="30" t="n"/>
      <c r="E2032" s="30" t="n"/>
      <c r="F2032" s="30" t="n"/>
      <c r="G2032" s="30" t="n"/>
      <c r="H2032" s="30" t="n"/>
      <c r="I2032" s="31" t="n"/>
      <c r="J2032" s="30" t="n"/>
      <c r="K2032" s="30" t="n"/>
      <c r="L2032" s="30" t="n"/>
      <c r="M2032" s="30" t="n"/>
      <c r="N2032" s="32" t="n"/>
      <c r="O2032" s="30" t="n"/>
      <c r="P2032" s="32" t="n"/>
      <c r="Q2032" s="30" t="n"/>
      <c r="R2032" s="32" t="n"/>
      <c r="S2032" s="30" t="n"/>
      <c r="T2032" s="30" t="n"/>
      <c r="U2032" s="30" t="n"/>
      <c r="V2032" s="30" t="n"/>
      <c r="W2032" s="29">
        <f>IF(H2032="","",IF(H2032="Kenya","Yes","No"))</f>
        <v/>
      </c>
      <c r="X2032" s="29">
        <f>IF(B2032="","",IF(COUNTIF($B$5:$B$3004,B2032)&gt;1,"DUPLICATE","OK"))</f>
        <v/>
      </c>
      <c r="Y2032" s="29">
        <f>IF(OR(U2032="",V2032="",V2032="Excluded"),"",IF(COUNTIFS($U$5:$U$3004,U2032,$V$5:$V$3004,"&lt;&gt;"&amp;V2032,$V$5:$V$3004,"&lt;&gt;",$V$5:$V$3004,"&lt;&gt;Excluded")&gt;0,"LEAK RISK","OK"))</f>
        <v/>
      </c>
      <c r="Z2032" s="30" t="n"/>
    </row>
    <row r="2033">
      <c r="A2033" s="30" t="n"/>
      <c r="B2033" s="30" t="n"/>
      <c r="C2033" s="30" t="n"/>
      <c r="D2033" s="30" t="n"/>
      <c r="E2033" s="30" t="n"/>
      <c r="F2033" s="30" t="n"/>
      <c r="G2033" s="30" t="n"/>
      <c r="H2033" s="30" t="n"/>
      <c r="I2033" s="31" t="n"/>
      <c r="J2033" s="30" t="n"/>
      <c r="K2033" s="30" t="n"/>
      <c r="L2033" s="30" t="n"/>
      <c r="M2033" s="30" t="n"/>
      <c r="N2033" s="32" t="n"/>
      <c r="O2033" s="30" t="n"/>
      <c r="P2033" s="32" t="n"/>
      <c r="Q2033" s="30" t="n"/>
      <c r="R2033" s="32" t="n"/>
      <c r="S2033" s="30" t="n"/>
      <c r="T2033" s="30" t="n"/>
      <c r="U2033" s="30" t="n"/>
      <c r="V2033" s="30" t="n"/>
      <c r="W2033" s="29">
        <f>IF(H2033="","",IF(H2033="Kenya","Yes","No"))</f>
        <v/>
      </c>
      <c r="X2033" s="29">
        <f>IF(B2033="","",IF(COUNTIF($B$5:$B$3004,B2033)&gt;1,"DUPLICATE","OK"))</f>
        <v/>
      </c>
      <c r="Y2033" s="29">
        <f>IF(OR(U2033="",V2033="",V2033="Excluded"),"",IF(COUNTIFS($U$5:$U$3004,U2033,$V$5:$V$3004,"&lt;&gt;"&amp;V2033,$V$5:$V$3004,"&lt;&gt;",$V$5:$V$3004,"&lt;&gt;Excluded")&gt;0,"LEAK RISK","OK"))</f>
        <v/>
      </c>
      <c r="Z2033" s="30" t="n"/>
    </row>
    <row r="2034">
      <c r="A2034" s="30" t="n"/>
      <c r="B2034" s="30" t="n"/>
      <c r="C2034" s="30" t="n"/>
      <c r="D2034" s="30" t="n"/>
      <c r="E2034" s="30" t="n"/>
      <c r="F2034" s="30" t="n"/>
      <c r="G2034" s="30" t="n"/>
      <c r="H2034" s="30" t="n"/>
      <c r="I2034" s="31" t="n"/>
      <c r="J2034" s="30" t="n"/>
      <c r="K2034" s="30" t="n"/>
      <c r="L2034" s="30" t="n"/>
      <c r="M2034" s="30" t="n"/>
      <c r="N2034" s="32" t="n"/>
      <c r="O2034" s="30" t="n"/>
      <c r="P2034" s="32" t="n"/>
      <c r="Q2034" s="30" t="n"/>
      <c r="R2034" s="32" t="n"/>
      <c r="S2034" s="30" t="n"/>
      <c r="T2034" s="30" t="n"/>
      <c r="U2034" s="30" t="n"/>
      <c r="V2034" s="30" t="n"/>
      <c r="W2034" s="29">
        <f>IF(H2034="","",IF(H2034="Kenya","Yes","No"))</f>
        <v/>
      </c>
      <c r="X2034" s="29">
        <f>IF(B2034="","",IF(COUNTIF($B$5:$B$3004,B2034)&gt;1,"DUPLICATE","OK"))</f>
        <v/>
      </c>
      <c r="Y2034" s="29">
        <f>IF(OR(U2034="",V2034="",V2034="Excluded"),"",IF(COUNTIFS($U$5:$U$3004,U2034,$V$5:$V$3004,"&lt;&gt;"&amp;V2034,$V$5:$V$3004,"&lt;&gt;",$V$5:$V$3004,"&lt;&gt;Excluded")&gt;0,"LEAK RISK","OK"))</f>
        <v/>
      </c>
      <c r="Z2034" s="30" t="n"/>
    </row>
    <row r="2035">
      <c r="A2035" s="30" t="n"/>
      <c r="B2035" s="30" t="n"/>
      <c r="C2035" s="30" t="n"/>
      <c r="D2035" s="30" t="n"/>
      <c r="E2035" s="30" t="n"/>
      <c r="F2035" s="30" t="n"/>
      <c r="G2035" s="30" t="n"/>
      <c r="H2035" s="30" t="n"/>
      <c r="I2035" s="31" t="n"/>
      <c r="J2035" s="30" t="n"/>
      <c r="K2035" s="30" t="n"/>
      <c r="L2035" s="30" t="n"/>
      <c r="M2035" s="30" t="n"/>
      <c r="N2035" s="32" t="n"/>
      <c r="O2035" s="30" t="n"/>
      <c r="P2035" s="32" t="n"/>
      <c r="Q2035" s="30" t="n"/>
      <c r="R2035" s="32" t="n"/>
      <c r="S2035" s="30" t="n"/>
      <c r="T2035" s="30" t="n"/>
      <c r="U2035" s="30" t="n"/>
      <c r="V2035" s="30" t="n"/>
      <c r="W2035" s="29">
        <f>IF(H2035="","",IF(H2035="Kenya","Yes","No"))</f>
        <v/>
      </c>
      <c r="X2035" s="29">
        <f>IF(B2035="","",IF(COUNTIF($B$5:$B$3004,B2035)&gt;1,"DUPLICATE","OK"))</f>
        <v/>
      </c>
      <c r="Y2035" s="29">
        <f>IF(OR(U2035="",V2035="",V2035="Excluded"),"",IF(COUNTIFS($U$5:$U$3004,U2035,$V$5:$V$3004,"&lt;&gt;"&amp;V2035,$V$5:$V$3004,"&lt;&gt;",$V$5:$V$3004,"&lt;&gt;Excluded")&gt;0,"LEAK RISK","OK"))</f>
        <v/>
      </c>
      <c r="Z2035" s="30" t="n"/>
    </row>
    <row r="2036">
      <c r="A2036" s="30" t="n"/>
      <c r="B2036" s="30" t="n"/>
      <c r="C2036" s="30" t="n"/>
      <c r="D2036" s="30" t="n"/>
      <c r="E2036" s="30" t="n"/>
      <c r="F2036" s="30" t="n"/>
      <c r="G2036" s="30" t="n"/>
      <c r="H2036" s="30" t="n"/>
      <c r="I2036" s="31" t="n"/>
      <c r="J2036" s="30" t="n"/>
      <c r="K2036" s="30" t="n"/>
      <c r="L2036" s="30" t="n"/>
      <c r="M2036" s="30" t="n"/>
      <c r="N2036" s="32" t="n"/>
      <c r="O2036" s="30" t="n"/>
      <c r="P2036" s="32" t="n"/>
      <c r="Q2036" s="30" t="n"/>
      <c r="R2036" s="32" t="n"/>
      <c r="S2036" s="30" t="n"/>
      <c r="T2036" s="30" t="n"/>
      <c r="U2036" s="30" t="n"/>
      <c r="V2036" s="30" t="n"/>
      <c r="W2036" s="29">
        <f>IF(H2036="","",IF(H2036="Kenya","Yes","No"))</f>
        <v/>
      </c>
      <c r="X2036" s="29">
        <f>IF(B2036="","",IF(COUNTIF($B$5:$B$3004,B2036)&gt;1,"DUPLICATE","OK"))</f>
        <v/>
      </c>
      <c r="Y2036" s="29">
        <f>IF(OR(U2036="",V2036="",V2036="Excluded"),"",IF(COUNTIFS($U$5:$U$3004,U2036,$V$5:$V$3004,"&lt;&gt;"&amp;V2036,$V$5:$V$3004,"&lt;&gt;",$V$5:$V$3004,"&lt;&gt;Excluded")&gt;0,"LEAK RISK","OK"))</f>
        <v/>
      </c>
      <c r="Z2036" s="30" t="n"/>
    </row>
    <row r="2037">
      <c r="A2037" s="30" t="n"/>
      <c r="B2037" s="30" t="n"/>
      <c r="C2037" s="30" t="n"/>
      <c r="D2037" s="30" t="n"/>
      <c r="E2037" s="30" t="n"/>
      <c r="F2037" s="30" t="n"/>
      <c r="G2037" s="30" t="n"/>
      <c r="H2037" s="30" t="n"/>
      <c r="I2037" s="31" t="n"/>
      <c r="J2037" s="30" t="n"/>
      <c r="K2037" s="30" t="n"/>
      <c r="L2037" s="30" t="n"/>
      <c r="M2037" s="30" t="n"/>
      <c r="N2037" s="32" t="n"/>
      <c r="O2037" s="30" t="n"/>
      <c r="P2037" s="32" t="n"/>
      <c r="Q2037" s="30" t="n"/>
      <c r="R2037" s="32" t="n"/>
      <c r="S2037" s="30" t="n"/>
      <c r="T2037" s="30" t="n"/>
      <c r="U2037" s="30" t="n"/>
      <c r="V2037" s="30" t="n"/>
      <c r="W2037" s="29">
        <f>IF(H2037="","",IF(H2037="Kenya","Yes","No"))</f>
        <v/>
      </c>
      <c r="X2037" s="29">
        <f>IF(B2037="","",IF(COUNTIF($B$5:$B$3004,B2037)&gt;1,"DUPLICATE","OK"))</f>
        <v/>
      </c>
      <c r="Y2037" s="29">
        <f>IF(OR(U2037="",V2037="",V2037="Excluded"),"",IF(COUNTIFS($U$5:$U$3004,U2037,$V$5:$V$3004,"&lt;&gt;"&amp;V2037,$V$5:$V$3004,"&lt;&gt;",$V$5:$V$3004,"&lt;&gt;Excluded")&gt;0,"LEAK RISK","OK"))</f>
        <v/>
      </c>
      <c r="Z2037" s="30" t="n"/>
    </row>
    <row r="2038">
      <c r="A2038" s="30" t="n"/>
      <c r="B2038" s="30" t="n"/>
      <c r="C2038" s="30" t="n"/>
      <c r="D2038" s="30" t="n"/>
      <c r="E2038" s="30" t="n"/>
      <c r="F2038" s="30" t="n"/>
      <c r="G2038" s="30" t="n"/>
      <c r="H2038" s="30" t="n"/>
      <c r="I2038" s="31" t="n"/>
      <c r="J2038" s="30" t="n"/>
      <c r="K2038" s="30" t="n"/>
      <c r="L2038" s="30" t="n"/>
      <c r="M2038" s="30" t="n"/>
      <c r="N2038" s="32" t="n"/>
      <c r="O2038" s="30" t="n"/>
      <c r="P2038" s="32" t="n"/>
      <c r="Q2038" s="30" t="n"/>
      <c r="R2038" s="32" t="n"/>
      <c r="S2038" s="30" t="n"/>
      <c r="T2038" s="30" t="n"/>
      <c r="U2038" s="30" t="n"/>
      <c r="V2038" s="30" t="n"/>
      <c r="W2038" s="29">
        <f>IF(H2038="","",IF(H2038="Kenya","Yes","No"))</f>
        <v/>
      </c>
      <c r="X2038" s="29">
        <f>IF(B2038="","",IF(COUNTIF($B$5:$B$3004,B2038)&gt;1,"DUPLICATE","OK"))</f>
        <v/>
      </c>
      <c r="Y2038" s="29">
        <f>IF(OR(U2038="",V2038="",V2038="Excluded"),"",IF(COUNTIFS($U$5:$U$3004,U2038,$V$5:$V$3004,"&lt;&gt;"&amp;V2038,$V$5:$V$3004,"&lt;&gt;",$V$5:$V$3004,"&lt;&gt;Excluded")&gt;0,"LEAK RISK","OK"))</f>
        <v/>
      </c>
      <c r="Z2038" s="30" t="n"/>
    </row>
    <row r="2039">
      <c r="A2039" s="30" t="n"/>
      <c r="B2039" s="30" t="n"/>
      <c r="C2039" s="30" t="n"/>
      <c r="D2039" s="30" t="n"/>
      <c r="E2039" s="30" t="n"/>
      <c r="F2039" s="30" t="n"/>
      <c r="G2039" s="30" t="n"/>
      <c r="H2039" s="30" t="n"/>
      <c r="I2039" s="31" t="n"/>
      <c r="J2039" s="30" t="n"/>
      <c r="K2039" s="30" t="n"/>
      <c r="L2039" s="30" t="n"/>
      <c r="M2039" s="30" t="n"/>
      <c r="N2039" s="32" t="n"/>
      <c r="O2039" s="30" t="n"/>
      <c r="P2039" s="32" t="n"/>
      <c r="Q2039" s="30" t="n"/>
      <c r="R2039" s="32" t="n"/>
      <c r="S2039" s="30" t="n"/>
      <c r="T2039" s="30" t="n"/>
      <c r="U2039" s="30" t="n"/>
      <c r="V2039" s="30" t="n"/>
      <c r="W2039" s="29">
        <f>IF(H2039="","",IF(H2039="Kenya","Yes","No"))</f>
        <v/>
      </c>
      <c r="X2039" s="29">
        <f>IF(B2039="","",IF(COUNTIF($B$5:$B$3004,B2039)&gt;1,"DUPLICATE","OK"))</f>
        <v/>
      </c>
      <c r="Y2039" s="29">
        <f>IF(OR(U2039="",V2039="",V2039="Excluded"),"",IF(COUNTIFS($U$5:$U$3004,U2039,$V$5:$V$3004,"&lt;&gt;"&amp;V2039,$V$5:$V$3004,"&lt;&gt;",$V$5:$V$3004,"&lt;&gt;Excluded")&gt;0,"LEAK RISK","OK"))</f>
        <v/>
      </c>
      <c r="Z2039" s="30" t="n"/>
    </row>
    <row r="2040">
      <c r="A2040" s="30" t="n"/>
      <c r="B2040" s="30" t="n"/>
      <c r="C2040" s="30" t="n"/>
      <c r="D2040" s="30" t="n"/>
      <c r="E2040" s="30" t="n"/>
      <c r="F2040" s="30" t="n"/>
      <c r="G2040" s="30" t="n"/>
      <c r="H2040" s="30" t="n"/>
      <c r="I2040" s="31" t="n"/>
      <c r="J2040" s="30" t="n"/>
      <c r="K2040" s="30" t="n"/>
      <c r="L2040" s="30" t="n"/>
      <c r="M2040" s="30" t="n"/>
      <c r="N2040" s="32" t="n"/>
      <c r="O2040" s="30" t="n"/>
      <c r="P2040" s="32" t="n"/>
      <c r="Q2040" s="30" t="n"/>
      <c r="R2040" s="32" t="n"/>
      <c r="S2040" s="30" t="n"/>
      <c r="T2040" s="30" t="n"/>
      <c r="U2040" s="30" t="n"/>
      <c r="V2040" s="30" t="n"/>
      <c r="W2040" s="29">
        <f>IF(H2040="","",IF(H2040="Kenya","Yes","No"))</f>
        <v/>
      </c>
      <c r="X2040" s="29">
        <f>IF(B2040="","",IF(COUNTIF($B$5:$B$3004,B2040)&gt;1,"DUPLICATE","OK"))</f>
        <v/>
      </c>
      <c r="Y2040" s="29">
        <f>IF(OR(U2040="",V2040="",V2040="Excluded"),"",IF(COUNTIFS($U$5:$U$3004,U2040,$V$5:$V$3004,"&lt;&gt;"&amp;V2040,$V$5:$V$3004,"&lt;&gt;",$V$5:$V$3004,"&lt;&gt;Excluded")&gt;0,"LEAK RISK","OK"))</f>
        <v/>
      </c>
      <c r="Z2040" s="30" t="n"/>
    </row>
    <row r="2041">
      <c r="A2041" s="30" t="n"/>
      <c r="B2041" s="30" t="n"/>
      <c r="C2041" s="30" t="n"/>
      <c r="D2041" s="30" t="n"/>
      <c r="E2041" s="30" t="n"/>
      <c r="F2041" s="30" t="n"/>
      <c r="G2041" s="30" t="n"/>
      <c r="H2041" s="30" t="n"/>
      <c r="I2041" s="31" t="n"/>
      <c r="J2041" s="30" t="n"/>
      <c r="K2041" s="30" t="n"/>
      <c r="L2041" s="30" t="n"/>
      <c r="M2041" s="30" t="n"/>
      <c r="N2041" s="32" t="n"/>
      <c r="O2041" s="30" t="n"/>
      <c r="P2041" s="32" t="n"/>
      <c r="Q2041" s="30" t="n"/>
      <c r="R2041" s="32" t="n"/>
      <c r="S2041" s="30" t="n"/>
      <c r="T2041" s="30" t="n"/>
      <c r="U2041" s="30" t="n"/>
      <c r="V2041" s="30" t="n"/>
      <c r="W2041" s="29">
        <f>IF(H2041="","",IF(H2041="Kenya","Yes","No"))</f>
        <v/>
      </c>
      <c r="X2041" s="29">
        <f>IF(B2041="","",IF(COUNTIF($B$5:$B$3004,B2041)&gt;1,"DUPLICATE","OK"))</f>
        <v/>
      </c>
      <c r="Y2041" s="29">
        <f>IF(OR(U2041="",V2041="",V2041="Excluded"),"",IF(COUNTIFS($U$5:$U$3004,U2041,$V$5:$V$3004,"&lt;&gt;"&amp;V2041,$V$5:$V$3004,"&lt;&gt;",$V$5:$V$3004,"&lt;&gt;Excluded")&gt;0,"LEAK RISK","OK"))</f>
        <v/>
      </c>
      <c r="Z2041" s="30" t="n"/>
    </row>
    <row r="2042">
      <c r="A2042" s="30" t="n"/>
      <c r="B2042" s="30" t="n"/>
      <c r="C2042" s="30" t="n"/>
      <c r="D2042" s="30" t="n"/>
      <c r="E2042" s="30" t="n"/>
      <c r="F2042" s="30" t="n"/>
      <c r="G2042" s="30" t="n"/>
      <c r="H2042" s="30" t="n"/>
      <c r="I2042" s="31" t="n"/>
      <c r="J2042" s="30" t="n"/>
      <c r="K2042" s="30" t="n"/>
      <c r="L2042" s="30" t="n"/>
      <c r="M2042" s="30" t="n"/>
      <c r="N2042" s="32" t="n"/>
      <c r="O2042" s="30" t="n"/>
      <c r="P2042" s="32" t="n"/>
      <c r="Q2042" s="30" t="n"/>
      <c r="R2042" s="32" t="n"/>
      <c r="S2042" s="30" t="n"/>
      <c r="T2042" s="30" t="n"/>
      <c r="U2042" s="30" t="n"/>
      <c r="V2042" s="30" t="n"/>
      <c r="W2042" s="29">
        <f>IF(H2042="","",IF(H2042="Kenya","Yes","No"))</f>
        <v/>
      </c>
      <c r="X2042" s="29">
        <f>IF(B2042="","",IF(COUNTIF($B$5:$B$3004,B2042)&gt;1,"DUPLICATE","OK"))</f>
        <v/>
      </c>
      <c r="Y2042" s="29">
        <f>IF(OR(U2042="",V2042="",V2042="Excluded"),"",IF(COUNTIFS($U$5:$U$3004,U2042,$V$5:$V$3004,"&lt;&gt;"&amp;V2042,$V$5:$V$3004,"&lt;&gt;",$V$5:$V$3004,"&lt;&gt;Excluded")&gt;0,"LEAK RISK","OK"))</f>
        <v/>
      </c>
      <c r="Z2042" s="30" t="n"/>
    </row>
    <row r="2043">
      <c r="A2043" s="30" t="n"/>
      <c r="B2043" s="30" t="n"/>
      <c r="C2043" s="30" t="n"/>
      <c r="D2043" s="30" t="n"/>
      <c r="E2043" s="30" t="n"/>
      <c r="F2043" s="30" t="n"/>
      <c r="G2043" s="30" t="n"/>
      <c r="H2043" s="30" t="n"/>
      <c r="I2043" s="31" t="n"/>
      <c r="J2043" s="30" t="n"/>
      <c r="K2043" s="30" t="n"/>
      <c r="L2043" s="30" t="n"/>
      <c r="M2043" s="30" t="n"/>
      <c r="N2043" s="32" t="n"/>
      <c r="O2043" s="30" t="n"/>
      <c r="P2043" s="32" t="n"/>
      <c r="Q2043" s="30" t="n"/>
      <c r="R2043" s="32" t="n"/>
      <c r="S2043" s="30" t="n"/>
      <c r="T2043" s="30" t="n"/>
      <c r="U2043" s="30" t="n"/>
      <c r="V2043" s="30" t="n"/>
      <c r="W2043" s="29">
        <f>IF(H2043="","",IF(H2043="Kenya","Yes","No"))</f>
        <v/>
      </c>
      <c r="X2043" s="29">
        <f>IF(B2043="","",IF(COUNTIF($B$5:$B$3004,B2043)&gt;1,"DUPLICATE","OK"))</f>
        <v/>
      </c>
      <c r="Y2043" s="29">
        <f>IF(OR(U2043="",V2043="",V2043="Excluded"),"",IF(COUNTIFS($U$5:$U$3004,U2043,$V$5:$V$3004,"&lt;&gt;"&amp;V2043,$V$5:$V$3004,"&lt;&gt;",$V$5:$V$3004,"&lt;&gt;Excluded")&gt;0,"LEAK RISK","OK"))</f>
        <v/>
      </c>
      <c r="Z2043" s="30" t="n"/>
    </row>
    <row r="2044">
      <c r="A2044" s="30" t="n"/>
      <c r="B2044" s="30" t="n"/>
      <c r="C2044" s="30" t="n"/>
      <c r="D2044" s="30" t="n"/>
      <c r="E2044" s="30" t="n"/>
      <c r="F2044" s="30" t="n"/>
      <c r="G2044" s="30" t="n"/>
      <c r="H2044" s="30" t="n"/>
      <c r="I2044" s="31" t="n"/>
      <c r="J2044" s="30" t="n"/>
      <c r="K2044" s="30" t="n"/>
      <c r="L2044" s="30" t="n"/>
      <c r="M2044" s="30" t="n"/>
      <c r="N2044" s="32" t="n"/>
      <c r="O2044" s="30" t="n"/>
      <c r="P2044" s="32" t="n"/>
      <c r="Q2044" s="30" t="n"/>
      <c r="R2044" s="32" t="n"/>
      <c r="S2044" s="30" t="n"/>
      <c r="T2044" s="30" t="n"/>
      <c r="U2044" s="30" t="n"/>
      <c r="V2044" s="30" t="n"/>
      <c r="W2044" s="29">
        <f>IF(H2044="","",IF(H2044="Kenya","Yes","No"))</f>
        <v/>
      </c>
      <c r="X2044" s="29">
        <f>IF(B2044="","",IF(COUNTIF($B$5:$B$3004,B2044)&gt;1,"DUPLICATE","OK"))</f>
        <v/>
      </c>
      <c r="Y2044" s="29">
        <f>IF(OR(U2044="",V2044="",V2044="Excluded"),"",IF(COUNTIFS($U$5:$U$3004,U2044,$V$5:$V$3004,"&lt;&gt;"&amp;V2044,$V$5:$V$3004,"&lt;&gt;",$V$5:$V$3004,"&lt;&gt;Excluded")&gt;0,"LEAK RISK","OK"))</f>
        <v/>
      </c>
      <c r="Z2044" s="30" t="n"/>
    </row>
    <row r="2045">
      <c r="A2045" s="30" t="n"/>
      <c r="B2045" s="30" t="n"/>
      <c r="C2045" s="30" t="n"/>
      <c r="D2045" s="30" t="n"/>
      <c r="E2045" s="30" t="n"/>
      <c r="F2045" s="30" t="n"/>
      <c r="G2045" s="30" t="n"/>
      <c r="H2045" s="30" t="n"/>
      <c r="I2045" s="31" t="n"/>
      <c r="J2045" s="30" t="n"/>
      <c r="K2045" s="30" t="n"/>
      <c r="L2045" s="30" t="n"/>
      <c r="M2045" s="30" t="n"/>
      <c r="N2045" s="32" t="n"/>
      <c r="O2045" s="30" t="n"/>
      <c r="P2045" s="32" t="n"/>
      <c r="Q2045" s="30" t="n"/>
      <c r="R2045" s="32" t="n"/>
      <c r="S2045" s="30" t="n"/>
      <c r="T2045" s="30" t="n"/>
      <c r="U2045" s="30" t="n"/>
      <c r="V2045" s="30" t="n"/>
      <c r="W2045" s="29">
        <f>IF(H2045="","",IF(H2045="Kenya","Yes","No"))</f>
        <v/>
      </c>
      <c r="X2045" s="29">
        <f>IF(B2045="","",IF(COUNTIF($B$5:$B$3004,B2045)&gt;1,"DUPLICATE","OK"))</f>
        <v/>
      </c>
      <c r="Y2045" s="29">
        <f>IF(OR(U2045="",V2045="",V2045="Excluded"),"",IF(COUNTIFS($U$5:$U$3004,U2045,$V$5:$V$3004,"&lt;&gt;"&amp;V2045,$V$5:$V$3004,"&lt;&gt;",$V$5:$V$3004,"&lt;&gt;Excluded")&gt;0,"LEAK RISK","OK"))</f>
        <v/>
      </c>
      <c r="Z2045" s="30" t="n"/>
    </row>
    <row r="2046">
      <c r="A2046" s="30" t="n"/>
      <c r="B2046" s="30" t="n"/>
      <c r="C2046" s="30" t="n"/>
      <c r="D2046" s="30" t="n"/>
      <c r="E2046" s="30" t="n"/>
      <c r="F2046" s="30" t="n"/>
      <c r="G2046" s="30" t="n"/>
      <c r="H2046" s="30" t="n"/>
      <c r="I2046" s="31" t="n"/>
      <c r="J2046" s="30" t="n"/>
      <c r="K2046" s="30" t="n"/>
      <c r="L2046" s="30" t="n"/>
      <c r="M2046" s="30" t="n"/>
      <c r="N2046" s="32" t="n"/>
      <c r="O2046" s="30" t="n"/>
      <c r="P2046" s="32" t="n"/>
      <c r="Q2046" s="30" t="n"/>
      <c r="R2046" s="32" t="n"/>
      <c r="S2046" s="30" t="n"/>
      <c r="T2046" s="30" t="n"/>
      <c r="U2046" s="30" t="n"/>
      <c r="V2046" s="30" t="n"/>
      <c r="W2046" s="29">
        <f>IF(H2046="","",IF(H2046="Kenya","Yes","No"))</f>
        <v/>
      </c>
      <c r="X2046" s="29">
        <f>IF(B2046="","",IF(COUNTIF($B$5:$B$3004,B2046)&gt;1,"DUPLICATE","OK"))</f>
        <v/>
      </c>
      <c r="Y2046" s="29">
        <f>IF(OR(U2046="",V2046="",V2046="Excluded"),"",IF(COUNTIFS($U$5:$U$3004,U2046,$V$5:$V$3004,"&lt;&gt;"&amp;V2046,$V$5:$V$3004,"&lt;&gt;",$V$5:$V$3004,"&lt;&gt;Excluded")&gt;0,"LEAK RISK","OK"))</f>
        <v/>
      </c>
      <c r="Z2046" s="30" t="n"/>
    </row>
    <row r="2047">
      <c r="A2047" s="30" t="n"/>
      <c r="B2047" s="30" t="n"/>
      <c r="C2047" s="30" t="n"/>
      <c r="D2047" s="30" t="n"/>
      <c r="E2047" s="30" t="n"/>
      <c r="F2047" s="30" t="n"/>
      <c r="G2047" s="30" t="n"/>
      <c r="H2047" s="30" t="n"/>
      <c r="I2047" s="31" t="n"/>
      <c r="J2047" s="30" t="n"/>
      <c r="K2047" s="30" t="n"/>
      <c r="L2047" s="30" t="n"/>
      <c r="M2047" s="30" t="n"/>
      <c r="N2047" s="32" t="n"/>
      <c r="O2047" s="30" t="n"/>
      <c r="P2047" s="32" t="n"/>
      <c r="Q2047" s="30" t="n"/>
      <c r="R2047" s="32" t="n"/>
      <c r="S2047" s="30" t="n"/>
      <c r="T2047" s="30" t="n"/>
      <c r="U2047" s="30" t="n"/>
      <c r="V2047" s="30" t="n"/>
      <c r="W2047" s="29">
        <f>IF(H2047="","",IF(H2047="Kenya","Yes","No"))</f>
        <v/>
      </c>
      <c r="X2047" s="29">
        <f>IF(B2047="","",IF(COUNTIF($B$5:$B$3004,B2047)&gt;1,"DUPLICATE","OK"))</f>
        <v/>
      </c>
      <c r="Y2047" s="29">
        <f>IF(OR(U2047="",V2047="",V2047="Excluded"),"",IF(COUNTIFS($U$5:$U$3004,U2047,$V$5:$V$3004,"&lt;&gt;"&amp;V2047,$V$5:$V$3004,"&lt;&gt;",$V$5:$V$3004,"&lt;&gt;Excluded")&gt;0,"LEAK RISK","OK"))</f>
        <v/>
      </c>
      <c r="Z2047" s="30" t="n"/>
    </row>
    <row r="2048">
      <c r="A2048" s="30" t="n"/>
      <c r="B2048" s="30" t="n"/>
      <c r="C2048" s="30" t="n"/>
      <c r="D2048" s="30" t="n"/>
      <c r="E2048" s="30" t="n"/>
      <c r="F2048" s="30" t="n"/>
      <c r="G2048" s="30" t="n"/>
      <c r="H2048" s="30" t="n"/>
      <c r="I2048" s="31" t="n"/>
      <c r="J2048" s="30" t="n"/>
      <c r="K2048" s="30" t="n"/>
      <c r="L2048" s="30" t="n"/>
      <c r="M2048" s="30" t="n"/>
      <c r="N2048" s="32" t="n"/>
      <c r="O2048" s="30" t="n"/>
      <c r="P2048" s="32" t="n"/>
      <c r="Q2048" s="30" t="n"/>
      <c r="R2048" s="32" t="n"/>
      <c r="S2048" s="30" t="n"/>
      <c r="T2048" s="30" t="n"/>
      <c r="U2048" s="30" t="n"/>
      <c r="V2048" s="30" t="n"/>
      <c r="W2048" s="29">
        <f>IF(H2048="","",IF(H2048="Kenya","Yes","No"))</f>
        <v/>
      </c>
      <c r="X2048" s="29">
        <f>IF(B2048="","",IF(COUNTIF($B$5:$B$3004,B2048)&gt;1,"DUPLICATE","OK"))</f>
        <v/>
      </c>
      <c r="Y2048" s="29">
        <f>IF(OR(U2048="",V2048="",V2048="Excluded"),"",IF(COUNTIFS($U$5:$U$3004,U2048,$V$5:$V$3004,"&lt;&gt;"&amp;V2048,$V$5:$V$3004,"&lt;&gt;",$V$5:$V$3004,"&lt;&gt;Excluded")&gt;0,"LEAK RISK","OK"))</f>
        <v/>
      </c>
      <c r="Z2048" s="30" t="n"/>
    </row>
    <row r="2049">
      <c r="A2049" s="30" t="n"/>
      <c r="B2049" s="30" t="n"/>
      <c r="C2049" s="30" t="n"/>
      <c r="D2049" s="30" t="n"/>
      <c r="E2049" s="30" t="n"/>
      <c r="F2049" s="30" t="n"/>
      <c r="G2049" s="30" t="n"/>
      <c r="H2049" s="30" t="n"/>
      <c r="I2049" s="31" t="n"/>
      <c r="J2049" s="30" t="n"/>
      <c r="K2049" s="30" t="n"/>
      <c r="L2049" s="30" t="n"/>
      <c r="M2049" s="30" t="n"/>
      <c r="N2049" s="32" t="n"/>
      <c r="O2049" s="30" t="n"/>
      <c r="P2049" s="32" t="n"/>
      <c r="Q2049" s="30" t="n"/>
      <c r="R2049" s="32" t="n"/>
      <c r="S2049" s="30" t="n"/>
      <c r="T2049" s="30" t="n"/>
      <c r="U2049" s="30" t="n"/>
      <c r="V2049" s="30" t="n"/>
      <c r="W2049" s="29">
        <f>IF(H2049="","",IF(H2049="Kenya","Yes","No"))</f>
        <v/>
      </c>
      <c r="X2049" s="29">
        <f>IF(B2049="","",IF(COUNTIF($B$5:$B$3004,B2049)&gt;1,"DUPLICATE","OK"))</f>
        <v/>
      </c>
      <c r="Y2049" s="29">
        <f>IF(OR(U2049="",V2049="",V2049="Excluded"),"",IF(COUNTIFS($U$5:$U$3004,U2049,$V$5:$V$3004,"&lt;&gt;"&amp;V2049,$V$5:$V$3004,"&lt;&gt;",$V$5:$V$3004,"&lt;&gt;Excluded")&gt;0,"LEAK RISK","OK"))</f>
        <v/>
      </c>
      <c r="Z2049" s="30" t="n"/>
    </row>
    <row r="2050">
      <c r="A2050" s="30" t="n"/>
      <c r="B2050" s="30" t="n"/>
      <c r="C2050" s="30" t="n"/>
      <c r="D2050" s="30" t="n"/>
      <c r="E2050" s="30" t="n"/>
      <c r="F2050" s="30" t="n"/>
      <c r="G2050" s="30" t="n"/>
      <c r="H2050" s="30" t="n"/>
      <c r="I2050" s="31" t="n"/>
      <c r="J2050" s="30" t="n"/>
      <c r="K2050" s="30" t="n"/>
      <c r="L2050" s="30" t="n"/>
      <c r="M2050" s="30" t="n"/>
      <c r="N2050" s="32" t="n"/>
      <c r="O2050" s="30" t="n"/>
      <c r="P2050" s="32" t="n"/>
      <c r="Q2050" s="30" t="n"/>
      <c r="R2050" s="32" t="n"/>
      <c r="S2050" s="30" t="n"/>
      <c r="T2050" s="30" t="n"/>
      <c r="U2050" s="30" t="n"/>
      <c r="V2050" s="30" t="n"/>
      <c r="W2050" s="29">
        <f>IF(H2050="","",IF(H2050="Kenya","Yes","No"))</f>
        <v/>
      </c>
      <c r="X2050" s="29">
        <f>IF(B2050="","",IF(COUNTIF($B$5:$B$3004,B2050)&gt;1,"DUPLICATE","OK"))</f>
        <v/>
      </c>
      <c r="Y2050" s="29">
        <f>IF(OR(U2050="",V2050="",V2050="Excluded"),"",IF(COUNTIFS($U$5:$U$3004,U2050,$V$5:$V$3004,"&lt;&gt;"&amp;V2050,$V$5:$V$3004,"&lt;&gt;",$V$5:$V$3004,"&lt;&gt;Excluded")&gt;0,"LEAK RISK","OK"))</f>
        <v/>
      </c>
      <c r="Z2050" s="30" t="n"/>
    </row>
    <row r="2051">
      <c r="A2051" s="30" t="n"/>
      <c r="B2051" s="30" t="n"/>
      <c r="C2051" s="30" t="n"/>
      <c r="D2051" s="30" t="n"/>
      <c r="E2051" s="30" t="n"/>
      <c r="F2051" s="30" t="n"/>
      <c r="G2051" s="30" t="n"/>
      <c r="H2051" s="30" t="n"/>
      <c r="I2051" s="31" t="n"/>
      <c r="J2051" s="30" t="n"/>
      <c r="K2051" s="30" t="n"/>
      <c r="L2051" s="30" t="n"/>
      <c r="M2051" s="30" t="n"/>
      <c r="N2051" s="32" t="n"/>
      <c r="O2051" s="30" t="n"/>
      <c r="P2051" s="32" t="n"/>
      <c r="Q2051" s="30" t="n"/>
      <c r="R2051" s="32" t="n"/>
      <c r="S2051" s="30" t="n"/>
      <c r="T2051" s="30" t="n"/>
      <c r="U2051" s="30" t="n"/>
      <c r="V2051" s="30" t="n"/>
      <c r="W2051" s="29">
        <f>IF(H2051="","",IF(H2051="Kenya","Yes","No"))</f>
        <v/>
      </c>
      <c r="X2051" s="29">
        <f>IF(B2051="","",IF(COUNTIF($B$5:$B$3004,B2051)&gt;1,"DUPLICATE","OK"))</f>
        <v/>
      </c>
      <c r="Y2051" s="29">
        <f>IF(OR(U2051="",V2051="",V2051="Excluded"),"",IF(COUNTIFS($U$5:$U$3004,U2051,$V$5:$V$3004,"&lt;&gt;"&amp;V2051,$V$5:$V$3004,"&lt;&gt;",$V$5:$V$3004,"&lt;&gt;Excluded")&gt;0,"LEAK RISK","OK"))</f>
        <v/>
      </c>
      <c r="Z2051" s="30" t="n"/>
    </row>
    <row r="2052">
      <c r="A2052" s="30" t="n"/>
      <c r="B2052" s="30" t="n"/>
      <c r="C2052" s="30" t="n"/>
      <c r="D2052" s="30" t="n"/>
      <c r="E2052" s="30" t="n"/>
      <c r="F2052" s="30" t="n"/>
      <c r="G2052" s="30" t="n"/>
      <c r="H2052" s="30" t="n"/>
      <c r="I2052" s="31" t="n"/>
      <c r="J2052" s="30" t="n"/>
      <c r="K2052" s="30" t="n"/>
      <c r="L2052" s="30" t="n"/>
      <c r="M2052" s="30" t="n"/>
      <c r="N2052" s="32" t="n"/>
      <c r="O2052" s="30" t="n"/>
      <c r="P2052" s="32" t="n"/>
      <c r="Q2052" s="30" t="n"/>
      <c r="R2052" s="32" t="n"/>
      <c r="S2052" s="30" t="n"/>
      <c r="T2052" s="30" t="n"/>
      <c r="U2052" s="30" t="n"/>
      <c r="V2052" s="30" t="n"/>
      <c r="W2052" s="29">
        <f>IF(H2052="","",IF(H2052="Kenya","Yes","No"))</f>
        <v/>
      </c>
      <c r="X2052" s="29">
        <f>IF(B2052="","",IF(COUNTIF($B$5:$B$3004,B2052)&gt;1,"DUPLICATE","OK"))</f>
        <v/>
      </c>
      <c r="Y2052" s="29">
        <f>IF(OR(U2052="",V2052="",V2052="Excluded"),"",IF(COUNTIFS($U$5:$U$3004,U2052,$V$5:$V$3004,"&lt;&gt;"&amp;V2052,$V$5:$V$3004,"&lt;&gt;",$V$5:$V$3004,"&lt;&gt;Excluded")&gt;0,"LEAK RISK","OK"))</f>
        <v/>
      </c>
      <c r="Z2052" s="30" t="n"/>
    </row>
    <row r="2053">
      <c r="A2053" s="30" t="n"/>
      <c r="B2053" s="30" t="n"/>
      <c r="C2053" s="30" t="n"/>
      <c r="D2053" s="30" t="n"/>
      <c r="E2053" s="30" t="n"/>
      <c r="F2053" s="30" t="n"/>
      <c r="G2053" s="30" t="n"/>
      <c r="H2053" s="30" t="n"/>
      <c r="I2053" s="31" t="n"/>
      <c r="J2053" s="30" t="n"/>
      <c r="K2053" s="30" t="n"/>
      <c r="L2053" s="30" t="n"/>
      <c r="M2053" s="30" t="n"/>
      <c r="N2053" s="32" t="n"/>
      <c r="O2053" s="30" t="n"/>
      <c r="P2053" s="32" t="n"/>
      <c r="Q2053" s="30" t="n"/>
      <c r="R2053" s="32" t="n"/>
      <c r="S2053" s="30" t="n"/>
      <c r="T2053" s="30" t="n"/>
      <c r="U2053" s="30" t="n"/>
      <c r="V2053" s="30" t="n"/>
      <c r="W2053" s="29">
        <f>IF(H2053="","",IF(H2053="Kenya","Yes","No"))</f>
        <v/>
      </c>
      <c r="X2053" s="29">
        <f>IF(B2053="","",IF(COUNTIF($B$5:$B$3004,B2053)&gt;1,"DUPLICATE","OK"))</f>
        <v/>
      </c>
      <c r="Y2053" s="29">
        <f>IF(OR(U2053="",V2053="",V2053="Excluded"),"",IF(COUNTIFS($U$5:$U$3004,U2053,$V$5:$V$3004,"&lt;&gt;"&amp;V2053,$V$5:$V$3004,"&lt;&gt;",$V$5:$V$3004,"&lt;&gt;Excluded")&gt;0,"LEAK RISK","OK"))</f>
        <v/>
      </c>
      <c r="Z2053" s="30" t="n"/>
    </row>
    <row r="2054">
      <c r="A2054" s="30" t="n"/>
      <c r="B2054" s="30" t="n"/>
      <c r="C2054" s="30" t="n"/>
      <c r="D2054" s="30" t="n"/>
      <c r="E2054" s="30" t="n"/>
      <c r="F2054" s="30" t="n"/>
      <c r="G2054" s="30" t="n"/>
      <c r="H2054" s="30" t="n"/>
      <c r="I2054" s="31" t="n"/>
      <c r="J2054" s="30" t="n"/>
      <c r="K2054" s="30" t="n"/>
      <c r="L2054" s="30" t="n"/>
      <c r="M2054" s="30" t="n"/>
      <c r="N2054" s="32" t="n"/>
      <c r="O2054" s="30" t="n"/>
      <c r="P2054" s="32" t="n"/>
      <c r="Q2054" s="30" t="n"/>
      <c r="R2054" s="32" t="n"/>
      <c r="S2054" s="30" t="n"/>
      <c r="T2054" s="30" t="n"/>
      <c r="U2054" s="30" t="n"/>
      <c r="V2054" s="30" t="n"/>
      <c r="W2054" s="29">
        <f>IF(H2054="","",IF(H2054="Kenya","Yes","No"))</f>
        <v/>
      </c>
      <c r="X2054" s="29">
        <f>IF(B2054="","",IF(COUNTIF($B$5:$B$3004,B2054)&gt;1,"DUPLICATE","OK"))</f>
        <v/>
      </c>
      <c r="Y2054" s="29">
        <f>IF(OR(U2054="",V2054="",V2054="Excluded"),"",IF(COUNTIFS($U$5:$U$3004,U2054,$V$5:$V$3004,"&lt;&gt;"&amp;V2054,$V$5:$V$3004,"&lt;&gt;",$V$5:$V$3004,"&lt;&gt;Excluded")&gt;0,"LEAK RISK","OK"))</f>
        <v/>
      </c>
      <c r="Z2054" s="30" t="n"/>
    </row>
    <row r="2055">
      <c r="A2055" s="30" t="n"/>
      <c r="B2055" s="30" t="n"/>
      <c r="C2055" s="30" t="n"/>
      <c r="D2055" s="30" t="n"/>
      <c r="E2055" s="30" t="n"/>
      <c r="F2055" s="30" t="n"/>
      <c r="G2055" s="30" t="n"/>
      <c r="H2055" s="30" t="n"/>
      <c r="I2055" s="31" t="n"/>
      <c r="J2055" s="30" t="n"/>
      <c r="K2055" s="30" t="n"/>
      <c r="L2055" s="30" t="n"/>
      <c r="M2055" s="30" t="n"/>
      <c r="N2055" s="32" t="n"/>
      <c r="O2055" s="30" t="n"/>
      <c r="P2055" s="32" t="n"/>
      <c r="Q2055" s="30" t="n"/>
      <c r="R2055" s="32" t="n"/>
      <c r="S2055" s="30" t="n"/>
      <c r="T2055" s="30" t="n"/>
      <c r="U2055" s="30" t="n"/>
      <c r="V2055" s="30" t="n"/>
      <c r="W2055" s="29">
        <f>IF(H2055="","",IF(H2055="Kenya","Yes","No"))</f>
        <v/>
      </c>
      <c r="X2055" s="29">
        <f>IF(B2055="","",IF(COUNTIF($B$5:$B$3004,B2055)&gt;1,"DUPLICATE","OK"))</f>
        <v/>
      </c>
      <c r="Y2055" s="29">
        <f>IF(OR(U2055="",V2055="",V2055="Excluded"),"",IF(COUNTIFS($U$5:$U$3004,U2055,$V$5:$V$3004,"&lt;&gt;"&amp;V2055,$V$5:$V$3004,"&lt;&gt;",$V$5:$V$3004,"&lt;&gt;Excluded")&gt;0,"LEAK RISK","OK"))</f>
        <v/>
      </c>
      <c r="Z2055" s="30" t="n"/>
    </row>
    <row r="2056">
      <c r="A2056" s="30" t="n"/>
      <c r="B2056" s="30" t="n"/>
      <c r="C2056" s="30" t="n"/>
      <c r="D2056" s="30" t="n"/>
      <c r="E2056" s="30" t="n"/>
      <c r="F2056" s="30" t="n"/>
      <c r="G2056" s="30" t="n"/>
      <c r="H2056" s="30" t="n"/>
      <c r="I2056" s="31" t="n"/>
      <c r="J2056" s="30" t="n"/>
      <c r="K2056" s="30" t="n"/>
      <c r="L2056" s="30" t="n"/>
      <c r="M2056" s="30" t="n"/>
      <c r="N2056" s="32" t="n"/>
      <c r="O2056" s="30" t="n"/>
      <c r="P2056" s="32" t="n"/>
      <c r="Q2056" s="30" t="n"/>
      <c r="R2056" s="32" t="n"/>
      <c r="S2056" s="30" t="n"/>
      <c r="T2056" s="30" t="n"/>
      <c r="U2056" s="30" t="n"/>
      <c r="V2056" s="30" t="n"/>
      <c r="W2056" s="29">
        <f>IF(H2056="","",IF(H2056="Kenya","Yes","No"))</f>
        <v/>
      </c>
      <c r="X2056" s="29">
        <f>IF(B2056="","",IF(COUNTIF($B$5:$B$3004,B2056)&gt;1,"DUPLICATE","OK"))</f>
        <v/>
      </c>
      <c r="Y2056" s="29">
        <f>IF(OR(U2056="",V2056="",V2056="Excluded"),"",IF(COUNTIFS($U$5:$U$3004,U2056,$V$5:$V$3004,"&lt;&gt;"&amp;V2056,$V$5:$V$3004,"&lt;&gt;",$V$5:$V$3004,"&lt;&gt;Excluded")&gt;0,"LEAK RISK","OK"))</f>
        <v/>
      </c>
      <c r="Z2056" s="30" t="n"/>
    </row>
    <row r="2057">
      <c r="A2057" s="30" t="n"/>
      <c r="B2057" s="30" t="n"/>
      <c r="C2057" s="30" t="n"/>
      <c r="D2057" s="30" t="n"/>
      <c r="E2057" s="30" t="n"/>
      <c r="F2057" s="30" t="n"/>
      <c r="G2057" s="30" t="n"/>
      <c r="H2057" s="30" t="n"/>
      <c r="I2057" s="31" t="n"/>
      <c r="J2057" s="30" t="n"/>
      <c r="K2057" s="30" t="n"/>
      <c r="L2057" s="30" t="n"/>
      <c r="M2057" s="30" t="n"/>
      <c r="N2057" s="32" t="n"/>
      <c r="O2057" s="30" t="n"/>
      <c r="P2057" s="32" t="n"/>
      <c r="Q2057" s="30" t="n"/>
      <c r="R2057" s="32" t="n"/>
      <c r="S2057" s="30" t="n"/>
      <c r="T2057" s="30" t="n"/>
      <c r="U2057" s="30" t="n"/>
      <c r="V2057" s="30" t="n"/>
      <c r="W2057" s="29">
        <f>IF(H2057="","",IF(H2057="Kenya","Yes","No"))</f>
        <v/>
      </c>
      <c r="X2057" s="29">
        <f>IF(B2057="","",IF(COUNTIF($B$5:$B$3004,B2057)&gt;1,"DUPLICATE","OK"))</f>
        <v/>
      </c>
      <c r="Y2057" s="29">
        <f>IF(OR(U2057="",V2057="",V2057="Excluded"),"",IF(COUNTIFS($U$5:$U$3004,U2057,$V$5:$V$3004,"&lt;&gt;"&amp;V2057,$V$5:$V$3004,"&lt;&gt;",$V$5:$V$3004,"&lt;&gt;Excluded")&gt;0,"LEAK RISK","OK"))</f>
        <v/>
      </c>
      <c r="Z2057" s="30" t="n"/>
    </row>
    <row r="2058">
      <c r="A2058" s="30" t="n"/>
      <c r="B2058" s="30" t="n"/>
      <c r="C2058" s="30" t="n"/>
      <c r="D2058" s="30" t="n"/>
      <c r="E2058" s="30" t="n"/>
      <c r="F2058" s="30" t="n"/>
      <c r="G2058" s="30" t="n"/>
      <c r="H2058" s="30" t="n"/>
      <c r="I2058" s="31" t="n"/>
      <c r="J2058" s="30" t="n"/>
      <c r="K2058" s="30" t="n"/>
      <c r="L2058" s="30" t="n"/>
      <c r="M2058" s="30" t="n"/>
      <c r="N2058" s="32" t="n"/>
      <c r="O2058" s="30" t="n"/>
      <c r="P2058" s="32" t="n"/>
      <c r="Q2058" s="30" t="n"/>
      <c r="R2058" s="32" t="n"/>
      <c r="S2058" s="30" t="n"/>
      <c r="T2058" s="30" t="n"/>
      <c r="U2058" s="30" t="n"/>
      <c r="V2058" s="30" t="n"/>
      <c r="W2058" s="29">
        <f>IF(H2058="","",IF(H2058="Kenya","Yes","No"))</f>
        <v/>
      </c>
      <c r="X2058" s="29">
        <f>IF(B2058="","",IF(COUNTIF($B$5:$B$3004,B2058)&gt;1,"DUPLICATE","OK"))</f>
        <v/>
      </c>
      <c r="Y2058" s="29">
        <f>IF(OR(U2058="",V2058="",V2058="Excluded"),"",IF(COUNTIFS($U$5:$U$3004,U2058,$V$5:$V$3004,"&lt;&gt;"&amp;V2058,$V$5:$V$3004,"&lt;&gt;",$V$5:$V$3004,"&lt;&gt;Excluded")&gt;0,"LEAK RISK","OK"))</f>
        <v/>
      </c>
      <c r="Z2058" s="30" t="n"/>
    </row>
    <row r="2059">
      <c r="A2059" s="30" t="n"/>
      <c r="B2059" s="30" t="n"/>
      <c r="C2059" s="30" t="n"/>
      <c r="D2059" s="30" t="n"/>
      <c r="E2059" s="30" t="n"/>
      <c r="F2059" s="30" t="n"/>
      <c r="G2059" s="30" t="n"/>
      <c r="H2059" s="30" t="n"/>
      <c r="I2059" s="31" t="n"/>
      <c r="J2059" s="30" t="n"/>
      <c r="K2059" s="30" t="n"/>
      <c r="L2059" s="30" t="n"/>
      <c r="M2059" s="30" t="n"/>
      <c r="N2059" s="32" t="n"/>
      <c r="O2059" s="30" t="n"/>
      <c r="P2059" s="32" t="n"/>
      <c r="Q2059" s="30" t="n"/>
      <c r="R2059" s="32" t="n"/>
      <c r="S2059" s="30" t="n"/>
      <c r="T2059" s="30" t="n"/>
      <c r="U2059" s="30" t="n"/>
      <c r="V2059" s="30" t="n"/>
      <c r="W2059" s="29">
        <f>IF(H2059="","",IF(H2059="Kenya","Yes","No"))</f>
        <v/>
      </c>
      <c r="X2059" s="29">
        <f>IF(B2059="","",IF(COUNTIF($B$5:$B$3004,B2059)&gt;1,"DUPLICATE","OK"))</f>
        <v/>
      </c>
      <c r="Y2059" s="29">
        <f>IF(OR(U2059="",V2059="",V2059="Excluded"),"",IF(COUNTIFS($U$5:$U$3004,U2059,$V$5:$V$3004,"&lt;&gt;"&amp;V2059,$V$5:$V$3004,"&lt;&gt;",$V$5:$V$3004,"&lt;&gt;Excluded")&gt;0,"LEAK RISK","OK"))</f>
        <v/>
      </c>
      <c r="Z2059" s="30" t="n"/>
    </row>
    <row r="2060">
      <c r="A2060" s="30" t="n"/>
      <c r="B2060" s="30" t="n"/>
      <c r="C2060" s="30" t="n"/>
      <c r="D2060" s="30" t="n"/>
      <c r="E2060" s="30" t="n"/>
      <c r="F2060" s="30" t="n"/>
      <c r="G2060" s="30" t="n"/>
      <c r="H2060" s="30" t="n"/>
      <c r="I2060" s="31" t="n"/>
      <c r="J2060" s="30" t="n"/>
      <c r="K2060" s="30" t="n"/>
      <c r="L2060" s="30" t="n"/>
      <c r="M2060" s="30" t="n"/>
      <c r="N2060" s="32" t="n"/>
      <c r="O2060" s="30" t="n"/>
      <c r="P2060" s="32" t="n"/>
      <c r="Q2060" s="30" t="n"/>
      <c r="R2060" s="32" t="n"/>
      <c r="S2060" s="30" t="n"/>
      <c r="T2060" s="30" t="n"/>
      <c r="U2060" s="30" t="n"/>
      <c r="V2060" s="30" t="n"/>
      <c r="W2060" s="29">
        <f>IF(H2060="","",IF(H2060="Kenya","Yes","No"))</f>
        <v/>
      </c>
      <c r="X2060" s="29">
        <f>IF(B2060="","",IF(COUNTIF($B$5:$B$3004,B2060)&gt;1,"DUPLICATE","OK"))</f>
        <v/>
      </c>
      <c r="Y2060" s="29">
        <f>IF(OR(U2060="",V2060="",V2060="Excluded"),"",IF(COUNTIFS($U$5:$U$3004,U2060,$V$5:$V$3004,"&lt;&gt;"&amp;V2060,$V$5:$V$3004,"&lt;&gt;",$V$5:$V$3004,"&lt;&gt;Excluded")&gt;0,"LEAK RISK","OK"))</f>
        <v/>
      </c>
      <c r="Z2060" s="30" t="n"/>
    </row>
    <row r="2061">
      <c r="A2061" s="30" t="n"/>
      <c r="B2061" s="30" t="n"/>
      <c r="C2061" s="30" t="n"/>
      <c r="D2061" s="30" t="n"/>
      <c r="E2061" s="30" t="n"/>
      <c r="F2061" s="30" t="n"/>
      <c r="G2061" s="30" t="n"/>
      <c r="H2061" s="30" t="n"/>
      <c r="I2061" s="31" t="n"/>
      <c r="J2061" s="30" t="n"/>
      <c r="K2061" s="30" t="n"/>
      <c r="L2061" s="30" t="n"/>
      <c r="M2061" s="30" t="n"/>
      <c r="N2061" s="32" t="n"/>
      <c r="O2061" s="30" t="n"/>
      <c r="P2061" s="32" t="n"/>
      <c r="Q2061" s="30" t="n"/>
      <c r="R2061" s="32" t="n"/>
      <c r="S2061" s="30" t="n"/>
      <c r="T2061" s="30" t="n"/>
      <c r="U2061" s="30" t="n"/>
      <c r="V2061" s="30" t="n"/>
      <c r="W2061" s="29">
        <f>IF(H2061="","",IF(H2061="Kenya","Yes","No"))</f>
        <v/>
      </c>
      <c r="X2061" s="29">
        <f>IF(B2061="","",IF(COUNTIF($B$5:$B$3004,B2061)&gt;1,"DUPLICATE","OK"))</f>
        <v/>
      </c>
      <c r="Y2061" s="29">
        <f>IF(OR(U2061="",V2061="",V2061="Excluded"),"",IF(COUNTIFS($U$5:$U$3004,U2061,$V$5:$V$3004,"&lt;&gt;"&amp;V2061,$V$5:$V$3004,"&lt;&gt;",$V$5:$V$3004,"&lt;&gt;Excluded")&gt;0,"LEAK RISK","OK"))</f>
        <v/>
      </c>
      <c r="Z2061" s="30" t="n"/>
    </row>
    <row r="2062">
      <c r="A2062" s="30" t="n"/>
      <c r="B2062" s="30" t="n"/>
      <c r="C2062" s="30" t="n"/>
      <c r="D2062" s="30" t="n"/>
      <c r="E2062" s="30" t="n"/>
      <c r="F2062" s="30" t="n"/>
      <c r="G2062" s="30" t="n"/>
      <c r="H2062" s="30" t="n"/>
      <c r="I2062" s="31" t="n"/>
      <c r="J2062" s="30" t="n"/>
      <c r="K2062" s="30" t="n"/>
      <c r="L2062" s="30" t="n"/>
      <c r="M2062" s="30" t="n"/>
      <c r="N2062" s="32" t="n"/>
      <c r="O2062" s="30" t="n"/>
      <c r="P2062" s="32" t="n"/>
      <c r="Q2062" s="30" t="n"/>
      <c r="R2062" s="32" t="n"/>
      <c r="S2062" s="30" t="n"/>
      <c r="T2062" s="30" t="n"/>
      <c r="U2062" s="30" t="n"/>
      <c r="V2062" s="30" t="n"/>
      <c r="W2062" s="29">
        <f>IF(H2062="","",IF(H2062="Kenya","Yes","No"))</f>
        <v/>
      </c>
      <c r="X2062" s="29">
        <f>IF(B2062="","",IF(COUNTIF($B$5:$B$3004,B2062)&gt;1,"DUPLICATE","OK"))</f>
        <v/>
      </c>
      <c r="Y2062" s="29">
        <f>IF(OR(U2062="",V2062="",V2062="Excluded"),"",IF(COUNTIFS($U$5:$U$3004,U2062,$V$5:$V$3004,"&lt;&gt;"&amp;V2062,$V$5:$V$3004,"&lt;&gt;",$V$5:$V$3004,"&lt;&gt;Excluded")&gt;0,"LEAK RISK","OK"))</f>
        <v/>
      </c>
      <c r="Z2062" s="30" t="n"/>
    </row>
    <row r="2063">
      <c r="A2063" s="30" t="n"/>
      <c r="B2063" s="30" t="n"/>
      <c r="C2063" s="30" t="n"/>
      <c r="D2063" s="30" t="n"/>
      <c r="E2063" s="30" t="n"/>
      <c r="F2063" s="30" t="n"/>
      <c r="G2063" s="30" t="n"/>
      <c r="H2063" s="30" t="n"/>
      <c r="I2063" s="31" t="n"/>
      <c r="J2063" s="30" t="n"/>
      <c r="K2063" s="30" t="n"/>
      <c r="L2063" s="30" t="n"/>
      <c r="M2063" s="30" t="n"/>
      <c r="N2063" s="32" t="n"/>
      <c r="O2063" s="30" t="n"/>
      <c r="P2063" s="32" t="n"/>
      <c r="Q2063" s="30" t="n"/>
      <c r="R2063" s="32" t="n"/>
      <c r="S2063" s="30" t="n"/>
      <c r="T2063" s="30" t="n"/>
      <c r="U2063" s="30" t="n"/>
      <c r="V2063" s="30" t="n"/>
      <c r="W2063" s="29">
        <f>IF(H2063="","",IF(H2063="Kenya","Yes","No"))</f>
        <v/>
      </c>
      <c r="X2063" s="29">
        <f>IF(B2063="","",IF(COUNTIF($B$5:$B$3004,B2063)&gt;1,"DUPLICATE","OK"))</f>
        <v/>
      </c>
      <c r="Y2063" s="29">
        <f>IF(OR(U2063="",V2063="",V2063="Excluded"),"",IF(COUNTIFS($U$5:$U$3004,U2063,$V$5:$V$3004,"&lt;&gt;"&amp;V2063,$V$5:$V$3004,"&lt;&gt;",$V$5:$V$3004,"&lt;&gt;Excluded")&gt;0,"LEAK RISK","OK"))</f>
        <v/>
      </c>
      <c r="Z2063" s="30" t="n"/>
    </row>
    <row r="2064">
      <c r="A2064" s="30" t="n"/>
      <c r="B2064" s="30" t="n"/>
      <c r="C2064" s="30" t="n"/>
      <c r="D2064" s="30" t="n"/>
      <c r="E2064" s="30" t="n"/>
      <c r="F2064" s="30" t="n"/>
      <c r="G2064" s="30" t="n"/>
      <c r="H2064" s="30" t="n"/>
      <c r="I2064" s="31" t="n"/>
      <c r="J2064" s="30" t="n"/>
      <c r="K2064" s="30" t="n"/>
      <c r="L2064" s="30" t="n"/>
      <c r="M2064" s="30" t="n"/>
      <c r="N2064" s="32" t="n"/>
      <c r="O2064" s="30" t="n"/>
      <c r="P2064" s="32" t="n"/>
      <c r="Q2064" s="30" t="n"/>
      <c r="R2064" s="32" t="n"/>
      <c r="S2064" s="30" t="n"/>
      <c r="T2064" s="30" t="n"/>
      <c r="U2064" s="30" t="n"/>
      <c r="V2064" s="30" t="n"/>
      <c r="W2064" s="29">
        <f>IF(H2064="","",IF(H2064="Kenya","Yes","No"))</f>
        <v/>
      </c>
      <c r="X2064" s="29">
        <f>IF(B2064="","",IF(COUNTIF($B$5:$B$3004,B2064)&gt;1,"DUPLICATE","OK"))</f>
        <v/>
      </c>
      <c r="Y2064" s="29">
        <f>IF(OR(U2064="",V2064="",V2064="Excluded"),"",IF(COUNTIFS($U$5:$U$3004,U2064,$V$5:$V$3004,"&lt;&gt;"&amp;V2064,$V$5:$V$3004,"&lt;&gt;",$V$5:$V$3004,"&lt;&gt;Excluded")&gt;0,"LEAK RISK","OK"))</f>
        <v/>
      </c>
      <c r="Z2064" s="30" t="n"/>
    </row>
    <row r="2065">
      <c r="A2065" s="30" t="n"/>
      <c r="B2065" s="30" t="n"/>
      <c r="C2065" s="30" t="n"/>
      <c r="D2065" s="30" t="n"/>
      <c r="E2065" s="30" t="n"/>
      <c r="F2065" s="30" t="n"/>
      <c r="G2065" s="30" t="n"/>
      <c r="H2065" s="30" t="n"/>
      <c r="I2065" s="31" t="n"/>
      <c r="J2065" s="30" t="n"/>
      <c r="K2065" s="30" t="n"/>
      <c r="L2065" s="30" t="n"/>
      <c r="M2065" s="30" t="n"/>
      <c r="N2065" s="32" t="n"/>
      <c r="O2065" s="30" t="n"/>
      <c r="P2065" s="32" t="n"/>
      <c r="Q2065" s="30" t="n"/>
      <c r="R2065" s="32" t="n"/>
      <c r="S2065" s="30" t="n"/>
      <c r="T2065" s="30" t="n"/>
      <c r="U2065" s="30" t="n"/>
      <c r="V2065" s="30" t="n"/>
      <c r="W2065" s="29">
        <f>IF(H2065="","",IF(H2065="Kenya","Yes","No"))</f>
        <v/>
      </c>
      <c r="X2065" s="29">
        <f>IF(B2065="","",IF(COUNTIF($B$5:$B$3004,B2065)&gt;1,"DUPLICATE","OK"))</f>
        <v/>
      </c>
      <c r="Y2065" s="29">
        <f>IF(OR(U2065="",V2065="",V2065="Excluded"),"",IF(COUNTIFS($U$5:$U$3004,U2065,$V$5:$V$3004,"&lt;&gt;"&amp;V2065,$V$5:$V$3004,"&lt;&gt;",$V$5:$V$3004,"&lt;&gt;Excluded")&gt;0,"LEAK RISK","OK"))</f>
        <v/>
      </c>
      <c r="Z2065" s="30" t="n"/>
    </row>
    <row r="2066">
      <c r="A2066" s="30" t="n"/>
      <c r="B2066" s="30" t="n"/>
      <c r="C2066" s="30" t="n"/>
      <c r="D2066" s="30" t="n"/>
      <c r="E2066" s="30" t="n"/>
      <c r="F2066" s="30" t="n"/>
      <c r="G2066" s="30" t="n"/>
      <c r="H2066" s="30" t="n"/>
      <c r="I2066" s="31" t="n"/>
      <c r="J2066" s="30" t="n"/>
      <c r="K2066" s="30" t="n"/>
      <c r="L2066" s="30" t="n"/>
      <c r="M2066" s="30" t="n"/>
      <c r="N2066" s="32" t="n"/>
      <c r="O2066" s="30" t="n"/>
      <c r="P2066" s="32" t="n"/>
      <c r="Q2066" s="30" t="n"/>
      <c r="R2066" s="32" t="n"/>
      <c r="S2066" s="30" t="n"/>
      <c r="T2066" s="30" t="n"/>
      <c r="U2066" s="30" t="n"/>
      <c r="V2066" s="30" t="n"/>
      <c r="W2066" s="29">
        <f>IF(H2066="","",IF(H2066="Kenya","Yes","No"))</f>
        <v/>
      </c>
      <c r="X2066" s="29">
        <f>IF(B2066="","",IF(COUNTIF($B$5:$B$3004,B2066)&gt;1,"DUPLICATE","OK"))</f>
        <v/>
      </c>
      <c r="Y2066" s="29">
        <f>IF(OR(U2066="",V2066="",V2066="Excluded"),"",IF(COUNTIFS($U$5:$U$3004,U2066,$V$5:$V$3004,"&lt;&gt;"&amp;V2066,$V$5:$V$3004,"&lt;&gt;",$V$5:$V$3004,"&lt;&gt;Excluded")&gt;0,"LEAK RISK","OK"))</f>
        <v/>
      </c>
      <c r="Z2066" s="30" t="n"/>
    </row>
    <row r="2067">
      <c r="A2067" s="30" t="n"/>
      <c r="B2067" s="30" t="n"/>
      <c r="C2067" s="30" t="n"/>
      <c r="D2067" s="30" t="n"/>
      <c r="E2067" s="30" t="n"/>
      <c r="F2067" s="30" t="n"/>
      <c r="G2067" s="30" t="n"/>
      <c r="H2067" s="30" t="n"/>
      <c r="I2067" s="31" t="n"/>
      <c r="J2067" s="30" t="n"/>
      <c r="K2067" s="30" t="n"/>
      <c r="L2067" s="30" t="n"/>
      <c r="M2067" s="30" t="n"/>
      <c r="N2067" s="32" t="n"/>
      <c r="O2067" s="30" t="n"/>
      <c r="P2067" s="32" t="n"/>
      <c r="Q2067" s="30" t="n"/>
      <c r="R2067" s="32" t="n"/>
      <c r="S2067" s="30" t="n"/>
      <c r="T2067" s="30" t="n"/>
      <c r="U2067" s="30" t="n"/>
      <c r="V2067" s="30" t="n"/>
      <c r="W2067" s="29">
        <f>IF(H2067="","",IF(H2067="Kenya","Yes","No"))</f>
        <v/>
      </c>
      <c r="X2067" s="29">
        <f>IF(B2067="","",IF(COUNTIF($B$5:$B$3004,B2067)&gt;1,"DUPLICATE","OK"))</f>
        <v/>
      </c>
      <c r="Y2067" s="29">
        <f>IF(OR(U2067="",V2067="",V2067="Excluded"),"",IF(COUNTIFS($U$5:$U$3004,U2067,$V$5:$V$3004,"&lt;&gt;"&amp;V2067,$V$5:$V$3004,"&lt;&gt;",$V$5:$V$3004,"&lt;&gt;Excluded")&gt;0,"LEAK RISK","OK"))</f>
        <v/>
      </c>
      <c r="Z2067" s="30" t="n"/>
    </row>
    <row r="2068">
      <c r="A2068" s="30" t="n"/>
      <c r="B2068" s="30" t="n"/>
      <c r="C2068" s="30" t="n"/>
      <c r="D2068" s="30" t="n"/>
      <c r="E2068" s="30" t="n"/>
      <c r="F2068" s="30" t="n"/>
      <c r="G2068" s="30" t="n"/>
      <c r="H2068" s="30" t="n"/>
      <c r="I2068" s="31" t="n"/>
      <c r="J2068" s="30" t="n"/>
      <c r="K2068" s="30" t="n"/>
      <c r="L2068" s="30" t="n"/>
      <c r="M2068" s="30" t="n"/>
      <c r="N2068" s="32" t="n"/>
      <c r="O2068" s="30" t="n"/>
      <c r="P2068" s="32" t="n"/>
      <c r="Q2068" s="30" t="n"/>
      <c r="R2068" s="32" t="n"/>
      <c r="S2068" s="30" t="n"/>
      <c r="T2068" s="30" t="n"/>
      <c r="U2068" s="30" t="n"/>
      <c r="V2068" s="30" t="n"/>
      <c r="W2068" s="29">
        <f>IF(H2068="","",IF(H2068="Kenya","Yes","No"))</f>
        <v/>
      </c>
      <c r="X2068" s="29">
        <f>IF(B2068="","",IF(COUNTIF($B$5:$B$3004,B2068)&gt;1,"DUPLICATE","OK"))</f>
        <v/>
      </c>
      <c r="Y2068" s="29">
        <f>IF(OR(U2068="",V2068="",V2068="Excluded"),"",IF(COUNTIFS($U$5:$U$3004,U2068,$V$5:$V$3004,"&lt;&gt;"&amp;V2068,$V$5:$V$3004,"&lt;&gt;",$V$5:$V$3004,"&lt;&gt;Excluded")&gt;0,"LEAK RISK","OK"))</f>
        <v/>
      </c>
      <c r="Z2068" s="30" t="n"/>
    </row>
    <row r="2069">
      <c r="A2069" s="30" t="n"/>
      <c r="B2069" s="30" t="n"/>
      <c r="C2069" s="30" t="n"/>
      <c r="D2069" s="30" t="n"/>
      <c r="E2069" s="30" t="n"/>
      <c r="F2069" s="30" t="n"/>
      <c r="G2069" s="30" t="n"/>
      <c r="H2069" s="30" t="n"/>
      <c r="I2069" s="31" t="n"/>
      <c r="J2069" s="30" t="n"/>
      <c r="K2069" s="30" t="n"/>
      <c r="L2069" s="30" t="n"/>
      <c r="M2069" s="30" t="n"/>
      <c r="N2069" s="32" t="n"/>
      <c r="O2069" s="30" t="n"/>
      <c r="P2069" s="32" t="n"/>
      <c r="Q2069" s="30" t="n"/>
      <c r="R2069" s="32" t="n"/>
      <c r="S2069" s="30" t="n"/>
      <c r="T2069" s="30" t="n"/>
      <c r="U2069" s="30" t="n"/>
      <c r="V2069" s="30" t="n"/>
      <c r="W2069" s="29">
        <f>IF(H2069="","",IF(H2069="Kenya","Yes","No"))</f>
        <v/>
      </c>
      <c r="X2069" s="29">
        <f>IF(B2069="","",IF(COUNTIF($B$5:$B$3004,B2069)&gt;1,"DUPLICATE","OK"))</f>
        <v/>
      </c>
      <c r="Y2069" s="29">
        <f>IF(OR(U2069="",V2069="",V2069="Excluded"),"",IF(COUNTIFS($U$5:$U$3004,U2069,$V$5:$V$3004,"&lt;&gt;"&amp;V2069,$V$5:$V$3004,"&lt;&gt;",$V$5:$V$3004,"&lt;&gt;Excluded")&gt;0,"LEAK RISK","OK"))</f>
        <v/>
      </c>
      <c r="Z2069" s="30" t="n"/>
    </row>
    <row r="2070">
      <c r="A2070" s="30" t="n"/>
      <c r="B2070" s="30" t="n"/>
      <c r="C2070" s="30" t="n"/>
      <c r="D2070" s="30" t="n"/>
      <c r="E2070" s="30" t="n"/>
      <c r="F2070" s="30" t="n"/>
      <c r="G2070" s="30" t="n"/>
      <c r="H2070" s="30" t="n"/>
      <c r="I2070" s="31" t="n"/>
      <c r="J2070" s="30" t="n"/>
      <c r="K2070" s="30" t="n"/>
      <c r="L2070" s="30" t="n"/>
      <c r="M2070" s="30" t="n"/>
      <c r="N2070" s="32" t="n"/>
      <c r="O2070" s="30" t="n"/>
      <c r="P2070" s="32" t="n"/>
      <c r="Q2070" s="30" t="n"/>
      <c r="R2070" s="32" t="n"/>
      <c r="S2070" s="30" t="n"/>
      <c r="T2070" s="30" t="n"/>
      <c r="U2070" s="30" t="n"/>
      <c r="V2070" s="30" t="n"/>
      <c r="W2070" s="29">
        <f>IF(H2070="","",IF(H2070="Kenya","Yes","No"))</f>
        <v/>
      </c>
      <c r="X2070" s="29">
        <f>IF(B2070="","",IF(COUNTIF($B$5:$B$3004,B2070)&gt;1,"DUPLICATE","OK"))</f>
        <v/>
      </c>
      <c r="Y2070" s="29">
        <f>IF(OR(U2070="",V2070="",V2070="Excluded"),"",IF(COUNTIFS($U$5:$U$3004,U2070,$V$5:$V$3004,"&lt;&gt;"&amp;V2070,$V$5:$V$3004,"&lt;&gt;",$V$5:$V$3004,"&lt;&gt;Excluded")&gt;0,"LEAK RISK","OK"))</f>
        <v/>
      </c>
      <c r="Z2070" s="30" t="n"/>
    </row>
    <row r="2071">
      <c r="A2071" s="30" t="n"/>
      <c r="B2071" s="30" t="n"/>
      <c r="C2071" s="30" t="n"/>
      <c r="D2071" s="30" t="n"/>
      <c r="E2071" s="30" t="n"/>
      <c r="F2071" s="30" t="n"/>
      <c r="G2071" s="30" t="n"/>
      <c r="H2071" s="30" t="n"/>
      <c r="I2071" s="31" t="n"/>
      <c r="J2071" s="30" t="n"/>
      <c r="K2071" s="30" t="n"/>
      <c r="L2071" s="30" t="n"/>
      <c r="M2071" s="30" t="n"/>
      <c r="N2071" s="32" t="n"/>
      <c r="O2071" s="30" t="n"/>
      <c r="P2071" s="32" t="n"/>
      <c r="Q2071" s="30" t="n"/>
      <c r="R2071" s="32" t="n"/>
      <c r="S2071" s="30" t="n"/>
      <c r="T2071" s="30" t="n"/>
      <c r="U2071" s="30" t="n"/>
      <c r="V2071" s="30" t="n"/>
      <c r="W2071" s="29">
        <f>IF(H2071="","",IF(H2071="Kenya","Yes","No"))</f>
        <v/>
      </c>
      <c r="X2071" s="29">
        <f>IF(B2071="","",IF(COUNTIF($B$5:$B$3004,B2071)&gt;1,"DUPLICATE","OK"))</f>
        <v/>
      </c>
      <c r="Y2071" s="29">
        <f>IF(OR(U2071="",V2071="",V2071="Excluded"),"",IF(COUNTIFS($U$5:$U$3004,U2071,$V$5:$V$3004,"&lt;&gt;"&amp;V2071,$V$5:$V$3004,"&lt;&gt;",$V$5:$V$3004,"&lt;&gt;Excluded")&gt;0,"LEAK RISK","OK"))</f>
        <v/>
      </c>
      <c r="Z2071" s="30" t="n"/>
    </row>
    <row r="2072">
      <c r="A2072" s="30" t="n"/>
      <c r="B2072" s="30" t="n"/>
      <c r="C2072" s="30" t="n"/>
      <c r="D2072" s="30" t="n"/>
      <c r="E2072" s="30" t="n"/>
      <c r="F2072" s="30" t="n"/>
      <c r="G2072" s="30" t="n"/>
      <c r="H2072" s="30" t="n"/>
      <c r="I2072" s="31" t="n"/>
      <c r="J2072" s="30" t="n"/>
      <c r="K2072" s="30" t="n"/>
      <c r="L2072" s="30" t="n"/>
      <c r="M2072" s="30" t="n"/>
      <c r="N2072" s="32" t="n"/>
      <c r="O2072" s="30" t="n"/>
      <c r="P2072" s="32" t="n"/>
      <c r="Q2072" s="30" t="n"/>
      <c r="R2072" s="32" t="n"/>
      <c r="S2072" s="30" t="n"/>
      <c r="T2072" s="30" t="n"/>
      <c r="U2072" s="30" t="n"/>
      <c r="V2072" s="30" t="n"/>
      <c r="W2072" s="29">
        <f>IF(H2072="","",IF(H2072="Kenya","Yes","No"))</f>
        <v/>
      </c>
      <c r="X2072" s="29">
        <f>IF(B2072="","",IF(COUNTIF($B$5:$B$3004,B2072)&gt;1,"DUPLICATE","OK"))</f>
        <v/>
      </c>
      <c r="Y2072" s="29">
        <f>IF(OR(U2072="",V2072="",V2072="Excluded"),"",IF(COUNTIFS($U$5:$U$3004,U2072,$V$5:$V$3004,"&lt;&gt;"&amp;V2072,$V$5:$V$3004,"&lt;&gt;",$V$5:$V$3004,"&lt;&gt;Excluded")&gt;0,"LEAK RISK","OK"))</f>
        <v/>
      </c>
      <c r="Z2072" s="30" t="n"/>
    </row>
    <row r="2073">
      <c r="A2073" s="30" t="n"/>
      <c r="B2073" s="30" t="n"/>
      <c r="C2073" s="30" t="n"/>
      <c r="D2073" s="30" t="n"/>
      <c r="E2073" s="30" t="n"/>
      <c r="F2073" s="30" t="n"/>
      <c r="G2073" s="30" t="n"/>
      <c r="H2073" s="30" t="n"/>
      <c r="I2073" s="31" t="n"/>
      <c r="J2073" s="30" t="n"/>
      <c r="K2073" s="30" t="n"/>
      <c r="L2073" s="30" t="n"/>
      <c r="M2073" s="30" t="n"/>
      <c r="N2073" s="32" t="n"/>
      <c r="O2073" s="30" t="n"/>
      <c r="P2073" s="32" t="n"/>
      <c r="Q2073" s="30" t="n"/>
      <c r="R2073" s="32" t="n"/>
      <c r="S2073" s="30" t="n"/>
      <c r="T2073" s="30" t="n"/>
      <c r="U2073" s="30" t="n"/>
      <c r="V2073" s="30" t="n"/>
      <c r="W2073" s="29">
        <f>IF(H2073="","",IF(H2073="Kenya","Yes","No"))</f>
        <v/>
      </c>
      <c r="X2073" s="29">
        <f>IF(B2073="","",IF(COUNTIF($B$5:$B$3004,B2073)&gt;1,"DUPLICATE","OK"))</f>
        <v/>
      </c>
      <c r="Y2073" s="29">
        <f>IF(OR(U2073="",V2073="",V2073="Excluded"),"",IF(COUNTIFS($U$5:$U$3004,U2073,$V$5:$V$3004,"&lt;&gt;"&amp;V2073,$V$5:$V$3004,"&lt;&gt;",$V$5:$V$3004,"&lt;&gt;Excluded")&gt;0,"LEAK RISK","OK"))</f>
        <v/>
      </c>
      <c r="Z2073" s="30" t="n"/>
    </row>
    <row r="2074">
      <c r="A2074" s="30" t="n"/>
      <c r="B2074" s="30" t="n"/>
      <c r="C2074" s="30" t="n"/>
      <c r="D2074" s="30" t="n"/>
      <c r="E2074" s="30" t="n"/>
      <c r="F2074" s="30" t="n"/>
      <c r="G2074" s="30" t="n"/>
      <c r="H2074" s="30" t="n"/>
      <c r="I2074" s="31" t="n"/>
      <c r="J2074" s="30" t="n"/>
      <c r="K2074" s="30" t="n"/>
      <c r="L2074" s="30" t="n"/>
      <c r="M2074" s="30" t="n"/>
      <c r="N2074" s="32" t="n"/>
      <c r="O2074" s="30" t="n"/>
      <c r="P2074" s="32" t="n"/>
      <c r="Q2074" s="30" t="n"/>
      <c r="R2074" s="32" t="n"/>
      <c r="S2074" s="30" t="n"/>
      <c r="T2074" s="30" t="n"/>
      <c r="U2074" s="30" t="n"/>
      <c r="V2074" s="30" t="n"/>
      <c r="W2074" s="29">
        <f>IF(H2074="","",IF(H2074="Kenya","Yes","No"))</f>
        <v/>
      </c>
      <c r="X2074" s="29">
        <f>IF(B2074="","",IF(COUNTIF($B$5:$B$3004,B2074)&gt;1,"DUPLICATE","OK"))</f>
        <v/>
      </c>
      <c r="Y2074" s="29">
        <f>IF(OR(U2074="",V2074="",V2074="Excluded"),"",IF(COUNTIFS($U$5:$U$3004,U2074,$V$5:$V$3004,"&lt;&gt;"&amp;V2074,$V$5:$V$3004,"&lt;&gt;",$V$5:$V$3004,"&lt;&gt;Excluded")&gt;0,"LEAK RISK","OK"))</f>
        <v/>
      </c>
      <c r="Z2074" s="30" t="n"/>
    </row>
    <row r="2075">
      <c r="A2075" s="30" t="n"/>
      <c r="B2075" s="30" t="n"/>
      <c r="C2075" s="30" t="n"/>
      <c r="D2075" s="30" t="n"/>
      <c r="E2075" s="30" t="n"/>
      <c r="F2075" s="30" t="n"/>
      <c r="G2075" s="30" t="n"/>
      <c r="H2075" s="30" t="n"/>
      <c r="I2075" s="31" t="n"/>
      <c r="J2075" s="30" t="n"/>
      <c r="K2075" s="30" t="n"/>
      <c r="L2075" s="30" t="n"/>
      <c r="M2075" s="30" t="n"/>
      <c r="N2075" s="32" t="n"/>
      <c r="O2075" s="30" t="n"/>
      <c r="P2075" s="32" t="n"/>
      <c r="Q2075" s="30" t="n"/>
      <c r="R2075" s="32" t="n"/>
      <c r="S2075" s="30" t="n"/>
      <c r="T2075" s="30" t="n"/>
      <c r="U2075" s="30" t="n"/>
      <c r="V2075" s="30" t="n"/>
      <c r="W2075" s="29">
        <f>IF(H2075="","",IF(H2075="Kenya","Yes","No"))</f>
        <v/>
      </c>
      <c r="X2075" s="29">
        <f>IF(B2075="","",IF(COUNTIF($B$5:$B$3004,B2075)&gt;1,"DUPLICATE","OK"))</f>
        <v/>
      </c>
      <c r="Y2075" s="29">
        <f>IF(OR(U2075="",V2075="",V2075="Excluded"),"",IF(COUNTIFS($U$5:$U$3004,U2075,$V$5:$V$3004,"&lt;&gt;"&amp;V2075,$V$5:$V$3004,"&lt;&gt;",$V$5:$V$3004,"&lt;&gt;Excluded")&gt;0,"LEAK RISK","OK"))</f>
        <v/>
      </c>
      <c r="Z2075" s="30" t="n"/>
    </row>
    <row r="2076">
      <c r="A2076" s="30" t="n"/>
      <c r="B2076" s="30" t="n"/>
      <c r="C2076" s="30" t="n"/>
      <c r="D2076" s="30" t="n"/>
      <c r="E2076" s="30" t="n"/>
      <c r="F2076" s="30" t="n"/>
      <c r="G2076" s="30" t="n"/>
      <c r="H2076" s="30" t="n"/>
      <c r="I2076" s="31" t="n"/>
      <c r="J2076" s="30" t="n"/>
      <c r="K2076" s="30" t="n"/>
      <c r="L2076" s="30" t="n"/>
      <c r="M2076" s="30" t="n"/>
      <c r="N2076" s="32" t="n"/>
      <c r="O2076" s="30" t="n"/>
      <c r="P2076" s="32" t="n"/>
      <c r="Q2076" s="30" t="n"/>
      <c r="R2076" s="32" t="n"/>
      <c r="S2076" s="30" t="n"/>
      <c r="T2076" s="30" t="n"/>
      <c r="U2076" s="30" t="n"/>
      <c r="V2076" s="30" t="n"/>
      <c r="W2076" s="29">
        <f>IF(H2076="","",IF(H2076="Kenya","Yes","No"))</f>
        <v/>
      </c>
      <c r="X2076" s="29">
        <f>IF(B2076="","",IF(COUNTIF($B$5:$B$3004,B2076)&gt;1,"DUPLICATE","OK"))</f>
        <v/>
      </c>
      <c r="Y2076" s="29">
        <f>IF(OR(U2076="",V2076="",V2076="Excluded"),"",IF(COUNTIFS($U$5:$U$3004,U2076,$V$5:$V$3004,"&lt;&gt;"&amp;V2076,$V$5:$V$3004,"&lt;&gt;",$V$5:$V$3004,"&lt;&gt;Excluded")&gt;0,"LEAK RISK","OK"))</f>
        <v/>
      </c>
      <c r="Z2076" s="30" t="n"/>
    </row>
    <row r="2077">
      <c r="A2077" s="30" t="n"/>
      <c r="B2077" s="30" t="n"/>
      <c r="C2077" s="30" t="n"/>
      <c r="D2077" s="30" t="n"/>
      <c r="E2077" s="30" t="n"/>
      <c r="F2077" s="30" t="n"/>
      <c r="G2077" s="30" t="n"/>
      <c r="H2077" s="30" t="n"/>
      <c r="I2077" s="31" t="n"/>
      <c r="J2077" s="30" t="n"/>
      <c r="K2077" s="30" t="n"/>
      <c r="L2077" s="30" t="n"/>
      <c r="M2077" s="30" t="n"/>
      <c r="N2077" s="32" t="n"/>
      <c r="O2077" s="30" t="n"/>
      <c r="P2077" s="32" t="n"/>
      <c r="Q2077" s="30" t="n"/>
      <c r="R2077" s="32" t="n"/>
      <c r="S2077" s="30" t="n"/>
      <c r="T2077" s="30" t="n"/>
      <c r="U2077" s="30" t="n"/>
      <c r="V2077" s="30" t="n"/>
      <c r="W2077" s="29">
        <f>IF(H2077="","",IF(H2077="Kenya","Yes","No"))</f>
        <v/>
      </c>
      <c r="X2077" s="29">
        <f>IF(B2077="","",IF(COUNTIF($B$5:$B$3004,B2077)&gt;1,"DUPLICATE","OK"))</f>
        <v/>
      </c>
      <c r="Y2077" s="29">
        <f>IF(OR(U2077="",V2077="",V2077="Excluded"),"",IF(COUNTIFS($U$5:$U$3004,U2077,$V$5:$V$3004,"&lt;&gt;"&amp;V2077,$V$5:$V$3004,"&lt;&gt;",$V$5:$V$3004,"&lt;&gt;Excluded")&gt;0,"LEAK RISK","OK"))</f>
        <v/>
      </c>
      <c r="Z2077" s="30" t="n"/>
    </row>
    <row r="2078">
      <c r="A2078" s="30" t="n"/>
      <c r="B2078" s="30" t="n"/>
      <c r="C2078" s="30" t="n"/>
      <c r="D2078" s="30" t="n"/>
      <c r="E2078" s="30" t="n"/>
      <c r="F2078" s="30" t="n"/>
      <c r="G2078" s="30" t="n"/>
      <c r="H2078" s="30" t="n"/>
      <c r="I2078" s="31" t="n"/>
      <c r="J2078" s="30" t="n"/>
      <c r="K2078" s="30" t="n"/>
      <c r="L2078" s="30" t="n"/>
      <c r="M2078" s="30" t="n"/>
      <c r="N2078" s="32" t="n"/>
      <c r="O2078" s="30" t="n"/>
      <c r="P2078" s="32" t="n"/>
      <c r="Q2078" s="30" t="n"/>
      <c r="R2078" s="32" t="n"/>
      <c r="S2078" s="30" t="n"/>
      <c r="T2078" s="30" t="n"/>
      <c r="U2078" s="30" t="n"/>
      <c r="V2078" s="30" t="n"/>
      <c r="W2078" s="29">
        <f>IF(H2078="","",IF(H2078="Kenya","Yes","No"))</f>
        <v/>
      </c>
      <c r="X2078" s="29">
        <f>IF(B2078="","",IF(COUNTIF($B$5:$B$3004,B2078)&gt;1,"DUPLICATE","OK"))</f>
        <v/>
      </c>
      <c r="Y2078" s="29">
        <f>IF(OR(U2078="",V2078="",V2078="Excluded"),"",IF(COUNTIFS($U$5:$U$3004,U2078,$V$5:$V$3004,"&lt;&gt;"&amp;V2078,$V$5:$V$3004,"&lt;&gt;",$V$5:$V$3004,"&lt;&gt;Excluded")&gt;0,"LEAK RISK","OK"))</f>
        <v/>
      </c>
      <c r="Z2078" s="30" t="n"/>
    </row>
    <row r="2079">
      <c r="A2079" s="30" t="n"/>
      <c r="B2079" s="30" t="n"/>
      <c r="C2079" s="30" t="n"/>
      <c r="D2079" s="30" t="n"/>
      <c r="E2079" s="30" t="n"/>
      <c r="F2079" s="30" t="n"/>
      <c r="G2079" s="30" t="n"/>
      <c r="H2079" s="30" t="n"/>
      <c r="I2079" s="31" t="n"/>
      <c r="J2079" s="30" t="n"/>
      <c r="K2079" s="30" t="n"/>
      <c r="L2079" s="30" t="n"/>
      <c r="M2079" s="30" t="n"/>
      <c r="N2079" s="32" t="n"/>
      <c r="O2079" s="30" t="n"/>
      <c r="P2079" s="32" t="n"/>
      <c r="Q2079" s="30" t="n"/>
      <c r="R2079" s="32" t="n"/>
      <c r="S2079" s="30" t="n"/>
      <c r="T2079" s="30" t="n"/>
      <c r="U2079" s="30" t="n"/>
      <c r="V2079" s="30" t="n"/>
      <c r="W2079" s="29">
        <f>IF(H2079="","",IF(H2079="Kenya","Yes","No"))</f>
        <v/>
      </c>
      <c r="X2079" s="29">
        <f>IF(B2079="","",IF(COUNTIF($B$5:$B$3004,B2079)&gt;1,"DUPLICATE","OK"))</f>
        <v/>
      </c>
      <c r="Y2079" s="29">
        <f>IF(OR(U2079="",V2079="",V2079="Excluded"),"",IF(COUNTIFS($U$5:$U$3004,U2079,$V$5:$V$3004,"&lt;&gt;"&amp;V2079,$V$5:$V$3004,"&lt;&gt;",$V$5:$V$3004,"&lt;&gt;Excluded")&gt;0,"LEAK RISK","OK"))</f>
        <v/>
      </c>
      <c r="Z2079" s="30" t="n"/>
    </row>
    <row r="2080">
      <c r="A2080" s="30" t="n"/>
      <c r="B2080" s="30" t="n"/>
      <c r="C2080" s="30" t="n"/>
      <c r="D2080" s="30" t="n"/>
      <c r="E2080" s="30" t="n"/>
      <c r="F2080" s="30" t="n"/>
      <c r="G2080" s="30" t="n"/>
      <c r="H2080" s="30" t="n"/>
      <c r="I2080" s="31" t="n"/>
      <c r="J2080" s="30" t="n"/>
      <c r="K2080" s="30" t="n"/>
      <c r="L2080" s="30" t="n"/>
      <c r="M2080" s="30" t="n"/>
      <c r="N2080" s="32" t="n"/>
      <c r="O2080" s="30" t="n"/>
      <c r="P2080" s="32" t="n"/>
      <c r="Q2080" s="30" t="n"/>
      <c r="R2080" s="32" t="n"/>
      <c r="S2080" s="30" t="n"/>
      <c r="T2080" s="30" t="n"/>
      <c r="U2080" s="30" t="n"/>
      <c r="V2080" s="30" t="n"/>
      <c r="W2080" s="29">
        <f>IF(H2080="","",IF(H2080="Kenya","Yes","No"))</f>
        <v/>
      </c>
      <c r="X2080" s="29">
        <f>IF(B2080="","",IF(COUNTIF($B$5:$B$3004,B2080)&gt;1,"DUPLICATE","OK"))</f>
        <v/>
      </c>
      <c r="Y2080" s="29">
        <f>IF(OR(U2080="",V2080="",V2080="Excluded"),"",IF(COUNTIFS($U$5:$U$3004,U2080,$V$5:$V$3004,"&lt;&gt;"&amp;V2080,$V$5:$V$3004,"&lt;&gt;",$V$5:$V$3004,"&lt;&gt;Excluded")&gt;0,"LEAK RISK","OK"))</f>
        <v/>
      </c>
      <c r="Z2080" s="30" t="n"/>
    </row>
    <row r="2081">
      <c r="A2081" s="30" t="n"/>
      <c r="B2081" s="30" t="n"/>
      <c r="C2081" s="30" t="n"/>
      <c r="D2081" s="30" t="n"/>
      <c r="E2081" s="30" t="n"/>
      <c r="F2081" s="30" t="n"/>
      <c r="G2081" s="30" t="n"/>
      <c r="H2081" s="30" t="n"/>
      <c r="I2081" s="31" t="n"/>
      <c r="J2081" s="30" t="n"/>
      <c r="K2081" s="30" t="n"/>
      <c r="L2081" s="30" t="n"/>
      <c r="M2081" s="30" t="n"/>
      <c r="N2081" s="32" t="n"/>
      <c r="O2081" s="30" t="n"/>
      <c r="P2081" s="32" t="n"/>
      <c r="Q2081" s="30" t="n"/>
      <c r="R2081" s="32" t="n"/>
      <c r="S2081" s="30" t="n"/>
      <c r="T2081" s="30" t="n"/>
      <c r="U2081" s="30" t="n"/>
      <c r="V2081" s="30" t="n"/>
      <c r="W2081" s="29">
        <f>IF(H2081="","",IF(H2081="Kenya","Yes","No"))</f>
        <v/>
      </c>
      <c r="X2081" s="29">
        <f>IF(B2081="","",IF(COUNTIF($B$5:$B$3004,B2081)&gt;1,"DUPLICATE","OK"))</f>
        <v/>
      </c>
      <c r="Y2081" s="29">
        <f>IF(OR(U2081="",V2081="",V2081="Excluded"),"",IF(COUNTIFS($U$5:$U$3004,U2081,$V$5:$V$3004,"&lt;&gt;"&amp;V2081,$V$5:$V$3004,"&lt;&gt;",$V$5:$V$3004,"&lt;&gt;Excluded")&gt;0,"LEAK RISK","OK"))</f>
        <v/>
      </c>
      <c r="Z2081" s="30" t="n"/>
    </row>
    <row r="2082">
      <c r="A2082" s="30" t="n"/>
      <c r="B2082" s="30" t="n"/>
      <c r="C2082" s="30" t="n"/>
      <c r="D2082" s="30" t="n"/>
      <c r="E2082" s="30" t="n"/>
      <c r="F2082" s="30" t="n"/>
      <c r="G2082" s="30" t="n"/>
      <c r="H2082" s="30" t="n"/>
      <c r="I2082" s="31" t="n"/>
      <c r="J2082" s="30" t="n"/>
      <c r="K2082" s="30" t="n"/>
      <c r="L2082" s="30" t="n"/>
      <c r="M2082" s="30" t="n"/>
      <c r="N2082" s="32" t="n"/>
      <c r="O2082" s="30" t="n"/>
      <c r="P2082" s="32" t="n"/>
      <c r="Q2082" s="30" t="n"/>
      <c r="R2082" s="32" t="n"/>
      <c r="S2082" s="30" t="n"/>
      <c r="T2082" s="30" t="n"/>
      <c r="U2082" s="30" t="n"/>
      <c r="V2082" s="30" t="n"/>
      <c r="W2082" s="29">
        <f>IF(H2082="","",IF(H2082="Kenya","Yes","No"))</f>
        <v/>
      </c>
      <c r="X2082" s="29">
        <f>IF(B2082="","",IF(COUNTIF($B$5:$B$3004,B2082)&gt;1,"DUPLICATE","OK"))</f>
        <v/>
      </c>
      <c r="Y2082" s="29">
        <f>IF(OR(U2082="",V2082="",V2082="Excluded"),"",IF(COUNTIFS($U$5:$U$3004,U2082,$V$5:$V$3004,"&lt;&gt;"&amp;V2082,$V$5:$V$3004,"&lt;&gt;",$V$5:$V$3004,"&lt;&gt;Excluded")&gt;0,"LEAK RISK","OK"))</f>
        <v/>
      </c>
      <c r="Z2082" s="30" t="n"/>
    </row>
    <row r="2083">
      <c r="A2083" s="30" t="n"/>
      <c r="B2083" s="30" t="n"/>
      <c r="C2083" s="30" t="n"/>
      <c r="D2083" s="30" t="n"/>
      <c r="E2083" s="30" t="n"/>
      <c r="F2083" s="30" t="n"/>
      <c r="G2083" s="30" t="n"/>
      <c r="H2083" s="30" t="n"/>
      <c r="I2083" s="31" t="n"/>
      <c r="J2083" s="30" t="n"/>
      <c r="K2083" s="30" t="n"/>
      <c r="L2083" s="30" t="n"/>
      <c r="M2083" s="30" t="n"/>
      <c r="N2083" s="32" t="n"/>
      <c r="O2083" s="30" t="n"/>
      <c r="P2083" s="32" t="n"/>
      <c r="Q2083" s="30" t="n"/>
      <c r="R2083" s="32" t="n"/>
      <c r="S2083" s="30" t="n"/>
      <c r="T2083" s="30" t="n"/>
      <c r="U2083" s="30" t="n"/>
      <c r="V2083" s="30" t="n"/>
      <c r="W2083" s="29">
        <f>IF(H2083="","",IF(H2083="Kenya","Yes","No"))</f>
        <v/>
      </c>
      <c r="X2083" s="29">
        <f>IF(B2083="","",IF(COUNTIF($B$5:$B$3004,B2083)&gt;1,"DUPLICATE","OK"))</f>
        <v/>
      </c>
      <c r="Y2083" s="29">
        <f>IF(OR(U2083="",V2083="",V2083="Excluded"),"",IF(COUNTIFS($U$5:$U$3004,U2083,$V$5:$V$3004,"&lt;&gt;"&amp;V2083,$V$5:$V$3004,"&lt;&gt;",$V$5:$V$3004,"&lt;&gt;Excluded")&gt;0,"LEAK RISK","OK"))</f>
        <v/>
      </c>
      <c r="Z2083" s="30" t="n"/>
    </row>
    <row r="2084">
      <c r="A2084" s="30" t="n"/>
      <c r="B2084" s="30" t="n"/>
      <c r="C2084" s="30" t="n"/>
      <c r="D2084" s="30" t="n"/>
      <c r="E2084" s="30" t="n"/>
      <c r="F2084" s="30" t="n"/>
      <c r="G2084" s="30" t="n"/>
      <c r="H2084" s="30" t="n"/>
      <c r="I2084" s="31" t="n"/>
      <c r="J2084" s="30" t="n"/>
      <c r="K2084" s="30" t="n"/>
      <c r="L2084" s="30" t="n"/>
      <c r="M2084" s="30" t="n"/>
      <c r="N2084" s="32" t="n"/>
      <c r="O2084" s="30" t="n"/>
      <c r="P2084" s="32" t="n"/>
      <c r="Q2084" s="30" t="n"/>
      <c r="R2084" s="32" t="n"/>
      <c r="S2084" s="30" t="n"/>
      <c r="T2084" s="30" t="n"/>
      <c r="U2084" s="30" t="n"/>
      <c r="V2084" s="30" t="n"/>
      <c r="W2084" s="29">
        <f>IF(H2084="","",IF(H2084="Kenya","Yes","No"))</f>
        <v/>
      </c>
      <c r="X2084" s="29">
        <f>IF(B2084="","",IF(COUNTIF($B$5:$B$3004,B2084)&gt;1,"DUPLICATE","OK"))</f>
        <v/>
      </c>
      <c r="Y2084" s="29">
        <f>IF(OR(U2084="",V2084="",V2084="Excluded"),"",IF(COUNTIFS($U$5:$U$3004,U2084,$V$5:$V$3004,"&lt;&gt;"&amp;V2084,$V$5:$V$3004,"&lt;&gt;",$V$5:$V$3004,"&lt;&gt;Excluded")&gt;0,"LEAK RISK","OK"))</f>
        <v/>
      </c>
      <c r="Z2084" s="30" t="n"/>
    </row>
    <row r="2085">
      <c r="A2085" s="30" t="n"/>
      <c r="B2085" s="30" t="n"/>
      <c r="C2085" s="30" t="n"/>
      <c r="D2085" s="30" t="n"/>
      <c r="E2085" s="30" t="n"/>
      <c r="F2085" s="30" t="n"/>
      <c r="G2085" s="30" t="n"/>
      <c r="H2085" s="30" t="n"/>
      <c r="I2085" s="31" t="n"/>
      <c r="J2085" s="30" t="n"/>
      <c r="K2085" s="30" t="n"/>
      <c r="L2085" s="30" t="n"/>
      <c r="M2085" s="30" t="n"/>
      <c r="N2085" s="32" t="n"/>
      <c r="O2085" s="30" t="n"/>
      <c r="P2085" s="32" t="n"/>
      <c r="Q2085" s="30" t="n"/>
      <c r="R2085" s="32" t="n"/>
      <c r="S2085" s="30" t="n"/>
      <c r="T2085" s="30" t="n"/>
      <c r="U2085" s="30" t="n"/>
      <c r="V2085" s="30" t="n"/>
      <c r="W2085" s="29">
        <f>IF(H2085="","",IF(H2085="Kenya","Yes","No"))</f>
        <v/>
      </c>
      <c r="X2085" s="29">
        <f>IF(B2085="","",IF(COUNTIF($B$5:$B$3004,B2085)&gt;1,"DUPLICATE","OK"))</f>
        <v/>
      </c>
      <c r="Y2085" s="29">
        <f>IF(OR(U2085="",V2085="",V2085="Excluded"),"",IF(COUNTIFS($U$5:$U$3004,U2085,$V$5:$V$3004,"&lt;&gt;"&amp;V2085,$V$5:$V$3004,"&lt;&gt;",$V$5:$V$3004,"&lt;&gt;Excluded")&gt;0,"LEAK RISK","OK"))</f>
        <v/>
      </c>
      <c r="Z2085" s="30" t="n"/>
    </row>
    <row r="2086">
      <c r="A2086" s="30" t="n"/>
      <c r="B2086" s="30" t="n"/>
      <c r="C2086" s="30" t="n"/>
      <c r="D2086" s="30" t="n"/>
      <c r="E2086" s="30" t="n"/>
      <c r="F2086" s="30" t="n"/>
      <c r="G2086" s="30" t="n"/>
      <c r="H2086" s="30" t="n"/>
      <c r="I2086" s="31" t="n"/>
      <c r="J2086" s="30" t="n"/>
      <c r="K2086" s="30" t="n"/>
      <c r="L2086" s="30" t="n"/>
      <c r="M2086" s="30" t="n"/>
      <c r="N2086" s="32" t="n"/>
      <c r="O2086" s="30" t="n"/>
      <c r="P2086" s="32" t="n"/>
      <c r="Q2086" s="30" t="n"/>
      <c r="R2086" s="32" t="n"/>
      <c r="S2086" s="30" t="n"/>
      <c r="T2086" s="30" t="n"/>
      <c r="U2086" s="30" t="n"/>
      <c r="V2086" s="30" t="n"/>
      <c r="W2086" s="29">
        <f>IF(H2086="","",IF(H2086="Kenya","Yes","No"))</f>
        <v/>
      </c>
      <c r="X2086" s="29">
        <f>IF(B2086="","",IF(COUNTIF($B$5:$B$3004,B2086)&gt;1,"DUPLICATE","OK"))</f>
        <v/>
      </c>
      <c r="Y2086" s="29">
        <f>IF(OR(U2086="",V2086="",V2086="Excluded"),"",IF(COUNTIFS($U$5:$U$3004,U2086,$V$5:$V$3004,"&lt;&gt;"&amp;V2086,$V$5:$V$3004,"&lt;&gt;",$V$5:$V$3004,"&lt;&gt;Excluded")&gt;0,"LEAK RISK","OK"))</f>
        <v/>
      </c>
      <c r="Z2086" s="30" t="n"/>
    </row>
    <row r="2087">
      <c r="A2087" s="30" t="n"/>
      <c r="B2087" s="30" t="n"/>
      <c r="C2087" s="30" t="n"/>
      <c r="D2087" s="30" t="n"/>
      <c r="E2087" s="30" t="n"/>
      <c r="F2087" s="30" t="n"/>
      <c r="G2087" s="30" t="n"/>
      <c r="H2087" s="30" t="n"/>
      <c r="I2087" s="31" t="n"/>
      <c r="J2087" s="30" t="n"/>
      <c r="K2087" s="30" t="n"/>
      <c r="L2087" s="30" t="n"/>
      <c r="M2087" s="30" t="n"/>
      <c r="N2087" s="32" t="n"/>
      <c r="O2087" s="30" t="n"/>
      <c r="P2087" s="32" t="n"/>
      <c r="Q2087" s="30" t="n"/>
      <c r="R2087" s="32" t="n"/>
      <c r="S2087" s="30" t="n"/>
      <c r="T2087" s="30" t="n"/>
      <c r="U2087" s="30" t="n"/>
      <c r="V2087" s="30" t="n"/>
      <c r="W2087" s="29">
        <f>IF(H2087="","",IF(H2087="Kenya","Yes","No"))</f>
        <v/>
      </c>
      <c r="X2087" s="29">
        <f>IF(B2087="","",IF(COUNTIF($B$5:$B$3004,B2087)&gt;1,"DUPLICATE","OK"))</f>
        <v/>
      </c>
      <c r="Y2087" s="29">
        <f>IF(OR(U2087="",V2087="",V2087="Excluded"),"",IF(COUNTIFS($U$5:$U$3004,U2087,$V$5:$V$3004,"&lt;&gt;"&amp;V2087,$V$5:$V$3004,"&lt;&gt;",$V$5:$V$3004,"&lt;&gt;Excluded")&gt;0,"LEAK RISK","OK"))</f>
        <v/>
      </c>
      <c r="Z2087" s="30" t="n"/>
    </row>
    <row r="2088">
      <c r="A2088" s="30" t="n"/>
      <c r="B2088" s="30" t="n"/>
      <c r="C2088" s="30" t="n"/>
      <c r="D2088" s="30" t="n"/>
      <c r="E2088" s="30" t="n"/>
      <c r="F2088" s="30" t="n"/>
      <c r="G2088" s="30" t="n"/>
      <c r="H2088" s="30" t="n"/>
      <c r="I2088" s="31" t="n"/>
      <c r="J2088" s="30" t="n"/>
      <c r="K2088" s="30" t="n"/>
      <c r="L2088" s="30" t="n"/>
      <c r="M2088" s="30" t="n"/>
      <c r="N2088" s="32" t="n"/>
      <c r="O2088" s="30" t="n"/>
      <c r="P2088" s="32" t="n"/>
      <c r="Q2088" s="30" t="n"/>
      <c r="R2088" s="32" t="n"/>
      <c r="S2088" s="30" t="n"/>
      <c r="T2088" s="30" t="n"/>
      <c r="U2088" s="30" t="n"/>
      <c r="V2088" s="30" t="n"/>
      <c r="W2088" s="29">
        <f>IF(H2088="","",IF(H2088="Kenya","Yes","No"))</f>
        <v/>
      </c>
      <c r="X2088" s="29">
        <f>IF(B2088="","",IF(COUNTIF($B$5:$B$3004,B2088)&gt;1,"DUPLICATE","OK"))</f>
        <v/>
      </c>
      <c r="Y2088" s="29">
        <f>IF(OR(U2088="",V2088="",V2088="Excluded"),"",IF(COUNTIFS($U$5:$U$3004,U2088,$V$5:$V$3004,"&lt;&gt;"&amp;V2088,$V$5:$V$3004,"&lt;&gt;",$V$5:$V$3004,"&lt;&gt;Excluded")&gt;0,"LEAK RISK","OK"))</f>
        <v/>
      </c>
      <c r="Z2088" s="30" t="n"/>
    </row>
    <row r="2089">
      <c r="A2089" s="30" t="n"/>
      <c r="B2089" s="30" t="n"/>
      <c r="C2089" s="30" t="n"/>
      <c r="D2089" s="30" t="n"/>
      <c r="E2089" s="30" t="n"/>
      <c r="F2089" s="30" t="n"/>
      <c r="G2089" s="30" t="n"/>
      <c r="H2089" s="30" t="n"/>
      <c r="I2089" s="31" t="n"/>
      <c r="J2089" s="30" t="n"/>
      <c r="K2089" s="30" t="n"/>
      <c r="L2089" s="30" t="n"/>
      <c r="M2089" s="30" t="n"/>
      <c r="N2089" s="32" t="n"/>
      <c r="O2089" s="30" t="n"/>
      <c r="P2089" s="32" t="n"/>
      <c r="Q2089" s="30" t="n"/>
      <c r="R2089" s="32" t="n"/>
      <c r="S2089" s="30" t="n"/>
      <c r="T2089" s="30" t="n"/>
      <c r="U2089" s="30" t="n"/>
      <c r="V2089" s="30" t="n"/>
      <c r="W2089" s="29">
        <f>IF(H2089="","",IF(H2089="Kenya","Yes","No"))</f>
        <v/>
      </c>
      <c r="X2089" s="29">
        <f>IF(B2089="","",IF(COUNTIF($B$5:$B$3004,B2089)&gt;1,"DUPLICATE","OK"))</f>
        <v/>
      </c>
      <c r="Y2089" s="29">
        <f>IF(OR(U2089="",V2089="",V2089="Excluded"),"",IF(COUNTIFS($U$5:$U$3004,U2089,$V$5:$V$3004,"&lt;&gt;"&amp;V2089,$V$5:$V$3004,"&lt;&gt;",$V$5:$V$3004,"&lt;&gt;Excluded")&gt;0,"LEAK RISK","OK"))</f>
        <v/>
      </c>
      <c r="Z2089" s="30" t="n"/>
    </row>
    <row r="2090">
      <c r="A2090" s="30" t="n"/>
      <c r="B2090" s="30" t="n"/>
      <c r="C2090" s="30" t="n"/>
      <c r="D2090" s="30" t="n"/>
      <c r="E2090" s="30" t="n"/>
      <c r="F2090" s="30" t="n"/>
      <c r="G2090" s="30" t="n"/>
      <c r="H2090" s="30" t="n"/>
      <c r="I2090" s="31" t="n"/>
      <c r="J2090" s="30" t="n"/>
      <c r="K2090" s="30" t="n"/>
      <c r="L2090" s="30" t="n"/>
      <c r="M2090" s="30" t="n"/>
      <c r="N2090" s="32" t="n"/>
      <c r="O2090" s="30" t="n"/>
      <c r="P2090" s="32" t="n"/>
      <c r="Q2090" s="30" t="n"/>
      <c r="R2090" s="32" t="n"/>
      <c r="S2090" s="30" t="n"/>
      <c r="T2090" s="30" t="n"/>
      <c r="U2090" s="30" t="n"/>
      <c r="V2090" s="30" t="n"/>
      <c r="W2090" s="29">
        <f>IF(H2090="","",IF(H2090="Kenya","Yes","No"))</f>
        <v/>
      </c>
      <c r="X2090" s="29">
        <f>IF(B2090="","",IF(COUNTIF($B$5:$B$3004,B2090)&gt;1,"DUPLICATE","OK"))</f>
        <v/>
      </c>
      <c r="Y2090" s="29">
        <f>IF(OR(U2090="",V2090="",V2090="Excluded"),"",IF(COUNTIFS($U$5:$U$3004,U2090,$V$5:$V$3004,"&lt;&gt;"&amp;V2090,$V$5:$V$3004,"&lt;&gt;",$V$5:$V$3004,"&lt;&gt;Excluded")&gt;0,"LEAK RISK","OK"))</f>
        <v/>
      </c>
      <c r="Z2090" s="30" t="n"/>
    </row>
    <row r="2091">
      <c r="A2091" s="30" t="n"/>
      <c r="B2091" s="30" t="n"/>
      <c r="C2091" s="30" t="n"/>
      <c r="D2091" s="30" t="n"/>
      <c r="E2091" s="30" t="n"/>
      <c r="F2091" s="30" t="n"/>
      <c r="G2091" s="30" t="n"/>
      <c r="H2091" s="30" t="n"/>
      <c r="I2091" s="31" t="n"/>
      <c r="J2091" s="30" t="n"/>
      <c r="K2091" s="30" t="n"/>
      <c r="L2091" s="30" t="n"/>
      <c r="M2091" s="30" t="n"/>
      <c r="N2091" s="32" t="n"/>
      <c r="O2091" s="30" t="n"/>
      <c r="P2091" s="32" t="n"/>
      <c r="Q2091" s="30" t="n"/>
      <c r="R2091" s="32" t="n"/>
      <c r="S2091" s="30" t="n"/>
      <c r="T2091" s="30" t="n"/>
      <c r="U2091" s="30" t="n"/>
      <c r="V2091" s="30" t="n"/>
      <c r="W2091" s="29">
        <f>IF(H2091="","",IF(H2091="Kenya","Yes","No"))</f>
        <v/>
      </c>
      <c r="X2091" s="29">
        <f>IF(B2091="","",IF(COUNTIF($B$5:$B$3004,B2091)&gt;1,"DUPLICATE","OK"))</f>
        <v/>
      </c>
      <c r="Y2091" s="29">
        <f>IF(OR(U2091="",V2091="",V2091="Excluded"),"",IF(COUNTIFS($U$5:$U$3004,U2091,$V$5:$V$3004,"&lt;&gt;"&amp;V2091,$V$5:$V$3004,"&lt;&gt;",$V$5:$V$3004,"&lt;&gt;Excluded")&gt;0,"LEAK RISK","OK"))</f>
        <v/>
      </c>
      <c r="Z2091" s="30" t="n"/>
    </row>
    <row r="2092">
      <c r="A2092" s="30" t="n"/>
      <c r="B2092" s="30" t="n"/>
      <c r="C2092" s="30" t="n"/>
      <c r="D2092" s="30" t="n"/>
      <c r="E2092" s="30" t="n"/>
      <c r="F2092" s="30" t="n"/>
      <c r="G2092" s="30" t="n"/>
      <c r="H2092" s="30" t="n"/>
      <c r="I2092" s="31" t="n"/>
      <c r="J2092" s="30" t="n"/>
      <c r="K2092" s="30" t="n"/>
      <c r="L2092" s="30" t="n"/>
      <c r="M2092" s="30" t="n"/>
      <c r="N2092" s="32" t="n"/>
      <c r="O2092" s="30" t="n"/>
      <c r="P2092" s="32" t="n"/>
      <c r="Q2092" s="30" t="n"/>
      <c r="R2092" s="32" t="n"/>
      <c r="S2092" s="30" t="n"/>
      <c r="T2092" s="30" t="n"/>
      <c r="U2092" s="30" t="n"/>
      <c r="V2092" s="30" t="n"/>
      <c r="W2092" s="29">
        <f>IF(H2092="","",IF(H2092="Kenya","Yes","No"))</f>
        <v/>
      </c>
      <c r="X2092" s="29">
        <f>IF(B2092="","",IF(COUNTIF($B$5:$B$3004,B2092)&gt;1,"DUPLICATE","OK"))</f>
        <v/>
      </c>
      <c r="Y2092" s="29">
        <f>IF(OR(U2092="",V2092="",V2092="Excluded"),"",IF(COUNTIFS($U$5:$U$3004,U2092,$V$5:$V$3004,"&lt;&gt;"&amp;V2092,$V$5:$V$3004,"&lt;&gt;",$V$5:$V$3004,"&lt;&gt;Excluded")&gt;0,"LEAK RISK","OK"))</f>
        <v/>
      </c>
      <c r="Z2092" s="30" t="n"/>
    </row>
    <row r="2093">
      <c r="A2093" s="30" t="n"/>
      <c r="B2093" s="30" t="n"/>
      <c r="C2093" s="30" t="n"/>
      <c r="D2093" s="30" t="n"/>
      <c r="E2093" s="30" t="n"/>
      <c r="F2093" s="30" t="n"/>
      <c r="G2093" s="30" t="n"/>
      <c r="H2093" s="30" t="n"/>
      <c r="I2093" s="31" t="n"/>
      <c r="J2093" s="30" t="n"/>
      <c r="K2093" s="30" t="n"/>
      <c r="L2093" s="30" t="n"/>
      <c r="M2093" s="30" t="n"/>
      <c r="N2093" s="32" t="n"/>
      <c r="O2093" s="30" t="n"/>
      <c r="P2093" s="32" t="n"/>
      <c r="Q2093" s="30" t="n"/>
      <c r="R2093" s="32" t="n"/>
      <c r="S2093" s="30" t="n"/>
      <c r="T2093" s="30" t="n"/>
      <c r="U2093" s="30" t="n"/>
      <c r="V2093" s="30" t="n"/>
      <c r="W2093" s="29">
        <f>IF(H2093="","",IF(H2093="Kenya","Yes","No"))</f>
        <v/>
      </c>
      <c r="X2093" s="29">
        <f>IF(B2093="","",IF(COUNTIF($B$5:$B$3004,B2093)&gt;1,"DUPLICATE","OK"))</f>
        <v/>
      </c>
      <c r="Y2093" s="29">
        <f>IF(OR(U2093="",V2093="",V2093="Excluded"),"",IF(COUNTIFS($U$5:$U$3004,U2093,$V$5:$V$3004,"&lt;&gt;"&amp;V2093,$V$5:$V$3004,"&lt;&gt;",$V$5:$V$3004,"&lt;&gt;Excluded")&gt;0,"LEAK RISK","OK"))</f>
        <v/>
      </c>
      <c r="Z2093" s="30" t="n"/>
    </row>
    <row r="2094">
      <c r="A2094" s="30" t="n"/>
      <c r="B2094" s="30" t="n"/>
      <c r="C2094" s="30" t="n"/>
      <c r="D2094" s="30" t="n"/>
      <c r="E2094" s="30" t="n"/>
      <c r="F2094" s="30" t="n"/>
      <c r="G2094" s="30" t="n"/>
      <c r="H2094" s="30" t="n"/>
      <c r="I2094" s="31" t="n"/>
      <c r="J2094" s="30" t="n"/>
      <c r="K2094" s="30" t="n"/>
      <c r="L2094" s="30" t="n"/>
      <c r="M2094" s="30" t="n"/>
      <c r="N2094" s="32" t="n"/>
      <c r="O2094" s="30" t="n"/>
      <c r="P2094" s="32" t="n"/>
      <c r="Q2094" s="30" t="n"/>
      <c r="R2094" s="32" t="n"/>
      <c r="S2094" s="30" t="n"/>
      <c r="T2094" s="30" t="n"/>
      <c r="U2094" s="30" t="n"/>
      <c r="V2094" s="30" t="n"/>
      <c r="W2094" s="29">
        <f>IF(H2094="","",IF(H2094="Kenya","Yes","No"))</f>
        <v/>
      </c>
      <c r="X2094" s="29">
        <f>IF(B2094="","",IF(COUNTIF($B$5:$B$3004,B2094)&gt;1,"DUPLICATE","OK"))</f>
        <v/>
      </c>
      <c r="Y2094" s="29">
        <f>IF(OR(U2094="",V2094="",V2094="Excluded"),"",IF(COUNTIFS($U$5:$U$3004,U2094,$V$5:$V$3004,"&lt;&gt;"&amp;V2094,$V$5:$V$3004,"&lt;&gt;",$V$5:$V$3004,"&lt;&gt;Excluded")&gt;0,"LEAK RISK","OK"))</f>
        <v/>
      </c>
      <c r="Z2094" s="30" t="n"/>
    </row>
    <row r="2095">
      <c r="A2095" s="30" t="n"/>
      <c r="B2095" s="30" t="n"/>
      <c r="C2095" s="30" t="n"/>
      <c r="D2095" s="30" t="n"/>
      <c r="E2095" s="30" t="n"/>
      <c r="F2095" s="30" t="n"/>
      <c r="G2095" s="30" t="n"/>
      <c r="H2095" s="30" t="n"/>
      <c r="I2095" s="31" t="n"/>
      <c r="J2095" s="30" t="n"/>
      <c r="K2095" s="30" t="n"/>
      <c r="L2095" s="30" t="n"/>
      <c r="M2095" s="30" t="n"/>
      <c r="N2095" s="32" t="n"/>
      <c r="O2095" s="30" t="n"/>
      <c r="P2095" s="32" t="n"/>
      <c r="Q2095" s="30" t="n"/>
      <c r="R2095" s="32" t="n"/>
      <c r="S2095" s="30" t="n"/>
      <c r="T2095" s="30" t="n"/>
      <c r="U2095" s="30" t="n"/>
      <c r="V2095" s="30" t="n"/>
      <c r="W2095" s="29">
        <f>IF(H2095="","",IF(H2095="Kenya","Yes","No"))</f>
        <v/>
      </c>
      <c r="X2095" s="29">
        <f>IF(B2095="","",IF(COUNTIF($B$5:$B$3004,B2095)&gt;1,"DUPLICATE","OK"))</f>
        <v/>
      </c>
      <c r="Y2095" s="29">
        <f>IF(OR(U2095="",V2095="",V2095="Excluded"),"",IF(COUNTIFS($U$5:$U$3004,U2095,$V$5:$V$3004,"&lt;&gt;"&amp;V2095,$V$5:$V$3004,"&lt;&gt;",$V$5:$V$3004,"&lt;&gt;Excluded")&gt;0,"LEAK RISK","OK"))</f>
        <v/>
      </c>
      <c r="Z2095" s="30" t="n"/>
    </row>
    <row r="2096">
      <c r="A2096" s="30" t="n"/>
      <c r="B2096" s="30" t="n"/>
      <c r="C2096" s="30" t="n"/>
      <c r="D2096" s="30" t="n"/>
      <c r="E2096" s="30" t="n"/>
      <c r="F2096" s="30" t="n"/>
      <c r="G2096" s="30" t="n"/>
      <c r="H2096" s="30" t="n"/>
      <c r="I2096" s="31" t="n"/>
      <c r="J2096" s="30" t="n"/>
      <c r="K2096" s="30" t="n"/>
      <c r="L2096" s="30" t="n"/>
      <c r="M2096" s="30" t="n"/>
      <c r="N2096" s="32" t="n"/>
      <c r="O2096" s="30" t="n"/>
      <c r="P2096" s="32" t="n"/>
      <c r="Q2096" s="30" t="n"/>
      <c r="R2096" s="32" t="n"/>
      <c r="S2096" s="30" t="n"/>
      <c r="T2096" s="30" t="n"/>
      <c r="U2096" s="30" t="n"/>
      <c r="V2096" s="30" t="n"/>
      <c r="W2096" s="29">
        <f>IF(H2096="","",IF(H2096="Kenya","Yes","No"))</f>
        <v/>
      </c>
      <c r="X2096" s="29">
        <f>IF(B2096="","",IF(COUNTIF($B$5:$B$3004,B2096)&gt;1,"DUPLICATE","OK"))</f>
        <v/>
      </c>
      <c r="Y2096" s="29">
        <f>IF(OR(U2096="",V2096="",V2096="Excluded"),"",IF(COUNTIFS($U$5:$U$3004,U2096,$V$5:$V$3004,"&lt;&gt;"&amp;V2096,$V$5:$V$3004,"&lt;&gt;",$V$5:$V$3004,"&lt;&gt;Excluded")&gt;0,"LEAK RISK","OK"))</f>
        <v/>
      </c>
      <c r="Z2096" s="30" t="n"/>
    </row>
    <row r="2097">
      <c r="A2097" s="30" t="n"/>
      <c r="B2097" s="30" t="n"/>
      <c r="C2097" s="30" t="n"/>
      <c r="D2097" s="30" t="n"/>
      <c r="E2097" s="30" t="n"/>
      <c r="F2097" s="30" t="n"/>
      <c r="G2097" s="30" t="n"/>
      <c r="H2097" s="30" t="n"/>
      <c r="I2097" s="31" t="n"/>
      <c r="J2097" s="30" t="n"/>
      <c r="K2097" s="30" t="n"/>
      <c r="L2097" s="30" t="n"/>
      <c r="M2097" s="30" t="n"/>
      <c r="N2097" s="32" t="n"/>
      <c r="O2097" s="30" t="n"/>
      <c r="P2097" s="32" t="n"/>
      <c r="Q2097" s="30" t="n"/>
      <c r="R2097" s="32" t="n"/>
      <c r="S2097" s="30" t="n"/>
      <c r="T2097" s="30" t="n"/>
      <c r="U2097" s="30" t="n"/>
      <c r="V2097" s="30" t="n"/>
      <c r="W2097" s="29">
        <f>IF(H2097="","",IF(H2097="Kenya","Yes","No"))</f>
        <v/>
      </c>
      <c r="X2097" s="29">
        <f>IF(B2097="","",IF(COUNTIF($B$5:$B$3004,B2097)&gt;1,"DUPLICATE","OK"))</f>
        <v/>
      </c>
      <c r="Y2097" s="29">
        <f>IF(OR(U2097="",V2097="",V2097="Excluded"),"",IF(COUNTIFS($U$5:$U$3004,U2097,$V$5:$V$3004,"&lt;&gt;"&amp;V2097,$V$5:$V$3004,"&lt;&gt;",$V$5:$V$3004,"&lt;&gt;Excluded")&gt;0,"LEAK RISK","OK"))</f>
        <v/>
      </c>
      <c r="Z2097" s="30" t="n"/>
    </row>
    <row r="2098">
      <c r="A2098" s="30" t="n"/>
      <c r="B2098" s="30" t="n"/>
      <c r="C2098" s="30" t="n"/>
      <c r="D2098" s="30" t="n"/>
      <c r="E2098" s="30" t="n"/>
      <c r="F2098" s="30" t="n"/>
      <c r="G2098" s="30" t="n"/>
      <c r="H2098" s="30" t="n"/>
      <c r="I2098" s="31" t="n"/>
      <c r="J2098" s="30" t="n"/>
      <c r="K2098" s="30" t="n"/>
      <c r="L2098" s="30" t="n"/>
      <c r="M2098" s="30" t="n"/>
      <c r="N2098" s="32" t="n"/>
      <c r="O2098" s="30" t="n"/>
      <c r="P2098" s="32" t="n"/>
      <c r="Q2098" s="30" t="n"/>
      <c r="R2098" s="32" t="n"/>
      <c r="S2098" s="30" t="n"/>
      <c r="T2098" s="30" t="n"/>
      <c r="U2098" s="30" t="n"/>
      <c r="V2098" s="30" t="n"/>
      <c r="W2098" s="29">
        <f>IF(H2098="","",IF(H2098="Kenya","Yes","No"))</f>
        <v/>
      </c>
      <c r="X2098" s="29">
        <f>IF(B2098="","",IF(COUNTIF($B$5:$B$3004,B2098)&gt;1,"DUPLICATE","OK"))</f>
        <v/>
      </c>
      <c r="Y2098" s="29">
        <f>IF(OR(U2098="",V2098="",V2098="Excluded"),"",IF(COUNTIFS($U$5:$U$3004,U2098,$V$5:$V$3004,"&lt;&gt;"&amp;V2098,$V$5:$V$3004,"&lt;&gt;",$V$5:$V$3004,"&lt;&gt;Excluded")&gt;0,"LEAK RISK","OK"))</f>
        <v/>
      </c>
      <c r="Z2098" s="30" t="n"/>
    </row>
    <row r="2099">
      <c r="A2099" s="30" t="n"/>
      <c r="B2099" s="30" t="n"/>
      <c r="C2099" s="30" t="n"/>
      <c r="D2099" s="30" t="n"/>
      <c r="E2099" s="30" t="n"/>
      <c r="F2099" s="30" t="n"/>
      <c r="G2099" s="30" t="n"/>
      <c r="H2099" s="30" t="n"/>
      <c r="I2099" s="31" t="n"/>
      <c r="J2099" s="30" t="n"/>
      <c r="K2099" s="30" t="n"/>
      <c r="L2099" s="30" t="n"/>
      <c r="M2099" s="30" t="n"/>
      <c r="N2099" s="32" t="n"/>
      <c r="O2099" s="30" t="n"/>
      <c r="P2099" s="32" t="n"/>
      <c r="Q2099" s="30" t="n"/>
      <c r="R2099" s="32" t="n"/>
      <c r="S2099" s="30" t="n"/>
      <c r="T2099" s="30" t="n"/>
      <c r="U2099" s="30" t="n"/>
      <c r="V2099" s="30" t="n"/>
      <c r="W2099" s="29">
        <f>IF(H2099="","",IF(H2099="Kenya","Yes","No"))</f>
        <v/>
      </c>
      <c r="X2099" s="29">
        <f>IF(B2099="","",IF(COUNTIF($B$5:$B$3004,B2099)&gt;1,"DUPLICATE","OK"))</f>
        <v/>
      </c>
      <c r="Y2099" s="29">
        <f>IF(OR(U2099="",V2099="",V2099="Excluded"),"",IF(COUNTIFS($U$5:$U$3004,U2099,$V$5:$V$3004,"&lt;&gt;"&amp;V2099,$V$5:$V$3004,"&lt;&gt;",$V$5:$V$3004,"&lt;&gt;Excluded")&gt;0,"LEAK RISK","OK"))</f>
        <v/>
      </c>
      <c r="Z2099" s="30" t="n"/>
    </row>
    <row r="2100">
      <c r="A2100" s="30" t="n"/>
      <c r="B2100" s="30" t="n"/>
      <c r="C2100" s="30" t="n"/>
      <c r="D2100" s="30" t="n"/>
      <c r="E2100" s="30" t="n"/>
      <c r="F2100" s="30" t="n"/>
      <c r="G2100" s="30" t="n"/>
      <c r="H2100" s="30" t="n"/>
      <c r="I2100" s="31" t="n"/>
      <c r="J2100" s="30" t="n"/>
      <c r="K2100" s="30" t="n"/>
      <c r="L2100" s="30" t="n"/>
      <c r="M2100" s="30" t="n"/>
      <c r="N2100" s="32" t="n"/>
      <c r="O2100" s="30" t="n"/>
      <c r="P2100" s="32" t="n"/>
      <c r="Q2100" s="30" t="n"/>
      <c r="R2100" s="32" t="n"/>
      <c r="S2100" s="30" t="n"/>
      <c r="T2100" s="30" t="n"/>
      <c r="U2100" s="30" t="n"/>
      <c r="V2100" s="30" t="n"/>
      <c r="W2100" s="29">
        <f>IF(H2100="","",IF(H2100="Kenya","Yes","No"))</f>
        <v/>
      </c>
      <c r="X2100" s="29">
        <f>IF(B2100="","",IF(COUNTIF($B$5:$B$3004,B2100)&gt;1,"DUPLICATE","OK"))</f>
        <v/>
      </c>
      <c r="Y2100" s="29">
        <f>IF(OR(U2100="",V2100="",V2100="Excluded"),"",IF(COUNTIFS($U$5:$U$3004,U2100,$V$5:$V$3004,"&lt;&gt;"&amp;V2100,$V$5:$V$3004,"&lt;&gt;",$V$5:$V$3004,"&lt;&gt;Excluded")&gt;0,"LEAK RISK","OK"))</f>
        <v/>
      </c>
      <c r="Z2100" s="30" t="n"/>
    </row>
    <row r="2101">
      <c r="A2101" s="30" t="n"/>
      <c r="B2101" s="30" t="n"/>
      <c r="C2101" s="30" t="n"/>
      <c r="D2101" s="30" t="n"/>
      <c r="E2101" s="30" t="n"/>
      <c r="F2101" s="30" t="n"/>
      <c r="G2101" s="30" t="n"/>
      <c r="H2101" s="30" t="n"/>
      <c r="I2101" s="31" t="n"/>
      <c r="J2101" s="30" t="n"/>
      <c r="K2101" s="30" t="n"/>
      <c r="L2101" s="30" t="n"/>
      <c r="M2101" s="30" t="n"/>
      <c r="N2101" s="32" t="n"/>
      <c r="O2101" s="30" t="n"/>
      <c r="P2101" s="32" t="n"/>
      <c r="Q2101" s="30" t="n"/>
      <c r="R2101" s="32" t="n"/>
      <c r="S2101" s="30" t="n"/>
      <c r="T2101" s="30" t="n"/>
      <c r="U2101" s="30" t="n"/>
      <c r="V2101" s="30" t="n"/>
      <c r="W2101" s="29">
        <f>IF(H2101="","",IF(H2101="Kenya","Yes","No"))</f>
        <v/>
      </c>
      <c r="X2101" s="29">
        <f>IF(B2101="","",IF(COUNTIF($B$5:$B$3004,B2101)&gt;1,"DUPLICATE","OK"))</f>
        <v/>
      </c>
      <c r="Y2101" s="29">
        <f>IF(OR(U2101="",V2101="",V2101="Excluded"),"",IF(COUNTIFS($U$5:$U$3004,U2101,$V$5:$V$3004,"&lt;&gt;"&amp;V2101,$V$5:$V$3004,"&lt;&gt;",$V$5:$V$3004,"&lt;&gt;Excluded")&gt;0,"LEAK RISK","OK"))</f>
        <v/>
      </c>
      <c r="Z2101" s="30" t="n"/>
    </row>
    <row r="2102">
      <c r="A2102" s="30" t="n"/>
      <c r="B2102" s="30" t="n"/>
      <c r="C2102" s="30" t="n"/>
      <c r="D2102" s="30" t="n"/>
      <c r="E2102" s="30" t="n"/>
      <c r="F2102" s="30" t="n"/>
      <c r="G2102" s="30" t="n"/>
      <c r="H2102" s="30" t="n"/>
      <c r="I2102" s="31" t="n"/>
      <c r="J2102" s="30" t="n"/>
      <c r="K2102" s="30" t="n"/>
      <c r="L2102" s="30" t="n"/>
      <c r="M2102" s="30" t="n"/>
      <c r="N2102" s="32" t="n"/>
      <c r="O2102" s="30" t="n"/>
      <c r="P2102" s="32" t="n"/>
      <c r="Q2102" s="30" t="n"/>
      <c r="R2102" s="32" t="n"/>
      <c r="S2102" s="30" t="n"/>
      <c r="T2102" s="30" t="n"/>
      <c r="U2102" s="30" t="n"/>
      <c r="V2102" s="30" t="n"/>
      <c r="W2102" s="29">
        <f>IF(H2102="","",IF(H2102="Kenya","Yes","No"))</f>
        <v/>
      </c>
      <c r="X2102" s="29">
        <f>IF(B2102="","",IF(COUNTIF($B$5:$B$3004,B2102)&gt;1,"DUPLICATE","OK"))</f>
        <v/>
      </c>
      <c r="Y2102" s="29">
        <f>IF(OR(U2102="",V2102="",V2102="Excluded"),"",IF(COUNTIFS($U$5:$U$3004,U2102,$V$5:$V$3004,"&lt;&gt;"&amp;V2102,$V$5:$V$3004,"&lt;&gt;",$V$5:$V$3004,"&lt;&gt;Excluded")&gt;0,"LEAK RISK","OK"))</f>
        <v/>
      </c>
      <c r="Z2102" s="30" t="n"/>
    </row>
    <row r="2103">
      <c r="A2103" s="30" t="n"/>
      <c r="B2103" s="30" t="n"/>
      <c r="C2103" s="30" t="n"/>
      <c r="D2103" s="30" t="n"/>
      <c r="E2103" s="30" t="n"/>
      <c r="F2103" s="30" t="n"/>
      <c r="G2103" s="30" t="n"/>
      <c r="H2103" s="30" t="n"/>
      <c r="I2103" s="31" t="n"/>
      <c r="J2103" s="30" t="n"/>
      <c r="K2103" s="30" t="n"/>
      <c r="L2103" s="30" t="n"/>
      <c r="M2103" s="30" t="n"/>
      <c r="N2103" s="32" t="n"/>
      <c r="O2103" s="30" t="n"/>
      <c r="P2103" s="32" t="n"/>
      <c r="Q2103" s="30" t="n"/>
      <c r="R2103" s="32" t="n"/>
      <c r="S2103" s="30" t="n"/>
      <c r="T2103" s="30" t="n"/>
      <c r="U2103" s="30" t="n"/>
      <c r="V2103" s="30" t="n"/>
      <c r="W2103" s="29">
        <f>IF(H2103="","",IF(H2103="Kenya","Yes","No"))</f>
        <v/>
      </c>
      <c r="X2103" s="29">
        <f>IF(B2103="","",IF(COUNTIF($B$5:$B$3004,B2103)&gt;1,"DUPLICATE","OK"))</f>
        <v/>
      </c>
      <c r="Y2103" s="29">
        <f>IF(OR(U2103="",V2103="",V2103="Excluded"),"",IF(COUNTIFS($U$5:$U$3004,U2103,$V$5:$V$3004,"&lt;&gt;"&amp;V2103,$V$5:$V$3004,"&lt;&gt;",$V$5:$V$3004,"&lt;&gt;Excluded")&gt;0,"LEAK RISK","OK"))</f>
        <v/>
      </c>
      <c r="Z2103" s="30" t="n"/>
    </row>
    <row r="2104">
      <c r="A2104" s="30" t="n"/>
      <c r="B2104" s="30" t="n"/>
      <c r="C2104" s="30" t="n"/>
      <c r="D2104" s="30" t="n"/>
      <c r="E2104" s="30" t="n"/>
      <c r="F2104" s="30" t="n"/>
      <c r="G2104" s="30" t="n"/>
      <c r="H2104" s="30" t="n"/>
      <c r="I2104" s="31" t="n"/>
      <c r="J2104" s="30" t="n"/>
      <c r="K2104" s="30" t="n"/>
      <c r="L2104" s="30" t="n"/>
      <c r="M2104" s="30" t="n"/>
      <c r="N2104" s="32" t="n"/>
      <c r="O2104" s="30" t="n"/>
      <c r="P2104" s="32" t="n"/>
      <c r="Q2104" s="30" t="n"/>
      <c r="R2104" s="32" t="n"/>
      <c r="S2104" s="30" t="n"/>
      <c r="T2104" s="30" t="n"/>
      <c r="U2104" s="30" t="n"/>
      <c r="V2104" s="30" t="n"/>
      <c r="W2104" s="29">
        <f>IF(H2104="","",IF(H2104="Kenya","Yes","No"))</f>
        <v/>
      </c>
      <c r="X2104" s="29">
        <f>IF(B2104="","",IF(COUNTIF($B$5:$B$3004,B2104)&gt;1,"DUPLICATE","OK"))</f>
        <v/>
      </c>
      <c r="Y2104" s="29">
        <f>IF(OR(U2104="",V2104="",V2104="Excluded"),"",IF(COUNTIFS($U$5:$U$3004,U2104,$V$5:$V$3004,"&lt;&gt;"&amp;V2104,$V$5:$V$3004,"&lt;&gt;",$V$5:$V$3004,"&lt;&gt;Excluded")&gt;0,"LEAK RISK","OK"))</f>
        <v/>
      </c>
      <c r="Z2104" s="30" t="n"/>
    </row>
    <row r="2105">
      <c r="A2105" s="30" t="n"/>
      <c r="B2105" s="30" t="n"/>
      <c r="C2105" s="30" t="n"/>
      <c r="D2105" s="30" t="n"/>
      <c r="E2105" s="30" t="n"/>
      <c r="F2105" s="30" t="n"/>
      <c r="G2105" s="30" t="n"/>
      <c r="H2105" s="30" t="n"/>
      <c r="I2105" s="31" t="n"/>
      <c r="J2105" s="30" t="n"/>
      <c r="K2105" s="30" t="n"/>
      <c r="L2105" s="30" t="n"/>
      <c r="M2105" s="30" t="n"/>
      <c r="N2105" s="32" t="n"/>
      <c r="O2105" s="30" t="n"/>
      <c r="P2105" s="32" t="n"/>
      <c r="Q2105" s="30" t="n"/>
      <c r="R2105" s="32" t="n"/>
      <c r="S2105" s="30" t="n"/>
      <c r="T2105" s="30" t="n"/>
      <c r="U2105" s="30" t="n"/>
      <c r="V2105" s="30" t="n"/>
      <c r="W2105" s="29">
        <f>IF(H2105="","",IF(H2105="Kenya","Yes","No"))</f>
        <v/>
      </c>
      <c r="X2105" s="29">
        <f>IF(B2105="","",IF(COUNTIF($B$5:$B$3004,B2105)&gt;1,"DUPLICATE","OK"))</f>
        <v/>
      </c>
      <c r="Y2105" s="29">
        <f>IF(OR(U2105="",V2105="",V2105="Excluded"),"",IF(COUNTIFS($U$5:$U$3004,U2105,$V$5:$V$3004,"&lt;&gt;"&amp;V2105,$V$5:$V$3004,"&lt;&gt;",$V$5:$V$3004,"&lt;&gt;Excluded")&gt;0,"LEAK RISK","OK"))</f>
        <v/>
      </c>
      <c r="Z2105" s="30" t="n"/>
    </row>
    <row r="2106">
      <c r="A2106" s="30" t="n"/>
      <c r="B2106" s="30" t="n"/>
      <c r="C2106" s="30" t="n"/>
      <c r="D2106" s="30" t="n"/>
      <c r="E2106" s="30" t="n"/>
      <c r="F2106" s="30" t="n"/>
      <c r="G2106" s="30" t="n"/>
      <c r="H2106" s="30" t="n"/>
      <c r="I2106" s="31" t="n"/>
      <c r="J2106" s="30" t="n"/>
      <c r="K2106" s="30" t="n"/>
      <c r="L2106" s="30" t="n"/>
      <c r="M2106" s="30" t="n"/>
      <c r="N2106" s="32" t="n"/>
      <c r="O2106" s="30" t="n"/>
      <c r="P2106" s="32" t="n"/>
      <c r="Q2106" s="30" t="n"/>
      <c r="R2106" s="32" t="n"/>
      <c r="S2106" s="30" t="n"/>
      <c r="T2106" s="30" t="n"/>
      <c r="U2106" s="30" t="n"/>
      <c r="V2106" s="30" t="n"/>
      <c r="W2106" s="29">
        <f>IF(H2106="","",IF(H2106="Kenya","Yes","No"))</f>
        <v/>
      </c>
      <c r="X2106" s="29">
        <f>IF(B2106="","",IF(COUNTIF($B$5:$B$3004,B2106)&gt;1,"DUPLICATE","OK"))</f>
        <v/>
      </c>
      <c r="Y2106" s="29">
        <f>IF(OR(U2106="",V2106="",V2106="Excluded"),"",IF(COUNTIFS($U$5:$U$3004,U2106,$V$5:$V$3004,"&lt;&gt;"&amp;V2106,$V$5:$V$3004,"&lt;&gt;",$V$5:$V$3004,"&lt;&gt;Excluded")&gt;0,"LEAK RISK","OK"))</f>
        <v/>
      </c>
      <c r="Z2106" s="30" t="n"/>
    </row>
    <row r="2107">
      <c r="A2107" s="30" t="n"/>
      <c r="B2107" s="30" t="n"/>
      <c r="C2107" s="30" t="n"/>
      <c r="D2107" s="30" t="n"/>
      <c r="E2107" s="30" t="n"/>
      <c r="F2107" s="30" t="n"/>
      <c r="G2107" s="30" t="n"/>
      <c r="H2107" s="30" t="n"/>
      <c r="I2107" s="31" t="n"/>
      <c r="J2107" s="30" t="n"/>
      <c r="K2107" s="30" t="n"/>
      <c r="L2107" s="30" t="n"/>
      <c r="M2107" s="30" t="n"/>
      <c r="N2107" s="32" t="n"/>
      <c r="O2107" s="30" t="n"/>
      <c r="P2107" s="32" t="n"/>
      <c r="Q2107" s="30" t="n"/>
      <c r="R2107" s="32" t="n"/>
      <c r="S2107" s="30" t="n"/>
      <c r="T2107" s="30" t="n"/>
      <c r="U2107" s="30" t="n"/>
      <c r="V2107" s="30" t="n"/>
      <c r="W2107" s="29">
        <f>IF(H2107="","",IF(H2107="Kenya","Yes","No"))</f>
        <v/>
      </c>
      <c r="X2107" s="29">
        <f>IF(B2107="","",IF(COUNTIF($B$5:$B$3004,B2107)&gt;1,"DUPLICATE","OK"))</f>
        <v/>
      </c>
      <c r="Y2107" s="29">
        <f>IF(OR(U2107="",V2107="",V2107="Excluded"),"",IF(COUNTIFS($U$5:$U$3004,U2107,$V$5:$V$3004,"&lt;&gt;"&amp;V2107,$V$5:$V$3004,"&lt;&gt;",$V$5:$V$3004,"&lt;&gt;Excluded")&gt;0,"LEAK RISK","OK"))</f>
        <v/>
      </c>
      <c r="Z2107" s="30" t="n"/>
    </row>
    <row r="2108">
      <c r="A2108" s="30" t="n"/>
      <c r="B2108" s="30" t="n"/>
      <c r="C2108" s="30" t="n"/>
      <c r="D2108" s="30" t="n"/>
      <c r="E2108" s="30" t="n"/>
      <c r="F2108" s="30" t="n"/>
      <c r="G2108" s="30" t="n"/>
      <c r="H2108" s="30" t="n"/>
      <c r="I2108" s="31" t="n"/>
      <c r="J2108" s="30" t="n"/>
      <c r="K2108" s="30" t="n"/>
      <c r="L2108" s="30" t="n"/>
      <c r="M2108" s="30" t="n"/>
      <c r="N2108" s="32" t="n"/>
      <c r="O2108" s="30" t="n"/>
      <c r="P2108" s="32" t="n"/>
      <c r="Q2108" s="30" t="n"/>
      <c r="R2108" s="32" t="n"/>
      <c r="S2108" s="30" t="n"/>
      <c r="T2108" s="30" t="n"/>
      <c r="U2108" s="30" t="n"/>
      <c r="V2108" s="30" t="n"/>
      <c r="W2108" s="29">
        <f>IF(H2108="","",IF(H2108="Kenya","Yes","No"))</f>
        <v/>
      </c>
      <c r="X2108" s="29">
        <f>IF(B2108="","",IF(COUNTIF($B$5:$B$3004,B2108)&gt;1,"DUPLICATE","OK"))</f>
        <v/>
      </c>
      <c r="Y2108" s="29">
        <f>IF(OR(U2108="",V2108="",V2108="Excluded"),"",IF(COUNTIFS($U$5:$U$3004,U2108,$V$5:$V$3004,"&lt;&gt;"&amp;V2108,$V$5:$V$3004,"&lt;&gt;",$V$5:$V$3004,"&lt;&gt;Excluded")&gt;0,"LEAK RISK","OK"))</f>
        <v/>
      </c>
      <c r="Z2108" s="30" t="n"/>
    </row>
    <row r="2109">
      <c r="A2109" s="30" t="n"/>
      <c r="B2109" s="30" t="n"/>
      <c r="C2109" s="30" t="n"/>
      <c r="D2109" s="30" t="n"/>
      <c r="E2109" s="30" t="n"/>
      <c r="F2109" s="30" t="n"/>
      <c r="G2109" s="30" t="n"/>
      <c r="H2109" s="30" t="n"/>
      <c r="I2109" s="31" t="n"/>
      <c r="J2109" s="30" t="n"/>
      <c r="K2109" s="30" t="n"/>
      <c r="L2109" s="30" t="n"/>
      <c r="M2109" s="30" t="n"/>
      <c r="N2109" s="32" t="n"/>
      <c r="O2109" s="30" t="n"/>
      <c r="P2109" s="32" t="n"/>
      <c r="Q2109" s="30" t="n"/>
      <c r="R2109" s="32" t="n"/>
      <c r="S2109" s="30" t="n"/>
      <c r="T2109" s="30" t="n"/>
      <c r="U2109" s="30" t="n"/>
      <c r="V2109" s="30" t="n"/>
      <c r="W2109" s="29">
        <f>IF(H2109="","",IF(H2109="Kenya","Yes","No"))</f>
        <v/>
      </c>
      <c r="X2109" s="29">
        <f>IF(B2109="","",IF(COUNTIF($B$5:$B$3004,B2109)&gt;1,"DUPLICATE","OK"))</f>
        <v/>
      </c>
      <c r="Y2109" s="29">
        <f>IF(OR(U2109="",V2109="",V2109="Excluded"),"",IF(COUNTIFS($U$5:$U$3004,U2109,$V$5:$V$3004,"&lt;&gt;"&amp;V2109,$V$5:$V$3004,"&lt;&gt;",$V$5:$V$3004,"&lt;&gt;Excluded")&gt;0,"LEAK RISK","OK"))</f>
        <v/>
      </c>
      <c r="Z2109" s="30" t="n"/>
    </row>
    <row r="2110">
      <c r="A2110" s="30" t="n"/>
      <c r="B2110" s="30" t="n"/>
      <c r="C2110" s="30" t="n"/>
      <c r="D2110" s="30" t="n"/>
      <c r="E2110" s="30" t="n"/>
      <c r="F2110" s="30" t="n"/>
      <c r="G2110" s="30" t="n"/>
      <c r="H2110" s="30" t="n"/>
      <c r="I2110" s="31" t="n"/>
      <c r="J2110" s="30" t="n"/>
      <c r="K2110" s="30" t="n"/>
      <c r="L2110" s="30" t="n"/>
      <c r="M2110" s="30" t="n"/>
      <c r="N2110" s="32" t="n"/>
      <c r="O2110" s="30" t="n"/>
      <c r="P2110" s="32" t="n"/>
      <c r="Q2110" s="30" t="n"/>
      <c r="R2110" s="32" t="n"/>
      <c r="S2110" s="30" t="n"/>
      <c r="T2110" s="30" t="n"/>
      <c r="U2110" s="30" t="n"/>
      <c r="V2110" s="30" t="n"/>
      <c r="W2110" s="29">
        <f>IF(H2110="","",IF(H2110="Kenya","Yes","No"))</f>
        <v/>
      </c>
      <c r="X2110" s="29">
        <f>IF(B2110="","",IF(COUNTIF($B$5:$B$3004,B2110)&gt;1,"DUPLICATE","OK"))</f>
        <v/>
      </c>
      <c r="Y2110" s="29">
        <f>IF(OR(U2110="",V2110="",V2110="Excluded"),"",IF(COUNTIFS($U$5:$U$3004,U2110,$V$5:$V$3004,"&lt;&gt;"&amp;V2110,$V$5:$V$3004,"&lt;&gt;",$V$5:$V$3004,"&lt;&gt;Excluded")&gt;0,"LEAK RISK","OK"))</f>
        <v/>
      </c>
      <c r="Z2110" s="30" t="n"/>
    </row>
    <row r="2111">
      <c r="A2111" s="30" t="n"/>
      <c r="B2111" s="30" t="n"/>
      <c r="C2111" s="30" t="n"/>
      <c r="D2111" s="30" t="n"/>
      <c r="E2111" s="30" t="n"/>
      <c r="F2111" s="30" t="n"/>
      <c r="G2111" s="30" t="n"/>
      <c r="H2111" s="30" t="n"/>
      <c r="I2111" s="31" t="n"/>
      <c r="J2111" s="30" t="n"/>
      <c r="K2111" s="30" t="n"/>
      <c r="L2111" s="30" t="n"/>
      <c r="M2111" s="30" t="n"/>
      <c r="N2111" s="32" t="n"/>
      <c r="O2111" s="30" t="n"/>
      <c r="P2111" s="32" t="n"/>
      <c r="Q2111" s="30" t="n"/>
      <c r="R2111" s="32" t="n"/>
      <c r="S2111" s="30" t="n"/>
      <c r="T2111" s="30" t="n"/>
      <c r="U2111" s="30" t="n"/>
      <c r="V2111" s="30" t="n"/>
      <c r="W2111" s="29">
        <f>IF(H2111="","",IF(H2111="Kenya","Yes","No"))</f>
        <v/>
      </c>
      <c r="X2111" s="29">
        <f>IF(B2111="","",IF(COUNTIF($B$5:$B$3004,B2111)&gt;1,"DUPLICATE","OK"))</f>
        <v/>
      </c>
      <c r="Y2111" s="29">
        <f>IF(OR(U2111="",V2111="",V2111="Excluded"),"",IF(COUNTIFS($U$5:$U$3004,U2111,$V$5:$V$3004,"&lt;&gt;"&amp;V2111,$V$5:$V$3004,"&lt;&gt;",$V$5:$V$3004,"&lt;&gt;Excluded")&gt;0,"LEAK RISK","OK"))</f>
        <v/>
      </c>
      <c r="Z2111" s="30" t="n"/>
    </row>
    <row r="2112">
      <c r="A2112" s="30" t="n"/>
      <c r="B2112" s="30" t="n"/>
      <c r="C2112" s="30" t="n"/>
      <c r="D2112" s="30" t="n"/>
      <c r="E2112" s="30" t="n"/>
      <c r="F2112" s="30" t="n"/>
      <c r="G2112" s="30" t="n"/>
      <c r="H2112" s="30" t="n"/>
      <c r="I2112" s="31" t="n"/>
      <c r="J2112" s="30" t="n"/>
      <c r="K2112" s="30" t="n"/>
      <c r="L2112" s="30" t="n"/>
      <c r="M2112" s="30" t="n"/>
      <c r="N2112" s="32" t="n"/>
      <c r="O2112" s="30" t="n"/>
      <c r="P2112" s="32" t="n"/>
      <c r="Q2112" s="30" t="n"/>
      <c r="R2112" s="32" t="n"/>
      <c r="S2112" s="30" t="n"/>
      <c r="T2112" s="30" t="n"/>
      <c r="U2112" s="30" t="n"/>
      <c r="V2112" s="30" t="n"/>
      <c r="W2112" s="29">
        <f>IF(H2112="","",IF(H2112="Kenya","Yes","No"))</f>
        <v/>
      </c>
      <c r="X2112" s="29">
        <f>IF(B2112="","",IF(COUNTIF($B$5:$B$3004,B2112)&gt;1,"DUPLICATE","OK"))</f>
        <v/>
      </c>
      <c r="Y2112" s="29">
        <f>IF(OR(U2112="",V2112="",V2112="Excluded"),"",IF(COUNTIFS($U$5:$U$3004,U2112,$V$5:$V$3004,"&lt;&gt;"&amp;V2112,$V$5:$V$3004,"&lt;&gt;",$V$5:$V$3004,"&lt;&gt;Excluded")&gt;0,"LEAK RISK","OK"))</f>
        <v/>
      </c>
      <c r="Z2112" s="30" t="n"/>
    </row>
    <row r="2113">
      <c r="A2113" s="30" t="n"/>
      <c r="B2113" s="30" t="n"/>
      <c r="C2113" s="30" t="n"/>
      <c r="D2113" s="30" t="n"/>
      <c r="E2113" s="30" t="n"/>
      <c r="F2113" s="30" t="n"/>
      <c r="G2113" s="30" t="n"/>
      <c r="H2113" s="30" t="n"/>
      <c r="I2113" s="31" t="n"/>
      <c r="J2113" s="30" t="n"/>
      <c r="K2113" s="30" t="n"/>
      <c r="L2113" s="30" t="n"/>
      <c r="M2113" s="30" t="n"/>
      <c r="N2113" s="32" t="n"/>
      <c r="O2113" s="30" t="n"/>
      <c r="P2113" s="32" t="n"/>
      <c r="Q2113" s="30" t="n"/>
      <c r="R2113" s="32" t="n"/>
      <c r="S2113" s="30" t="n"/>
      <c r="T2113" s="30" t="n"/>
      <c r="U2113" s="30" t="n"/>
      <c r="V2113" s="30" t="n"/>
      <c r="W2113" s="29">
        <f>IF(H2113="","",IF(H2113="Kenya","Yes","No"))</f>
        <v/>
      </c>
      <c r="X2113" s="29">
        <f>IF(B2113="","",IF(COUNTIF($B$5:$B$3004,B2113)&gt;1,"DUPLICATE","OK"))</f>
        <v/>
      </c>
      <c r="Y2113" s="29">
        <f>IF(OR(U2113="",V2113="",V2113="Excluded"),"",IF(COUNTIFS($U$5:$U$3004,U2113,$V$5:$V$3004,"&lt;&gt;"&amp;V2113,$V$5:$V$3004,"&lt;&gt;",$V$5:$V$3004,"&lt;&gt;Excluded")&gt;0,"LEAK RISK","OK"))</f>
        <v/>
      </c>
      <c r="Z2113" s="30" t="n"/>
    </row>
    <row r="2114">
      <c r="A2114" s="30" t="n"/>
      <c r="B2114" s="30" t="n"/>
      <c r="C2114" s="30" t="n"/>
      <c r="D2114" s="30" t="n"/>
      <c r="E2114" s="30" t="n"/>
      <c r="F2114" s="30" t="n"/>
      <c r="G2114" s="30" t="n"/>
      <c r="H2114" s="30" t="n"/>
      <c r="I2114" s="31" t="n"/>
      <c r="J2114" s="30" t="n"/>
      <c r="K2114" s="30" t="n"/>
      <c r="L2114" s="30" t="n"/>
      <c r="M2114" s="30" t="n"/>
      <c r="N2114" s="32" t="n"/>
      <c r="O2114" s="30" t="n"/>
      <c r="P2114" s="32" t="n"/>
      <c r="Q2114" s="30" t="n"/>
      <c r="R2114" s="32" t="n"/>
      <c r="S2114" s="30" t="n"/>
      <c r="T2114" s="30" t="n"/>
      <c r="U2114" s="30" t="n"/>
      <c r="V2114" s="30" t="n"/>
      <c r="W2114" s="29">
        <f>IF(H2114="","",IF(H2114="Kenya","Yes","No"))</f>
        <v/>
      </c>
      <c r="X2114" s="29">
        <f>IF(B2114="","",IF(COUNTIF($B$5:$B$3004,B2114)&gt;1,"DUPLICATE","OK"))</f>
        <v/>
      </c>
      <c r="Y2114" s="29">
        <f>IF(OR(U2114="",V2114="",V2114="Excluded"),"",IF(COUNTIFS($U$5:$U$3004,U2114,$V$5:$V$3004,"&lt;&gt;"&amp;V2114,$V$5:$V$3004,"&lt;&gt;",$V$5:$V$3004,"&lt;&gt;Excluded")&gt;0,"LEAK RISK","OK"))</f>
        <v/>
      </c>
      <c r="Z2114" s="30" t="n"/>
    </row>
    <row r="2115">
      <c r="A2115" s="30" t="n"/>
      <c r="B2115" s="30" t="n"/>
      <c r="C2115" s="30" t="n"/>
      <c r="D2115" s="30" t="n"/>
      <c r="E2115" s="30" t="n"/>
      <c r="F2115" s="30" t="n"/>
      <c r="G2115" s="30" t="n"/>
      <c r="H2115" s="30" t="n"/>
      <c r="I2115" s="31" t="n"/>
      <c r="J2115" s="30" t="n"/>
      <c r="K2115" s="30" t="n"/>
      <c r="L2115" s="30" t="n"/>
      <c r="M2115" s="30" t="n"/>
      <c r="N2115" s="32" t="n"/>
      <c r="O2115" s="30" t="n"/>
      <c r="P2115" s="32" t="n"/>
      <c r="Q2115" s="30" t="n"/>
      <c r="R2115" s="32" t="n"/>
      <c r="S2115" s="30" t="n"/>
      <c r="T2115" s="30" t="n"/>
      <c r="U2115" s="30" t="n"/>
      <c r="V2115" s="30" t="n"/>
      <c r="W2115" s="29">
        <f>IF(H2115="","",IF(H2115="Kenya","Yes","No"))</f>
        <v/>
      </c>
      <c r="X2115" s="29">
        <f>IF(B2115="","",IF(COUNTIF($B$5:$B$3004,B2115)&gt;1,"DUPLICATE","OK"))</f>
        <v/>
      </c>
      <c r="Y2115" s="29">
        <f>IF(OR(U2115="",V2115="",V2115="Excluded"),"",IF(COUNTIFS($U$5:$U$3004,U2115,$V$5:$V$3004,"&lt;&gt;"&amp;V2115,$V$5:$V$3004,"&lt;&gt;",$V$5:$V$3004,"&lt;&gt;Excluded")&gt;0,"LEAK RISK","OK"))</f>
        <v/>
      </c>
      <c r="Z2115" s="30" t="n"/>
    </row>
    <row r="2116">
      <c r="A2116" s="30" t="n"/>
      <c r="B2116" s="30" t="n"/>
      <c r="C2116" s="30" t="n"/>
      <c r="D2116" s="30" t="n"/>
      <c r="E2116" s="30" t="n"/>
      <c r="F2116" s="30" t="n"/>
      <c r="G2116" s="30" t="n"/>
      <c r="H2116" s="30" t="n"/>
      <c r="I2116" s="31" t="n"/>
      <c r="J2116" s="30" t="n"/>
      <c r="K2116" s="30" t="n"/>
      <c r="L2116" s="30" t="n"/>
      <c r="M2116" s="30" t="n"/>
      <c r="N2116" s="32" t="n"/>
      <c r="O2116" s="30" t="n"/>
      <c r="P2116" s="32" t="n"/>
      <c r="Q2116" s="30" t="n"/>
      <c r="R2116" s="32" t="n"/>
      <c r="S2116" s="30" t="n"/>
      <c r="T2116" s="30" t="n"/>
      <c r="U2116" s="30" t="n"/>
      <c r="V2116" s="30" t="n"/>
      <c r="W2116" s="29">
        <f>IF(H2116="","",IF(H2116="Kenya","Yes","No"))</f>
        <v/>
      </c>
      <c r="X2116" s="29">
        <f>IF(B2116="","",IF(COUNTIF($B$5:$B$3004,B2116)&gt;1,"DUPLICATE","OK"))</f>
        <v/>
      </c>
      <c r="Y2116" s="29">
        <f>IF(OR(U2116="",V2116="",V2116="Excluded"),"",IF(COUNTIFS($U$5:$U$3004,U2116,$V$5:$V$3004,"&lt;&gt;"&amp;V2116,$V$5:$V$3004,"&lt;&gt;",$V$5:$V$3004,"&lt;&gt;Excluded")&gt;0,"LEAK RISK","OK"))</f>
        <v/>
      </c>
      <c r="Z2116" s="30" t="n"/>
    </row>
    <row r="2117">
      <c r="A2117" s="30" t="n"/>
      <c r="B2117" s="30" t="n"/>
      <c r="C2117" s="30" t="n"/>
      <c r="D2117" s="30" t="n"/>
      <c r="E2117" s="30" t="n"/>
      <c r="F2117" s="30" t="n"/>
      <c r="G2117" s="30" t="n"/>
      <c r="H2117" s="30" t="n"/>
      <c r="I2117" s="31" t="n"/>
      <c r="J2117" s="30" t="n"/>
      <c r="K2117" s="30" t="n"/>
      <c r="L2117" s="30" t="n"/>
      <c r="M2117" s="30" t="n"/>
      <c r="N2117" s="32" t="n"/>
      <c r="O2117" s="30" t="n"/>
      <c r="P2117" s="32" t="n"/>
      <c r="Q2117" s="30" t="n"/>
      <c r="R2117" s="32" t="n"/>
      <c r="S2117" s="30" t="n"/>
      <c r="T2117" s="30" t="n"/>
      <c r="U2117" s="30" t="n"/>
      <c r="V2117" s="30" t="n"/>
      <c r="W2117" s="29">
        <f>IF(H2117="","",IF(H2117="Kenya","Yes","No"))</f>
        <v/>
      </c>
      <c r="X2117" s="29">
        <f>IF(B2117="","",IF(COUNTIF($B$5:$B$3004,B2117)&gt;1,"DUPLICATE","OK"))</f>
        <v/>
      </c>
      <c r="Y2117" s="29">
        <f>IF(OR(U2117="",V2117="",V2117="Excluded"),"",IF(COUNTIFS($U$5:$U$3004,U2117,$V$5:$V$3004,"&lt;&gt;"&amp;V2117,$V$5:$V$3004,"&lt;&gt;",$V$5:$V$3004,"&lt;&gt;Excluded")&gt;0,"LEAK RISK","OK"))</f>
        <v/>
      </c>
      <c r="Z2117" s="30" t="n"/>
    </row>
    <row r="2118">
      <c r="A2118" s="30" t="n"/>
      <c r="B2118" s="30" t="n"/>
      <c r="C2118" s="30" t="n"/>
      <c r="D2118" s="30" t="n"/>
      <c r="E2118" s="30" t="n"/>
      <c r="F2118" s="30" t="n"/>
      <c r="G2118" s="30" t="n"/>
      <c r="H2118" s="30" t="n"/>
      <c r="I2118" s="31" t="n"/>
      <c r="J2118" s="30" t="n"/>
      <c r="K2118" s="30" t="n"/>
      <c r="L2118" s="30" t="n"/>
      <c r="M2118" s="30" t="n"/>
      <c r="N2118" s="32" t="n"/>
      <c r="O2118" s="30" t="n"/>
      <c r="P2118" s="32" t="n"/>
      <c r="Q2118" s="30" t="n"/>
      <c r="R2118" s="32" t="n"/>
      <c r="S2118" s="30" t="n"/>
      <c r="T2118" s="30" t="n"/>
      <c r="U2118" s="30" t="n"/>
      <c r="V2118" s="30" t="n"/>
      <c r="W2118" s="29">
        <f>IF(H2118="","",IF(H2118="Kenya","Yes","No"))</f>
        <v/>
      </c>
      <c r="X2118" s="29">
        <f>IF(B2118="","",IF(COUNTIF($B$5:$B$3004,B2118)&gt;1,"DUPLICATE","OK"))</f>
        <v/>
      </c>
      <c r="Y2118" s="29">
        <f>IF(OR(U2118="",V2118="",V2118="Excluded"),"",IF(COUNTIFS($U$5:$U$3004,U2118,$V$5:$V$3004,"&lt;&gt;"&amp;V2118,$V$5:$V$3004,"&lt;&gt;",$V$5:$V$3004,"&lt;&gt;Excluded")&gt;0,"LEAK RISK","OK"))</f>
        <v/>
      </c>
      <c r="Z2118" s="30" t="n"/>
    </row>
    <row r="2119">
      <c r="A2119" s="30" t="n"/>
      <c r="B2119" s="30" t="n"/>
      <c r="C2119" s="30" t="n"/>
      <c r="D2119" s="30" t="n"/>
      <c r="E2119" s="30" t="n"/>
      <c r="F2119" s="30" t="n"/>
      <c r="G2119" s="30" t="n"/>
      <c r="H2119" s="30" t="n"/>
      <c r="I2119" s="31" t="n"/>
      <c r="J2119" s="30" t="n"/>
      <c r="K2119" s="30" t="n"/>
      <c r="L2119" s="30" t="n"/>
      <c r="M2119" s="30" t="n"/>
      <c r="N2119" s="32" t="n"/>
      <c r="O2119" s="30" t="n"/>
      <c r="P2119" s="32" t="n"/>
      <c r="Q2119" s="30" t="n"/>
      <c r="R2119" s="32" t="n"/>
      <c r="S2119" s="30" t="n"/>
      <c r="T2119" s="30" t="n"/>
      <c r="U2119" s="30" t="n"/>
      <c r="V2119" s="30" t="n"/>
      <c r="W2119" s="29">
        <f>IF(H2119="","",IF(H2119="Kenya","Yes","No"))</f>
        <v/>
      </c>
      <c r="X2119" s="29">
        <f>IF(B2119="","",IF(COUNTIF($B$5:$B$3004,B2119)&gt;1,"DUPLICATE","OK"))</f>
        <v/>
      </c>
      <c r="Y2119" s="29">
        <f>IF(OR(U2119="",V2119="",V2119="Excluded"),"",IF(COUNTIFS($U$5:$U$3004,U2119,$V$5:$V$3004,"&lt;&gt;"&amp;V2119,$V$5:$V$3004,"&lt;&gt;",$V$5:$V$3004,"&lt;&gt;Excluded")&gt;0,"LEAK RISK","OK"))</f>
        <v/>
      </c>
      <c r="Z2119" s="30" t="n"/>
    </row>
    <row r="2120">
      <c r="A2120" s="30" t="n"/>
      <c r="B2120" s="30" t="n"/>
      <c r="C2120" s="30" t="n"/>
      <c r="D2120" s="30" t="n"/>
      <c r="E2120" s="30" t="n"/>
      <c r="F2120" s="30" t="n"/>
      <c r="G2120" s="30" t="n"/>
      <c r="H2120" s="30" t="n"/>
      <c r="I2120" s="31" t="n"/>
      <c r="J2120" s="30" t="n"/>
      <c r="K2120" s="30" t="n"/>
      <c r="L2120" s="30" t="n"/>
      <c r="M2120" s="30" t="n"/>
      <c r="N2120" s="32" t="n"/>
      <c r="O2120" s="30" t="n"/>
      <c r="P2120" s="32" t="n"/>
      <c r="Q2120" s="30" t="n"/>
      <c r="R2120" s="32" t="n"/>
      <c r="S2120" s="30" t="n"/>
      <c r="T2120" s="30" t="n"/>
      <c r="U2120" s="30" t="n"/>
      <c r="V2120" s="30" t="n"/>
      <c r="W2120" s="29">
        <f>IF(H2120="","",IF(H2120="Kenya","Yes","No"))</f>
        <v/>
      </c>
      <c r="X2120" s="29">
        <f>IF(B2120="","",IF(COUNTIF($B$5:$B$3004,B2120)&gt;1,"DUPLICATE","OK"))</f>
        <v/>
      </c>
      <c r="Y2120" s="29">
        <f>IF(OR(U2120="",V2120="",V2120="Excluded"),"",IF(COUNTIFS($U$5:$U$3004,U2120,$V$5:$V$3004,"&lt;&gt;"&amp;V2120,$V$5:$V$3004,"&lt;&gt;",$V$5:$V$3004,"&lt;&gt;Excluded")&gt;0,"LEAK RISK","OK"))</f>
        <v/>
      </c>
      <c r="Z2120" s="30" t="n"/>
    </row>
    <row r="2121">
      <c r="A2121" s="30" t="n"/>
      <c r="B2121" s="30" t="n"/>
      <c r="C2121" s="30" t="n"/>
      <c r="D2121" s="30" t="n"/>
      <c r="E2121" s="30" t="n"/>
      <c r="F2121" s="30" t="n"/>
      <c r="G2121" s="30" t="n"/>
      <c r="H2121" s="30" t="n"/>
      <c r="I2121" s="31" t="n"/>
      <c r="J2121" s="30" t="n"/>
      <c r="K2121" s="30" t="n"/>
      <c r="L2121" s="30" t="n"/>
      <c r="M2121" s="30" t="n"/>
      <c r="N2121" s="32" t="n"/>
      <c r="O2121" s="30" t="n"/>
      <c r="P2121" s="32" t="n"/>
      <c r="Q2121" s="30" t="n"/>
      <c r="R2121" s="32" t="n"/>
      <c r="S2121" s="30" t="n"/>
      <c r="T2121" s="30" t="n"/>
      <c r="U2121" s="30" t="n"/>
      <c r="V2121" s="30" t="n"/>
      <c r="W2121" s="29">
        <f>IF(H2121="","",IF(H2121="Kenya","Yes","No"))</f>
        <v/>
      </c>
      <c r="X2121" s="29">
        <f>IF(B2121="","",IF(COUNTIF($B$5:$B$3004,B2121)&gt;1,"DUPLICATE","OK"))</f>
        <v/>
      </c>
      <c r="Y2121" s="29">
        <f>IF(OR(U2121="",V2121="",V2121="Excluded"),"",IF(COUNTIFS($U$5:$U$3004,U2121,$V$5:$V$3004,"&lt;&gt;"&amp;V2121,$V$5:$V$3004,"&lt;&gt;",$V$5:$V$3004,"&lt;&gt;Excluded")&gt;0,"LEAK RISK","OK"))</f>
        <v/>
      </c>
      <c r="Z2121" s="30" t="n"/>
    </row>
    <row r="2122">
      <c r="A2122" s="30" t="n"/>
      <c r="B2122" s="30" t="n"/>
      <c r="C2122" s="30" t="n"/>
      <c r="D2122" s="30" t="n"/>
      <c r="E2122" s="30" t="n"/>
      <c r="F2122" s="30" t="n"/>
      <c r="G2122" s="30" t="n"/>
      <c r="H2122" s="30" t="n"/>
      <c r="I2122" s="31" t="n"/>
      <c r="J2122" s="30" t="n"/>
      <c r="K2122" s="30" t="n"/>
      <c r="L2122" s="30" t="n"/>
      <c r="M2122" s="30" t="n"/>
      <c r="N2122" s="32" t="n"/>
      <c r="O2122" s="30" t="n"/>
      <c r="P2122" s="32" t="n"/>
      <c r="Q2122" s="30" t="n"/>
      <c r="R2122" s="32" t="n"/>
      <c r="S2122" s="30" t="n"/>
      <c r="T2122" s="30" t="n"/>
      <c r="U2122" s="30" t="n"/>
      <c r="V2122" s="30" t="n"/>
      <c r="W2122" s="29">
        <f>IF(H2122="","",IF(H2122="Kenya","Yes","No"))</f>
        <v/>
      </c>
      <c r="X2122" s="29">
        <f>IF(B2122="","",IF(COUNTIF($B$5:$B$3004,B2122)&gt;1,"DUPLICATE","OK"))</f>
        <v/>
      </c>
      <c r="Y2122" s="29">
        <f>IF(OR(U2122="",V2122="",V2122="Excluded"),"",IF(COUNTIFS($U$5:$U$3004,U2122,$V$5:$V$3004,"&lt;&gt;"&amp;V2122,$V$5:$V$3004,"&lt;&gt;",$V$5:$V$3004,"&lt;&gt;Excluded")&gt;0,"LEAK RISK","OK"))</f>
        <v/>
      </c>
      <c r="Z2122" s="30" t="n"/>
    </row>
    <row r="2123">
      <c r="A2123" s="30" t="n"/>
      <c r="B2123" s="30" t="n"/>
      <c r="C2123" s="30" t="n"/>
      <c r="D2123" s="30" t="n"/>
      <c r="E2123" s="30" t="n"/>
      <c r="F2123" s="30" t="n"/>
      <c r="G2123" s="30" t="n"/>
      <c r="H2123" s="30" t="n"/>
      <c r="I2123" s="31" t="n"/>
      <c r="J2123" s="30" t="n"/>
      <c r="K2123" s="30" t="n"/>
      <c r="L2123" s="30" t="n"/>
      <c r="M2123" s="30" t="n"/>
      <c r="N2123" s="32" t="n"/>
      <c r="O2123" s="30" t="n"/>
      <c r="P2123" s="32" t="n"/>
      <c r="Q2123" s="30" t="n"/>
      <c r="R2123" s="32" t="n"/>
      <c r="S2123" s="30" t="n"/>
      <c r="T2123" s="30" t="n"/>
      <c r="U2123" s="30" t="n"/>
      <c r="V2123" s="30" t="n"/>
      <c r="W2123" s="29">
        <f>IF(H2123="","",IF(H2123="Kenya","Yes","No"))</f>
        <v/>
      </c>
      <c r="X2123" s="29">
        <f>IF(B2123="","",IF(COUNTIF($B$5:$B$3004,B2123)&gt;1,"DUPLICATE","OK"))</f>
        <v/>
      </c>
      <c r="Y2123" s="29">
        <f>IF(OR(U2123="",V2123="",V2123="Excluded"),"",IF(COUNTIFS($U$5:$U$3004,U2123,$V$5:$V$3004,"&lt;&gt;"&amp;V2123,$V$5:$V$3004,"&lt;&gt;",$V$5:$V$3004,"&lt;&gt;Excluded")&gt;0,"LEAK RISK","OK"))</f>
        <v/>
      </c>
      <c r="Z2123" s="30" t="n"/>
    </row>
    <row r="2124">
      <c r="A2124" s="30" t="n"/>
      <c r="B2124" s="30" t="n"/>
      <c r="C2124" s="30" t="n"/>
      <c r="D2124" s="30" t="n"/>
      <c r="E2124" s="30" t="n"/>
      <c r="F2124" s="30" t="n"/>
      <c r="G2124" s="30" t="n"/>
      <c r="H2124" s="30" t="n"/>
      <c r="I2124" s="31" t="n"/>
      <c r="J2124" s="30" t="n"/>
      <c r="K2124" s="30" t="n"/>
      <c r="L2124" s="30" t="n"/>
      <c r="M2124" s="30" t="n"/>
      <c r="N2124" s="32" t="n"/>
      <c r="O2124" s="30" t="n"/>
      <c r="P2124" s="32" t="n"/>
      <c r="Q2124" s="30" t="n"/>
      <c r="R2124" s="32" t="n"/>
      <c r="S2124" s="30" t="n"/>
      <c r="T2124" s="30" t="n"/>
      <c r="U2124" s="30" t="n"/>
      <c r="V2124" s="30" t="n"/>
      <c r="W2124" s="29">
        <f>IF(H2124="","",IF(H2124="Kenya","Yes","No"))</f>
        <v/>
      </c>
      <c r="X2124" s="29">
        <f>IF(B2124="","",IF(COUNTIF($B$5:$B$3004,B2124)&gt;1,"DUPLICATE","OK"))</f>
        <v/>
      </c>
      <c r="Y2124" s="29">
        <f>IF(OR(U2124="",V2124="",V2124="Excluded"),"",IF(COUNTIFS($U$5:$U$3004,U2124,$V$5:$V$3004,"&lt;&gt;"&amp;V2124,$V$5:$V$3004,"&lt;&gt;",$V$5:$V$3004,"&lt;&gt;Excluded")&gt;0,"LEAK RISK","OK"))</f>
        <v/>
      </c>
      <c r="Z2124" s="30" t="n"/>
    </row>
    <row r="2125">
      <c r="A2125" s="30" t="n"/>
      <c r="B2125" s="30" t="n"/>
      <c r="C2125" s="30" t="n"/>
      <c r="D2125" s="30" t="n"/>
      <c r="E2125" s="30" t="n"/>
      <c r="F2125" s="30" t="n"/>
      <c r="G2125" s="30" t="n"/>
      <c r="H2125" s="30" t="n"/>
      <c r="I2125" s="31" t="n"/>
      <c r="J2125" s="30" t="n"/>
      <c r="K2125" s="30" t="n"/>
      <c r="L2125" s="30" t="n"/>
      <c r="M2125" s="30" t="n"/>
      <c r="N2125" s="32" t="n"/>
      <c r="O2125" s="30" t="n"/>
      <c r="P2125" s="32" t="n"/>
      <c r="Q2125" s="30" t="n"/>
      <c r="R2125" s="32" t="n"/>
      <c r="S2125" s="30" t="n"/>
      <c r="T2125" s="30" t="n"/>
      <c r="U2125" s="30" t="n"/>
      <c r="V2125" s="30" t="n"/>
      <c r="W2125" s="29">
        <f>IF(H2125="","",IF(H2125="Kenya","Yes","No"))</f>
        <v/>
      </c>
      <c r="X2125" s="29">
        <f>IF(B2125="","",IF(COUNTIF($B$5:$B$3004,B2125)&gt;1,"DUPLICATE","OK"))</f>
        <v/>
      </c>
      <c r="Y2125" s="29">
        <f>IF(OR(U2125="",V2125="",V2125="Excluded"),"",IF(COUNTIFS($U$5:$U$3004,U2125,$V$5:$V$3004,"&lt;&gt;"&amp;V2125,$V$5:$V$3004,"&lt;&gt;",$V$5:$V$3004,"&lt;&gt;Excluded")&gt;0,"LEAK RISK","OK"))</f>
        <v/>
      </c>
      <c r="Z2125" s="30" t="n"/>
    </row>
    <row r="2126">
      <c r="A2126" s="30" t="n"/>
      <c r="B2126" s="30" t="n"/>
      <c r="C2126" s="30" t="n"/>
      <c r="D2126" s="30" t="n"/>
      <c r="E2126" s="30" t="n"/>
      <c r="F2126" s="30" t="n"/>
      <c r="G2126" s="30" t="n"/>
      <c r="H2126" s="30" t="n"/>
      <c r="I2126" s="31" t="n"/>
      <c r="J2126" s="30" t="n"/>
      <c r="K2126" s="30" t="n"/>
      <c r="L2126" s="30" t="n"/>
      <c r="M2126" s="30" t="n"/>
      <c r="N2126" s="32" t="n"/>
      <c r="O2126" s="30" t="n"/>
      <c r="P2126" s="32" t="n"/>
      <c r="Q2126" s="30" t="n"/>
      <c r="R2126" s="32" t="n"/>
      <c r="S2126" s="30" t="n"/>
      <c r="T2126" s="30" t="n"/>
      <c r="U2126" s="30" t="n"/>
      <c r="V2126" s="30" t="n"/>
      <c r="W2126" s="29">
        <f>IF(H2126="","",IF(H2126="Kenya","Yes","No"))</f>
        <v/>
      </c>
      <c r="X2126" s="29">
        <f>IF(B2126="","",IF(COUNTIF($B$5:$B$3004,B2126)&gt;1,"DUPLICATE","OK"))</f>
        <v/>
      </c>
      <c r="Y2126" s="29">
        <f>IF(OR(U2126="",V2126="",V2126="Excluded"),"",IF(COUNTIFS($U$5:$U$3004,U2126,$V$5:$V$3004,"&lt;&gt;"&amp;V2126,$V$5:$V$3004,"&lt;&gt;",$V$5:$V$3004,"&lt;&gt;Excluded")&gt;0,"LEAK RISK","OK"))</f>
        <v/>
      </c>
      <c r="Z2126" s="30" t="n"/>
    </row>
    <row r="2127">
      <c r="A2127" s="30" t="n"/>
      <c r="B2127" s="30" t="n"/>
      <c r="C2127" s="30" t="n"/>
      <c r="D2127" s="30" t="n"/>
      <c r="E2127" s="30" t="n"/>
      <c r="F2127" s="30" t="n"/>
      <c r="G2127" s="30" t="n"/>
      <c r="H2127" s="30" t="n"/>
      <c r="I2127" s="31" t="n"/>
      <c r="J2127" s="30" t="n"/>
      <c r="K2127" s="30" t="n"/>
      <c r="L2127" s="30" t="n"/>
      <c r="M2127" s="30" t="n"/>
      <c r="N2127" s="32" t="n"/>
      <c r="O2127" s="30" t="n"/>
      <c r="P2127" s="32" t="n"/>
      <c r="Q2127" s="30" t="n"/>
      <c r="R2127" s="32" t="n"/>
      <c r="S2127" s="30" t="n"/>
      <c r="T2127" s="30" t="n"/>
      <c r="U2127" s="30" t="n"/>
      <c r="V2127" s="30" t="n"/>
      <c r="W2127" s="29">
        <f>IF(H2127="","",IF(H2127="Kenya","Yes","No"))</f>
        <v/>
      </c>
      <c r="X2127" s="29">
        <f>IF(B2127="","",IF(COUNTIF($B$5:$B$3004,B2127)&gt;1,"DUPLICATE","OK"))</f>
        <v/>
      </c>
      <c r="Y2127" s="29">
        <f>IF(OR(U2127="",V2127="",V2127="Excluded"),"",IF(COUNTIFS($U$5:$U$3004,U2127,$V$5:$V$3004,"&lt;&gt;"&amp;V2127,$V$5:$V$3004,"&lt;&gt;",$V$5:$V$3004,"&lt;&gt;Excluded")&gt;0,"LEAK RISK","OK"))</f>
        <v/>
      </c>
      <c r="Z2127" s="30" t="n"/>
    </row>
    <row r="2128">
      <c r="A2128" s="30" t="n"/>
      <c r="B2128" s="30" t="n"/>
      <c r="C2128" s="30" t="n"/>
      <c r="D2128" s="30" t="n"/>
      <c r="E2128" s="30" t="n"/>
      <c r="F2128" s="30" t="n"/>
      <c r="G2128" s="30" t="n"/>
      <c r="H2128" s="30" t="n"/>
      <c r="I2128" s="31" t="n"/>
      <c r="J2128" s="30" t="n"/>
      <c r="K2128" s="30" t="n"/>
      <c r="L2128" s="30" t="n"/>
      <c r="M2128" s="30" t="n"/>
      <c r="N2128" s="32" t="n"/>
      <c r="O2128" s="30" t="n"/>
      <c r="P2128" s="32" t="n"/>
      <c r="Q2128" s="30" t="n"/>
      <c r="R2128" s="32" t="n"/>
      <c r="S2128" s="30" t="n"/>
      <c r="T2128" s="30" t="n"/>
      <c r="U2128" s="30" t="n"/>
      <c r="V2128" s="30" t="n"/>
      <c r="W2128" s="29">
        <f>IF(H2128="","",IF(H2128="Kenya","Yes","No"))</f>
        <v/>
      </c>
      <c r="X2128" s="29">
        <f>IF(B2128="","",IF(COUNTIF($B$5:$B$3004,B2128)&gt;1,"DUPLICATE","OK"))</f>
        <v/>
      </c>
      <c r="Y2128" s="29">
        <f>IF(OR(U2128="",V2128="",V2128="Excluded"),"",IF(COUNTIFS($U$5:$U$3004,U2128,$V$5:$V$3004,"&lt;&gt;"&amp;V2128,$V$5:$V$3004,"&lt;&gt;",$V$5:$V$3004,"&lt;&gt;Excluded")&gt;0,"LEAK RISK","OK"))</f>
        <v/>
      </c>
      <c r="Z2128" s="30" t="n"/>
    </row>
    <row r="2129">
      <c r="A2129" s="30" t="n"/>
      <c r="B2129" s="30" t="n"/>
      <c r="C2129" s="30" t="n"/>
      <c r="D2129" s="30" t="n"/>
      <c r="E2129" s="30" t="n"/>
      <c r="F2129" s="30" t="n"/>
      <c r="G2129" s="30" t="n"/>
      <c r="H2129" s="30" t="n"/>
      <c r="I2129" s="31" t="n"/>
      <c r="J2129" s="30" t="n"/>
      <c r="K2129" s="30" t="n"/>
      <c r="L2129" s="30" t="n"/>
      <c r="M2129" s="30" t="n"/>
      <c r="N2129" s="32" t="n"/>
      <c r="O2129" s="30" t="n"/>
      <c r="P2129" s="32" t="n"/>
      <c r="Q2129" s="30" t="n"/>
      <c r="R2129" s="32" t="n"/>
      <c r="S2129" s="30" t="n"/>
      <c r="T2129" s="30" t="n"/>
      <c r="U2129" s="30" t="n"/>
      <c r="V2129" s="30" t="n"/>
      <c r="W2129" s="29">
        <f>IF(H2129="","",IF(H2129="Kenya","Yes","No"))</f>
        <v/>
      </c>
      <c r="X2129" s="29">
        <f>IF(B2129="","",IF(COUNTIF($B$5:$B$3004,B2129)&gt;1,"DUPLICATE","OK"))</f>
        <v/>
      </c>
      <c r="Y2129" s="29">
        <f>IF(OR(U2129="",V2129="",V2129="Excluded"),"",IF(COUNTIFS($U$5:$U$3004,U2129,$V$5:$V$3004,"&lt;&gt;"&amp;V2129,$V$5:$V$3004,"&lt;&gt;",$V$5:$V$3004,"&lt;&gt;Excluded")&gt;0,"LEAK RISK","OK"))</f>
        <v/>
      </c>
      <c r="Z2129" s="30" t="n"/>
    </row>
    <row r="2130">
      <c r="A2130" s="30" t="n"/>
      <c r="B2130" s="30" t="n"/>
      <c r="C2130" s="30" t="n"/>
      <c r="D2130" s="30" t="n"/>
      <c r="E2130" s="30" t="n"/>
      <c r="F2130" s="30" t="n"/>
      <c r="G2130" s="30" t="n"/>
      <c r="H2130" s="30" t="n"/>
      <c r="I2130" s="31" t="n"/>
      <c r="J2130" s="30" t="n"/>
      <c r="K2130" s="30" t="n"/>
      <c r="L2130" s="30" t="n"/>
      <c r="M2130" s="30" t="n"/>
      <c r="N2130" s="32" t="n"/>
      <c r="O2130" s="30" t="n"/>
      <c r="P2130" s="32" t="n"/>
      <c r="Q2130" s="30" t="n"/>
      <c r="R2130" s="32" t="n"/>
      <c r="S2130" s="30" t="n"/>
      <c r="T2130" s="30" t="n"/>
      <c r="U2130" s="30" t="n"/>
      <c r="V2130" s="30" t="n"/>
      <c r="W2130" s="29">
        <f>IF(H2130="","",IF(H2130="Kenya","Yes","No"))</f>
        <v/>
      </c>
      <c r="X2130" s="29">
        <f>IF(B2130="","",IF(COUNTIF($B$5:$B$3004,B2130)&gt;1,"DUPLICATE","OK"))</f>
        <v/>
      </c>
      <c r="Y2130" s="29">
        <f>IF(OR(U2130="",V2130="",V2130="Excluded"),"",IF(COUNTIFS($U$5:$U$3004,U2130,$V$5:$V$3004,"&lt;&gt;"&amp;V2130,$V$5:$V$3004,"&lt;&gt;",$V$5:$V$3004,"&lt;&gt;Excluded")&gt;0,"LEAK RISK","OK"))</f>
        <v/>
      </c>
      <c r="Z2130" s="30" t="n"/>
    </row>
    <row r="2131">
      <c r="A2131" s="30" t="n"/>
      <c r="B2131" s="30" t="n"/>
      <c r="C2131" s="30" t="n"/>
      <c r="D2131" s="30" t="n"/>
      <c r="E2131" s="30" t="n"/>
      <c r="F2131" s="30" t="n"/>
      <c r="G2131" s="30" t="n"/>
      <c r="H2131" s="30" t="n"/>
      <c r="I2131" s="31" t="n"/>
      <c r="J2131" s="30" t="n"/>
      <c r="K2131" s="30" t="n"/>
      <c r="L2131" s="30" t="n"/>
      <c r="M2131" s="30" t="n"/>
      <c r="N2131" s="32" t="n"/>
      <c r="O2131" s="30" t="n"/>
      <c r="P2131" s="32" t="n"/>
      <c r="Q2131" s="30" t="n"/>
      <c r="R2131" s="32" t="n"/>
      <c r="S2131" s="30" t="n"/>
      <c r="T2131" s="30" t="n"/>
      <c r="U2131" s="30" t="n"/>
      <c r="V2131" s="30" t="n"/>
      <c r="W2131" s="29">
        <f>IF(H2131="","",IF(H2131="Kenya","Yes","No"))</f>
        <v/>
      </c>
      <c r="X2131" s="29">
        <f>IF(B2131="","",IF(COUNTIF($B$5:$B$3004,B2131)&gt;1,"DUPLICATE","OK"))</f>
        <v/>
      </c>
      <c r="Y2131" s="29">
        <f>IF(OR(U2131="",V2131="",V2131="Excluded"),"",IF(COUNTIFS($U$5:$U$3004,U2131,$V$5:$V$3004,"&lt;&gt;"&amp;V2131,$V$5:$V$3004,"&lt;&gt;",$V$5:$V$3004,"&lt;&gt;Excluded")&gt;0,"LEAK RISK","OK"))</f>
        <v/>
      </c>
      <c r="Z2131" s="30" t="n"/>
    </row>
    <row r="2132">
      <c r="A2132" s="30" t="n"/>
      <c r="B2132" s="30" t="n"/>
      <c r="C2132" s="30" t="n"/>
      <c r="D2132" s="30" t="n"/>
      <c r="E2132" s="30" t="n"/>
      <c r="F2132" s="30" t="n"/>
      <c r="G2132" s="30" t="n"/>
      <c r="H2132" s="30" t="n"/>
      <c r="I2132" s="31" t="n"/>
      <c r="J2132" s="30" t="n"/>
      <c r="K2132" s="30" t="n"/>
      <c r="L2132" s="30" t="n"/>
      <c r="M2132" s="30" t="n"/>
      <c r="N2132" s="32" t="n"/>
      <c r="O2132" s="30" t="n"/>
      <c r="P2132" s="32" t="n"/>
      <c r="Q2132" s="30" t="n"/>
      <c r="R2132" s="32" t="n"/>
      <c r="S2132" s="30" t="n"/>
      <c r="T2132" s="30" t="n"/>
      <c r="U2132" s="30" t="n"/>
      <c r="V2132" s="30" t="n"/>
      <c r="W2132" s="29">
        <f>IF(H2132="","",IF(H2132="Kenya","Yes","No"))</f>
        <v/>
      </c>
      <c r="X2132" s="29">
        <f>IF(B2132="","",IF(COUNTIF($B$5:$B$3004,B2132)&gt;1,"DUPLICATE","OK"))</f>
        <v/>
      </c>
      <c r="Y2132" s="29">
        <f>IF(OR(U2132="",V2132="",V2132="Excluded"),"",IF(COUNTIFS($U$5:$U$3004,U2132,$V$5:$V$3004,"&lt;&gt;"&amp;V2132,$V$5:$V$3004,"&lt;&gt;",$V$5:$V$3004,"&lt;&gt;Excluded")&gt;0,"LEAK RISK","OK"))</f>
        <v/>
      </c>
      <c r="Z2132" s="30" t="n"/>
    </row>
    <row r="2133">
      <c r="A2133" s="30" t="n"/>
      <c r="B2133" s="30" t="n"/>
      <c r="C2133" s="30" t="n"/>
      <c r="D2133" s="30" t="n"/>
      <c r="E2133" s="30" t="n"/>
      <c r="F2133" s="30" t="n"/>
      <c r="G2133" s="30" t="n"/>
      <c r="H2133" s="30" t="n"/>
      <c r="I2133" s="31" t="n"/>
      <c r="J2133" s="30" t="n"/>
      <c r="K2133" s="30" t="n"/>
      <c r="L2133" s="30" t="n"/>
      <c r="M2133" s="30" t="n"/>
      <c r="N2133" s="32" t="n"/>
      <c r="O2133" s="30" t="n"/>
      <c r="P2133" s="32" t="n"/>
      <c r="Q2133" s="30" t="n"/>
      <c r="R2133" s="32" t="n"/>
      <c r="S2133" s="30" t="n"/>
      <c r="T2133" s="30" t="n"/>
      <c r="U2133" s="30" t="n"/>
      <c r="V2133" s="30" t="n"/>
      <c r="W2133" s="29">
        <f>IF(H2133="","",IF(H2133="Kenya","Yes","No"))</f>
        <v/>
      </c>
      <c r="X2133" s="29">
        <f>IF(B2133="","",IF(COUNTIF($B$5:$B$3004,B2133)&gt;1,"DUPLICATE","OK"))</f>
        <v/>
      </c>
      <c r="Y2133" s="29">
        <f>IF(OR(U2133="",V2133="",V2133="Excluded"),"",IF(COUNTIFS($U$5:$U$3004,U2133,$V$5:$V$3004,"&lt;&gt;"&amp;V2133,$V$5:$V$3004,"&lt;&gt;",$V$5:$V$3004,"&lt;&gt;Excluded")&gt;0,"LEAK RISK","OK"))</f>
        <v/>
      </c>
      <c r="Z2133" s="30" t="n"/>
    </row>
    <row r="2134">
      <c r="A2134" s="30" t="n"/>
      <c r="B2134" s="30" t="n"/>
      <c r="C2134" s="30" t="n"/>
      <c r="D2134" s="30" t="n"/>
      <c r="E2134" s="30" t="n"/>
      <c r="F2134" s="30" t="n"/>
      <c r="G2134" s="30" t="n"/>
      <c r="H2134" s="30" t="n"/>
      <c r="I2134" s="31" t="n"/>
      <c r="J2134" s="30" t="n"/>
      <c r="K2134" s="30" t="n"/>
      <c r="L2134" s="30" t="n"/>
      <c r="M2134" s="30" t="n"/>
      <c r="N2134" s="32" t="n"/>
      <c r="O2134" s="30" t="n"/>
      <c r="P2134" s="32" t="n"/>
      <c r="Q2134" s="30" t="n"/>
      <c r="R2134" s="32" t="n"/>
      <c r="S2134" s="30" t="n"/>
      <c r="T2134" s="30" t="n"/>
      <c r="U2134" s="30" t="n"/>
      <c r="V2134" s="30" t="n"/>
      <c r="W2134" s="29">
        <f>IF(H2134="","",IF(H2134="Kenya","Yes","No"))</f>
        <v/>
      </c>
      <c r="X2134" s="29">
        <f>IF(B2134="","",IF(COUNTIF($B$5:$B$3004,B2134)&gt;1,"DUPLICATE","OK"))</f>
        <v/>
      </c>
      <c r="Y2134" s="29">
        <f>IF(OR(U2134="",V2134="",V2134="Excluded"),"",IF(COUNTIFS($U$5:$U$3004,U2134,$V$5:$V$3004,"&lt;&gt;"&amp;V2134,$V$5:$V$3004,"&lt;&gt;",$V$5:$V$3004,"&lt;&gt;Excluded")&gt;0,"LEAK RISK","OK"))</f>
        <v/>
      </c>
      <c r="Z2134" s="30" t="n"/>
    </row>
    <row r="2135">
      <c r="A2135" s="30" t="n"/>
      <c r="B2135" s="30" t="n"/>
      <c r="C2135" s="30" t="n"/>
      <c r="D2135" s="30" t="n"/>
      <c r="E2135" s="30" t="n"/>
      <c r="F2135" s="30" t="n"/>
      <c r="G2135" s="30" t="n"/>
      <c r="H2135" s="30" t="n"/>
      <c r="I2135" s="31" t="n"/>
      <c r="J2135" s="30" t="n"/>
      <c r="K2135" s="30" t="n"/>
      <c r="L2135" s="30" t="n"/>
      <c r="M2135" s="30" t="n"/>
      <c r="N2135" s="32" t="n"/>
      <c r="O2135" s="30" t="n"/>
      <c r="P2135" s="32" t="n"/>
      <c r="Q2135" s="30" t="n"/>
      <c r="R2135" s="32" t="n"/>
      <c r="S2135" s="30" t="n"/>
      <c r="T2135" s="30" t="n"/>
      <c r="U2135" s="30" t="n"/>
      <c r="V2135" s="30" t="n"/>
      <c r="W2135" s="29">
        <f>IF(H2135="","",IF(H2135="Kenya","Yes","No"))</f>
        <v/>
      </c>
      <c r="X2135" s="29">
        <f>IF(B2135="","",IF(COUNTIF($B$5:$B$3004,B2135)&gt;1,"DUPLICATE","OK"))</f>
        <v/>
      </c>
      <c r="Y2135" s="29">
        <f>IF(OR(U2135="",V2135="",V2135="Excluded"),"",IF(COUNTIFS($U$5:$U$3004,U2135,$V$5:$V$3004,"&lt;&gt;"&amp;V2135,$V$5:$V$3004,"&lt;&gt;",$V$5:$V$3004,"&lt;&gt;Excluded")&gt;0,"LEAK RISK","OK"))</f>
        <v/>
      </c>
      <c r="Z2135" s="30" t="n"/>
    </row>
    <row r="2136">
      <c r="A2136" s="30" t="n"/>
      <c r="B2136" s="30" t="n"/>
      <c r="C2136" s="30" t="n"/>
      <c r="D2136" s="30" t="n"/>
      <c r="E2136" s="30" t="n"/>
      <c r="F2136" s="30" t="n"/>
      <c r="G2136" s="30" t="n"/>
      <c r="H2136" s="30" t="n"/>
      <c r="I2136" s="31" t="n"/>
      <c r="J2136" s="30" t="n"/>
      <c r="K2136" s="30" t="n"/>
      <c r="L2136" s="30" t="n"/>
      <c r="M2136" s="30" t="n"/>
      <c r="N2136" s="32" t="n"/>
      <c r="O2136" s="30" t="n"/>
      <c r="P2136" s="32" t="n"/>
      <c r="Q2136" s="30" t="n"/>
      <c r="R2136" s="32" t="n"/>
      <c r="S2136" s="30" t="n"/>
      <c r="T2136" s="30" t="n"/>
      <c r="U2136" s="30" t="n"/>
      <c r="V2136" s="30" t="n"/>
      <c r="W2136" s="29">
        <f>IF(H2136="","",IF(H2136="Kenya","Yes","No"))</f>
        <v/>
      </c>
      <c r="X2136" s="29">
        <f>IF(B2136="","",IF(COUNTIF($B$5:$B$3004,B2136)&gt;1,"DUPLICATE","OK"))</f>
        <v/>
      </c>
      <c r="Y2136" s="29">
        <f>IF(OR(U2136="",V2136="",V2136="Excluded"),"",IF(COUNTIFS($U$5:$U$3004,U2136,$V$5:$V$3004,"&lt;&gt;"&amp;V2136,$V$5:$V$3004,"&lt;&gt;",$V$5:$V$3004,"&lt;&gt;Excluded")&gt;0,"LEAK RISK","OK"))</f>
        <v/>
      </c>
      <c r="Z2136" s="30" t="n"/>
    </row>
    <row r="2137">
      <c r="A2137" s="30" t="n"/>
      <c r="B2137" s="30" t="n"/>
      <c r="C2137" s="30" t="n"/>
      <c r="D2137" s="30" t="n"/>
      <c r="E2137" s="30" t="n"/>
      <c r="F2137" s="30" t="n"/>
      <c r="G2137" s="30" t="n"/>
      <c r="H2137" s="30" t="n"/>
      <c r="I2137" s="31" t="n"/>
      <c r="J2137" s="30" t="n"/>
      <c r="K2137" s="30" t="n"/>
      <c r="L2137" s="30" t="n"/>
      <c r="M2137" s="30" t="n"/>
      <c r="N2137" s="32" t="n"/>
      <c r="O2137" s="30" t="n"/>
      <c r="P2137" s="32" t="n"/>
      <c r="Q2137" s="30" t="n"/>
      <c r="R2137" s="32" t="n"/>
      <c r="S2137" s="30" t="n"/>
      <c r="T2137" s="30" t="n"/>
      <c r="U2137" s="30" t="n"/>
      <c r="V2137" s="30" t="n"/>
      <c r="W2137" s="29">
        <f>IF(H2137="","",IF(H2137="Kenya","Yes","No"))</f>
        <v/>
      </c>
      <c r="X2137" s="29">
        <f>IF(B2137="","",IF(COUNTIF($B$5:$B$3004,B2137)&gt;1,"DUPLICATE","OK"))</f>
        <v/>
      </c>
      <c r="Y2137" s="29">
        <f>IF(OR(U2137="",V2137="",V2137="Excluded"),"",IF(COUNTIFS($U$5:$U$3004,U2137,$V$5:$V$3004,"&lt;&gt;"&amp;V2137,$V$5:$V$3004,"&lt;&gt;",$V$5:$V$3004,"&lt;&gt;Excluded")&gt;0,"LEAK RISK","OK"))</f>
        <v/>
      </c>
      <c r="Z2137" s="30" t="n"/>
    </row>
    <row r="2138">
      <c r="A2138" s="30" t="n"/>
      <c r="B2138" s="30" t="n"/>
      <c r="C2138" s="30" t="n"/>
      <c r="D2138" s="30" t="n"/>
      <c r="E2138" s="30" t="n"/>
      <c r="F2138" s="30" t="n"/>
      <c r="G2138" s="30" t="n"/>
      <c r="H2138" s="30" t="n"/>
      <c r="I2138" s="31" t="n"/>
      <c r="J2138" s="30" t="n"/>
      <c r="K2138" s="30" t="n"/>
      <c r="L2138" s="30" t="n"/>
      <c r="M2138" s="30" t="n"/>
      <c r="N2138" s="32" t="n"/>
      <c r="O2138" s="30" t="n"/>
      <c r="P2138" s="32" t="n"/>
      <c r="Q2138" s="30" t="n"/>
      <c r="R2138" s="32" t="n"/>
      <c r="S2138" s="30" t="n"/>
      <c r="T2138" s="30" t="n"/>
      <c r="U2138" s="30" t="n"/>
      <c r="V2138" s="30" t="n"/>
      <c r="W2138" s="29">
        <f>IF(H2138="","",IF(H2138="Kenya","Yes","No"))</f>
        <v/>
      </c>
      <c r="X2138" s="29">
        <f>IF(B2138="","",IF(COUNTIF($B$5:$B$3004,B2138)&gt;1,"DUPLICATE","OK"))</f>
        <v/>
      </c>
      <c r="Y2138" s="29">
        <f>IF(OR(U2138="",V2138="",V2138="Excluded"),"",IF(COUNTIFS($U$5:$U$3004,U2138,$V$5:$V$3004,"&lt;&gt;"&amp;V2138,$V$5:$V$3004,"&lt;&gt;",$V$5:$V$3004,"&lt;&gt;Excluded")&gt;0,"LEAK RISK","OK"))</f>
        <v/>
      </c>
      <c r="Z2138" s="30" t="n"/>
    </row>
    <row r="2139">
      <c r="A2139" s="30" t="n"/>
      <c r="B2139" s="30" t="n"/>
      <c r="C2139" s="30" t="n"/>
      <c r="D2139" s="30" t="n"/>
      <c r="E2139" s="30" t="n"/>
      <c r="F2139" s="30" t="n"/>
      <c r="G2139" s="30" t="n"/>
      <c r="H2139" s="30" t="n"/>
      <c r="I2139" s="31" t="n"/>
      <c r="J2139" s="30" t="n"/>
      <c r="K2139" s="30" t="n"/>
      <c r="L2139" s="30" t="n"/>
      <c r="M2139" s="30" t="n"/>
      <c r="N2139" s="32" t="n"/>
      <c r="O2139" s="30" t="n"/>
      <c r="P2139" s="32" t="n"/>
      <c r="Q2139" s="30" t="n"/>
      <c r="R2139" s="32" t="n"/>
      <c r="S2139" s="30" t="n"/>
      <c r="T2139" s="30" t="n"/>
      <c r="U2139" s="30" t="n"/>
      <c r="V2139" s="30" t="n"/>
      <c r="W2139" s="29">
        <f>IF(H2139="","",IF(H2139="Kenya","Yes","No"))</f>
        <v/>
      </c>
      <c r="X2139" s="29">
        <f>IF(B2139="","",IF(COUNTIF($B$5:$B$3004,B2139)&gt;1,"DUPLICATE","OK"))</f>
        <v/>
      </c>
      <c r="Y2139" s="29">
        <f>IF(OR(U2139="",V2139="",V2139="Excluded"),"",IF(COUNTIFS($U$5:$U$3004,U2139,$V$5:$V$3004,"&lt;&gt;"&amp;V2139,$V$5:$V$3004,"&lt;&gt;",$V$5:$V$3004,"&lt;&gt;Excluded")&gt;0,"LEAK RISK","OK"))</f>
        <v/>
      </c>
      <c r="Z2139" s="30" t="n"/>
    </row>
    <row r="2140">
      <c r="A2140" s="30" t="n"/>
      <c r="B2140" s="30" t="n"/>
      <c r="C2140" s="30" t="n"/>
      <c r="D2140" s="30" t="n"/>
      <c r="E2140" s="30" t="n"/>
      <c r="F2140" s="30" t="n"/>
      <c r="G2140" s="30" t="n"/>
      <c r="H2140" s="30" t="n"/>
      <c r="I2140" s="31" t="n"/>
      <c r="J2140" s="30" t="n"/>
      <c r="K2140" s="30" t="n"/>
      <c r="L2140" s="30" t="n"/>
      <c r="M2140" s="30" t="n"/>
      <c r="N2140" s="32" t="n"/>
      <c r="O2140" s="30" t="n"/>
      <c r="P2140" s="32" t="n"/>
      <c r="Q2140" s="30" t="n"/>
      <c r="R2140" s="32" t="n"/>
      <c r="S2140" s="30" t="n"/>
      <c r="T2140" s="30" t="n"/>
      <c r="U2140" s="30" t="n"/>
      <c r="V2140" s="30" t="n"/>
      <c r="W2140" s="29">
        <f>IF(H2140="","",IF(H2140="Kenya","Yes","No"))</f>
        <v/>
      </c>
      <c r="X2140" s="29">
        <f>IF(B2140="","",IF(COUNTIF($B$5:$B$3004,B2140)&gt;1,"DUPLICATE","OK"))</f>
        <v/>
      </c>
      <c r="Y2140" s="29">
        <f>IF(OR(U2140="",V2140="",V2140="Excluded"),"",IF(COUNTIFS($U$5:$U$3004,U2140,$V$5:$V$3004,"&lt;&gt;"&amp;V2140,$V$5:$V$3004,"&lt;&gt;",$V$5:$V$3004,"&lt;&gt;Excluded")&gt;0,"LEAK RISK","OK"))</f>
        <v/>
      </c>
      <c r="Z2140" s="30" t="n"/>
    </row>
    <row r="2141">
      <c r="A2141" s="30" t="n"/>
      <c r="B2141" s="30" t="n"/>
      <c r="C2141" s="30" t="n"/>
      <c r="D2141" s="30" t="n"/>
      <c r="E2141" s="30" t="n"/>
      <c r="F2141" s="30" t="n"/>
      <c r="G2141" s="30" t="n"/>
      <c r="H2141" s="30" t="n"/>
      <c r="I2141" s="31" t="n"/>
      <c r="J2141" s="30" t="n"/>
      <c r="K2141" s="30" t="n"/>
      <c r="L2141" s="30" t="n"/>
      <c r="M2141" s="30" t="n"/>
      <c r="N2141" s="32" t="n"/>
      <c r="O2141" s="30" t="n"/>
      <c r="P2141" s="32" t="n"/>
      <c r="Q2141" s="30" t="n"/>
      <c r="R2141" s="32" t="n"/>
      <c r="S2141" s="30" t="n"/>
      <c r="T2141" s="30" t="n"/>
      <c r="U2141" s="30" t="n"/>
      <c r="V2141" s="30" t="n"/>
      <c r="W2141" s="29">
        <f>IF(H2141="","",IF(H2141="Kenya","Yes","No"))</f>
        <v/>
      </c>
      <c r="X2141" s="29">
        <f>IF(B2141="","",IF(COUNTIF($B$5:$B$3004,B2141)&gt;1,"DUPLICATE","OK"))</f>
        <v/>
      </c>
      <c r="Y2141" s="29">
        <f>IF(OR(U2141="",V2141="",V2141="Excluded"),"",IF(COUNTIFS($U$5:$U$3004,U2141,$V$5:$V$3004,"&lt;&gt;"&amp;V2141,$V$5:$V$3004,"&lt;&gt;",$V$5:$V$3004,"&lt;&gt;Excluded")&gt;0,"LEAK RISK","OK"))</f>
        <v/>
      </c>
      <c r="Z2141" s="30" t="n"/>
    </row>
    <row r="2142">
      <c r="A2142" s="30" t="n"/>
      <c r="B2142" s="30" t="n"/>
      <c r="C2142" s="30" t="n"/>
      <c r="D2142" s="30" t="n"/>
      <c r="E2142" s="30" t="n"/>
      <c r="F2142" s="30" t="n"/>
      <c r="G2142" s="30" t="n"/>
      <c r="H2142" s="30" t="n"/>
      <c r="I2142" s="31" t="n"/>
      <c r="J2142" s="30" t="n"/>
      <c r="K2142" s="30" t="n"/>
      <c r="L2142" s="30" t="n"/>
      <c r="M2142" s="30" t="n"/>
      <c r="N2142" s="32" t="n"/>
      <c r="O2142" s="30" t="n"/>
      <c r="P2142" s="32" t="n"/>
      <c r="Q2142" s="30" t="n"/>
      <c r="R2142" s="32" t="n"/>
      <c r="S2142" s="30" t="n"/>
      <c r="T2142" s="30" t="n"/>
      <c r="U2142" s="30" t="n"/>
      <c r="V2142" s="30" t="n"/>
      <c r="W2142" s="29">
        <f>IF(H2142="","",IF(H2142="Kenya","Yes","No"))</f>
        <v/>
      </c>
      <c r="X2142" s="29">
        <f>IF(B2142="","",IF(COUNTIF($B$5:$B$3004,B2142)&gt;1,"DUPLICATE","OK"))</f>
        <v/>
      </c>
      <c r="Y2142" s="29">
        <f>IF(OR(U2142="",V2142="",V2142="Excluded"),"",IF(COUNTIFS($U$5:$U$3004,U2142,$V$5:$V$3004,"&lt;&gt;"&amp;V2142,$V$5:$V$3004,"&lt;&gt;",$V$5:$V$3004,"&lt;&gt;Excluded")&gt;0,"LEAK RISK","OK"))</f>
        <v/>
      </c>
      <c r="Z2142" s="30" t="n"/>
    </row>
    <row r="2143">
      <c r="A2143" s="30" t="n"/>
      <c r="B2143" s="30" t="n"/>
      <c r="C2143" s="30" t="n"/>
      <c r="D2143" s="30" t="n"/>
      <c r="E2143" s="30" t="n"/>
      <c r="F2143" s="30" t="n"/>
      <c r="G2143" s="30" t="n"/>
      <c r="H2143" s="30" t="n"/>
      <c r="I2143" s="31" t="n"/>
      <c r="J2143" s="30" t="n"/>
      <c r="K2143" s="30" t="n"/>
      <c r="L2143" s="30" t="n"/>
      <c r="M2143" s="30" t="n"/>
      <c r="N2143" s="32" t="n"/>
      <c r="O2143" s="30" t="n"/>
      <c r="P2143" s="32" t="n"/>
      <c r="Q2143" s="30" t="n"/>
      <c r="R2143" s="32" t="n"/>
      <c r="S2143" s="30" t="n"/>
      <c r="T2143" s="30" t="n"/>
      <c r="U2143" s="30" t="n"/>
      <c r="V2143" s="30" t="n"/>
      <c r="W2143" s="29">
        <f>IF(H2143="","",IF(H2143="Kenya","Yes","No"))</f>
        <v/>
      </c>
      <c r="X2143" s="29">
        <f>IF(B2143="","",IF(COUNTIF($B$5:$B$3004,B2143)&gt;1,"DUPLICATE","OK"))</f>
        <v/>
      </c>
      <c r="Y2143" s="29">
        <f>IF(OR(U2143="",V2143="",V2143="Excluded"),"",IF(COUNTIFS($U$5:$U$3004,U2143,$V$5:$V$3004,"&lt;&gt;"&amp;V2143,$V$5:$V$3004,"&lt;&gt;",$V$5:$V$3004,"&lt;&gt;Excluded")&gt;0,"LEAK RISK","OK"))</f>
        <v/>
      </c>
      <c r="Z2143" s="30" t="n"/>
    </row>
    <row r="2144">
      <c r="A2144" s="30" t="n"/>
      <c r="B2144" s="30" t="n"/>
      <c r="C2144" s="30" t="n"/>
      <c r="D2144" s="30" t="n"/>
      <c r="E2144" s="30" t="n"/>
      <c r="F2144" s="30" t="n"/>
      <c r="G2144" s="30" t="n"/>
      <c r="H2144" s="30" t="n"/>
      <c r="I2144" s="31" t="n"/>
      <c r="J2144" s="30" t="n"/>
      <c r="K2144" s="30" t="n"/>
      <c r="L2144" s="30" t="n"/>
      <c r="M2144" s="30" t="n"/>
      <c r="N2144" s="32" t="n"/>
      <c r="O2144" s="30" t="n"/>
      <c r="P2144" s="32" t="n"/>
      <c r="Q2144" s="30" t="n"/>
      <c r="R2144" s="32" t="n"/>
      <c r="S2144" s="30" t="n"/>
      <c r="T2144" s="30" t="n"/>
      <c r="U2144" s="30" t="n"/>
      <c r="V2144" s="30" t="n"/>
      <c r="W2144" s="29">
        <f>IF(H2144="","",IF(H2144="Kenya","Yes","No"))</f>
        <v/>
      </c>
      <c r="X2144" s="29">
        <f>IF(B2144="","",IF(COUNTIF($B$5:$B$3004,B2144)&gt;1,"DUPLICATE","OK"))</f>
        <v/>
      </c>
      <c r="Y2144" s="29">
        <f>IF(OR(U2144="",V2144="",V2144="Excluded"),"",IF(COUNTIFS($U$5:$U$3004,U2144,$V$5:$V$3004,"&lt;&gt;"&amp;V2144,$V$5:$V$3004,"&lt;&gt;",$V$5:$V$3004,"&lt;&gt;Excluded")&gt;0,"LEAK RISK","OK"))</f>
        <v/>
      </c>
      <c r="Z2144" s="30" t="n"/>
    </row>
    <row r="2145">
      <c r="A2145" s="30" t="n"/>
      <c r="B2145" s="30" t="n"/>
      <c r="C2145" s="30" t="n"/>
      <c r="D2145" s="30" t="n"/>
      <c r="E2145" s="30" t="n"/>
      <c r="F2145" s="30" t="n"/>
      <c r="G2145" s="30" t="n"/>
      <c r="H2145" s="30" t="n"/>
      <c r="I2145" s="31" t="n"/>
      <c r="J2145" s="30" t="n"/>
      <c r="K2145" s="30" t="n"/>
      <c r="L2145" s="30" t="n"/>
      <c r="M2145" s="30" t="n"/>
      <c r="N2145" s="32" t="n"/>
      <c r="O2145" s="30" t="n"/>
      <c r="P2145" s="32" t="n"/>
      <c r="Q2145" s="30" t="n"/>
      <c r="R2145" s="32" t="n"/>
      <c r="S2145" s="30" t="n"/>
      <c r="T2145" s="30" t="n"/>
      <c r="U2145" s="30" t="n"/>
      <c r="V2145" s="30" t="n"/>
      <c r="W2145" s="29">
        <f>IF(H2145="","",IF(H2145="Kenya","Yes","No"))</f>
        <v/>
      </c>
      <c r="X2145" s="29">
        <f>IF(B2145="","",IF(COUNTIF($B$5:$B$3004,B2145)&gt;1,"DUPLICATE","OK"))</f>
        <v/>
      </c>
      <c r="Y2145" s="29">
        <f>IF(OR(U2145="",V2145="",V2145="Excluded"),"",IF(COUNTIFS($U$5:$U$3004,U2145,$V$5:$V$3004,"&lt;&gt;"&amp;V2145,$V$5:$V$3004,"&lt;&gt;",$V$5:$V$3004,"&lt;&gt;Excluded")&gt;0,"LEAK RISK","OK"))</f>
        <v/>
      </c>
      <c r="Z2145" s="30" t="n"/>
    </row>
    <row r="2146">
      <c r="A2146" s="30" t="n"/>
      <c r="B2146" s="30" t="n"/>
      <c r="C2146" s="30" t="n"/>
      <c r="D2146" s="30" t="n"/>
      <c r="E2146" s="30" t="n"/>
      <c r="F2146" s="30" t="n"/>
      <c r="G2146" s="30" t="n"/>
      <c r="H2146" s="30" t="n"/>
      <c r="I2146" s="31" t="n"/>
      <c r="J2146" s="30" t="n"/>
      <c r="K2146" s="30" t="n"/>
      <c r="L2146" s="30" t="n"/>
      <c r="M2146" s="30" t="n"/>
      <c r="N2146" s="32" t="n"/>
      <c r="O2146" s="30" t="n"/>
      <c r="P2146" s="32" t="n"/>
      <c r="Q2146" s="30" t="n"/>
      <c r="R2146" s="32" t="n"/>
      <c r="S2146" s="30" t="n"/>
      <c r="T2146" s="30" t="n"/>
      <c r="U2146" s="30" t="n"/>
      <c r="V2146" s="30" t="n"/>
      <c r="W2146" s="29">
        <f>IF(H2146="","",IF(H2146="Kenya","Yes","No"))</f>
        <v/>
      </c>
      <c r="X2146" s="29">
        <f>IF(B2146="","",IF(COUNTIF($B$5:$B$3004,B2146)&gt;1,"DUPLICATE","OK"))</f>
        <v/>
      </c>
      <c r="Y2146" s="29">
        <f>IF(OR(U2146="",V2146="",V2146="Excluded"),"",IF(COUNTIFS($U$5:$U$3004,U2146,$V$5:$V$3004,"&lt;&gt;"&amp;V2146,$V$5:$V$3004,"&lt;&gt;",$V$5:$V$3004,"&lt;&gt;Excluded")&gt;0,"LEAK RISK","OK"))</f>
        <v/>
      </c>
      <c r="Z2146" s="30" t="n"/>
    </row>
    <row r="2147">
      <c r="A2147" s="30" t="n"/>
      <c r="B2147" s="30" t="n"/>
      <c r="C2147" s="30" t="n"/>
      <c r="D2147" s="30" t="n"/>
      <c r="E2147" s="30" t="n"/>
      <c r="F2147" s="30" t="n"/>
      <c r="G2147" s="30" t="n"/>
      <c r="H2147" s="30" t="n"/>
      <c r="I2147" s="31" t="n"/>
      <c r="J2147" s="30" t="n"/>
      <c r="K2147" s="30" t="n"/>
      <c r="L2147" s="30" t="n"/>
      <c r="M2147" s="30" t="n"/>
      <c r="N2147" s="32" t="n"/>
      <c r="O2147" s="30" t="n"/>
      <c r="P2147" s="32" t="n"/>
      <c r="Q2147" s="30" t="n"/>
      <c r="R2147" s="32" t="n"/>
      <c r="S2147" s="30" t="n"/>
      <c r="T2147" s="30" t="n"/>
      <c r="U2147" s="30" t="n"/>
      <c r="V2147" s="30" t="n"/>
      <c r="W2147" s="29">
        <f>IF(H2147="","",IF(H2147="Kenya","Yes","No"))</f>
        <v/>
      </c>
      <c r="X2147" s="29">
        <f>IF(B2147="","",IF(COUNTIF($B$5:$B$3004,B2147)&gt;1,"DUPLICATE","OK"))</f>
        <v/>
      </c>
      <c r="Y2147" s="29">
        <f>IF(OR(U2147="",V2147="",V2147="Excluded"),"",IF(COUNTIFS($U$5:$U$3004,U2147,$V$5:$V$3004,"&lt;&gt;"&amp;V2147,$V$5:$V$3004,"&lt;&gt;",$V$5:$V$3004,"&lt;&gt;Excluded")&gt;0,"LEAK RISK","OK"))</f>
        <v/>
      </c>
      <c r="Z2147" s="30" t="n"/>
    </row>
    <row r="2148">
      <c r="A2148" s="30" t="n"/>
      <c r="B2148" s="30" t="n"/>
      <c r="C2148" s="30" t="n"/>
      <c r="D2148" s="30" t="n"/>
      <c r="E2148" s="30" t="n"/>
      <c r="F2148" s="30" t="n"/>
      <c r="G2148" s="30" t="n"/>
      <c r="H2148" s="30" t="n"/>
      <c r="I2148" s="31" t="n"/>
      <c r="J2148" s="30" t="n"/>
      <c r="K2148" s="30" t="n"/>
      <c r="L2148" s="30" t="n"/>
      <c r="M2148" s="30" t="n"/>
      <c r="N2148" s="32" t="n"/>
      <c r="O2148" s="30" t="n"/>
      <c r="P2148" s="32" t="n"/>
      <c r="Q2148" s="30" t="n"/>
      <c r="R2148" s="32" t="n"/>
      <c r="S2148" s="30" t="n"/>
      <c r="T2148" s="30" t="n"/>
      <c r="U2148" s="30" t="n"/>
      <c r="V2148" s="30" t="n"/>
      <c r="W2148" s="29">
        <f>IF(H2148="","",IF(H2148="Kenya","Yes","No"))</f>
        <v/>
      </c>
      <c r="X2148" s="29">
        <f>IF(B2148="","",IF(COUNTIF($B$5:$B$3004,B2148)&gt;1,"DUPLICATE","OK"))</f>
        <v/>
      </c>
      <c r="Y2148" s="29">
        <f>IF(OR(U2148="",V2148="",V2148="Excluded"),"",IF(COUNTIFS($U$5:$U$3004,U2148,$V$5:$V$3004,"&lt;&gt;"&amp;V2148,$V$5:$V$3004,"&lt;&gt;",$V$5:$V$3004,"&lt;&gt;Excluded")&gt;0,"LEAK RISK","OK"))</f>
        <v/>
      </c>
      <c r="Z2148" s="30" t="n"/>
    </row>
    <row r="2149">
      <c r="A2149" s="30" t="n"/>
      <c r="B2149" s="30" t="n"/>
      <c r="C2149" s="30" t="n"/>
      <c r="D2149" s="30" t="n"/>
      <c r="E2149" s="30" t="n"/>
      <c r="F2149" s="30" t="n"/>
      <c r="G2149" s="30" t="n"/>
      <c r="H2149" s="30" t="n"/>
      <c r="I2149" s="31" t="n"/>
      <c r="J2149" s="30" t="n"/>
      <c r="K2149" s="30" t="n"/>
      <c r="L2149" s="30" t="n"/>
      <c r="M2149" s="30" t="n"/>
      <c r="N2149" s="32" t="n"/>
      <c r="O2149" s="30" t="n"/>
      <c r="P2149" s="32" t="n"/>
      <c r="Q2149" s="30" t="n"/>
      <c r="R2149" s="32" t="n"/>
      <c r="S2149" s="30" t="n"/>
      <c r="T2149" s="30" t="n"/>
      <c r="U2149" s="30" t="n"/>
      <c r="V2149" s="30" t="n"/>
      <c r="W2149" s="29">
        <f>IF(H2149="","",IF(H2149="Kenya","Yes","No"))</f>
        <v/>
      </c>
      <c r="X2149" s="29">
        <f>IF(B2149="","",IF(COUNTIF($B$5:$B$3004,B2149)&gt;1,"DUPLICATE","OK"))</f>
        <v/>
      </c>
      <c r="Y2149" s="29">
        <f>IF(OR(U2149="",V2149="",V2149="Excluded"),"",IF(COUNTIFS($U$5:$U$3004,U2149,$V$5:$V$3004,"&lt;&gt;"&amp;V2149,$V$5:$V$3004,"&lt;&gt;",$V$5:$V$3004,"&lt;&gt;Excluded")&gt;0,"LEAK RISK","OK"))</f>
        <v/>
      </c>
      <c r="Z2149" s="30" t="n"/>
    </row>
    <row r="2150">
      <c r="A2150" s="30" t="n"/>
      <c r="B2150" s="30" t="n"/>
      <c r="C2150" s="30" t="n"/>
      <c r="D2150" s="30" t="n"/>
      <c r="E2150" s="30" t="n"/>
      <c r="F2150" s="30" t="n"/>
      <c r="G2150" s="30" t="n"/>
      <c r="H2150" s="30" t="n"/>
      <c r="I2150" s="31" t="n"/>
      <c r="J2150" s="30" t="n"/>
      <c r="K2150" s="30" t="n"/>
      <c r="L2150" s="30" t="n"/>
      <c r="M2150" s="30" t="n"/>
      <c r="N2150" s="32" t="n"/>
      <c r="O2150" s="30" t="n"/>
      <c r="P2150" s="32" t="n"/>
      <c r="Q2150" s="30" t="n"/>
      <c r="R2150" s="32" t="n"/>
      <c r="S2150" s="30" t="n"/>
      <c r="T2150" s="30" t="n"/>
      <c r="U2150" s="30" t="n"/>
      <c r="V2150" s="30" t="n"/>
      <c r="W2150" s="29">
        <f>IF(H2150="","",IF(H2150="Kenya","Yes","No"))</f>
        <v/>
      </c>
      <c r="X2150" s="29">
        <f>IF(B2150="","",IF(COUNTIF($B$5:$B$3004,B2150)&gt;1,"DUPLICATE","OK"))</f>
        <v/>
      </c>
      <c r="Y2150" s="29">
        <f>IF(OR(U2150="",V2150="",V2150="Excluded"),"",IF(COUNTIFS($U$5:$U$3004,U2150,$V$5:$V$3004,"&lt;&gt;"&amp;V2150,$V$5:$V$3004,"&lt;&gt;",$V$5:$V$3004,"&lt;&gt;Excluded")&gt;0,"LEAK RISK","OK"))</f>
        <v/>
      </c>
      <c r="Z2150" s="30" t="n"/>
    </row>
    <row r="2151">
      <c r="A2151" s="30" t="n"/>
      <c r="B2151" s="30" t="n"/>
      <c r="C2151" s="30" t="n"/>
      <c r="D2151" s="30" t="n"/>
      <c r="E2151" s="30" t="n"/>
      <c r="F2151" s="30" t="n"/>
      <c r="G2151" s="30" t="n"/>
      <c r="H2151" s="30" t="n"/>
      <c r="I2151" s="31" t="n"/>
      <c r="J2151" s="30" t="n"/>
      <c r="K2151" s="30" t="n"/>
      <c r="L2151" s="30" t="n"/>
      <c r="M2151" s="30" t="n"/>
      <c r="N2151" s="32" t="n"/>
      <c r="O2151" s="30" t="n"/>
      <c r="P2151" s="32" t="n"/>
      <c r="Q2151" s="30" t="n"/>
      <c r="R2151" s="32" t="n"/>
      <c r="S2151" s="30" t="n"/>
      <c r="T2151" s="30" t="n"/>
      <c r="U2151" s="30" t="n"/>
      <c r="V2151" s="30" t="n"/>
      <c r="W2151" s="29">
        <f>IF(H2151="","",IF(H2151="Kenya","Yes","No"))</f>
        <v/>
      </c>
      <c r="X2151" s="29">
        <f>IF(B2151="","",IF(COUNTIF($B$5:$B$3004,B2151)&gt;1,"DUPLICATE","OK"))</f>
        <v/>
      </c>
      <c r="Y2151" s="29">
        <f>IF(OR(U2151="",V2151="",V2151="Excluded"),"",IF(COUNTIFS($U$5:$U$3004,U2151,$V$5:$V$3004,"&lt;&gt;"&amp;V2151,$V$5:$V$3004,"&lt;&gt;",$V$5:$V$3004,"&lt;&gt;Excluded")&gt;0,"LEAK RISK","OK"))</f>
        <v/>
      </c>
      <c r="Z2151" s="30" t="n"/>
    </row>
    <row r="2152">
      <c r="A2152" s="30" t="n"/>
      <c r="B2152" s="30" t="n"/>
      <c r="C2152" s="30" t="n"/>
      <c r="D2152" s="30" t="n"/>
      <c r="E2152" s="30" t="n"/>
      <c r="F2152" s="30" t="n"/>
      <c r="G2152" s="30" t="n"/>
      <c r="H2152" s="30" t="n"/>
      <c r="I2152" s="31" t="n"/>
      <c r="J2152" s="30" t="n"/>
      <c r="K2152" s="30" t="n"/>
      <c r="L2152" s="30" t="n"/>
      <c r="M2152" s="30" t="n"/>
      <c r="N2152" s="32" t="n"/>
      <c r="O2152" s="30" t="n"/>
      <c r="P2152" s="32" t="n"/>
      <c r="Q2152" s="30" t="n"/>
      <c r="R2152" s="32" t="n"/>
      <c r="S2152" s="30" t="n"/>
      <c r="T2152" s="30" t="n"/>
      <c r="U2152" s="30" t="n"/>
      <c r="V2152" s="30" t="n"/>
      <c r="W2152" s="29">
        <f>IF(H2152="","",IF(H2152="Kenya","Yes","No"))</f>
        <v/>
      </c>
      <c r="X2152" s="29">
        <f>IF(B2152="","",IF(COUNTIF($B$5:$B$3004,B2152)&gt;1,"DUPLICATE","OK"))</f>
        <v/>
      </c>
      <c r="Y2152" s="29">
        <f>IF(OR(U2152="",V2152="",V2152="Excluded"),"",IF(COUNTIFS($U$5:$U$3004,U2152,$V$5:$V$3004,"&lt;&gt;"&amp;V2152,$V$5:$V$3004,"&lt;&gt;",$V$5:$V$3004,"&lt;&gt;Excluded")&gt;0,"LEAK RISK","OK"))</f>
        <v/>
      </c>
      <c r="Z2152" s="30" t="n"/>
    </row>
    <row r="2153">
      <c r="A2153" s="30" t="n"/>
      <c r="B2153" s="30" t="n"/>
      <c r="C2153" s="30" t="n"/>
      <c r="D2153" s="30" t="n"/>
      <c r="E2153" s="30" t="n"/>
      <c r="F2153" s="30" t="n"/>
      <c r="G2153" s="30" t="n"/>
      <c r="H2153" s="30" t="n"/>
      <c r="I2153" s="31" t="n"/>
      <c r="J2153" s="30" t="n"/>
      <c r="K2153" s="30" t="n"/>
      <c r="L2153" s="30" t="n"/>
      <c r="M2153" s="30" t="n"/>
      <c r="N2153" s="32" t="n"/>
      <c r="O2153" s="30" t="n"/>
      <c r="P2153" s="32" t="n"/>
      <c r="Q2153" s="30" t="n"/>
      <c r="R2153" s="32" t="n"/>
      <c r="S2153" s="30" t="n"/>
      <c r="T2153" s="30" t="n"/>
      <c r="U2153" s="30" t="n"/>
      <c r="V2153" s="30" t="n"/>
      <c r="W2153" s="29">
        <f>IF(H2153="","",IF(H2153="Kenya","Yes","No"))</f>
        <v/>
      </c>
      <c r="X2153" s="29">
        <f>IF(B2153="","",IF(COUNTIF($B$5:$B$3004,B2153)&gt;1,"DUPLICATE","OK"))</f>
        <v/>
      </c>
      <c r="Y2153" s="29">
        <f>IF(OR(U2153="",V2153="",V2153="Excluded"),"",IF(COUNTIFS($U$5:$U$3004,U2153,$V$5:$V$3004,"&lt;&gt;"&amp;V2153,$V$5:$V$3004,"&lt;&gt;",$V$5:$V$3004,"&lt;&gt;Excluded")&gt;0,"LEAK RISK","OK"))</f>
        <v/>
      </c>
      <c r="Z2153" s="30" t="n"/>
    </row>
    <row r="2154">
      <c r="A2154" s="30" t="n"/>
      <c r="B2154" s="30" t="n"/>
      <c r="C2154" s="30" t="n"/>
      <c r="D2154" s="30" t="n"/>
      <c r="E2154" s="30" t="n"/>
      <c r="F2154" s="30" t="n"/>
      <c r="G2154" s="30" t="n"/>
      <c r="H2154" s="30" t="n"/>
      <c r="I2154" s="31" t="n"/>
      <c r="J2154" s="30" t="n"/>
      <c r="K2154" s="30" t="n"/>
      <c r="L2154" s="30" t="n"/>
      <c r="M2154" s="30" t="n"/>
      <c r="N2154" s="32" t="n"/>
      <c r="O2154" s="30" t="n"/>
      <c r="P2154" s="32" t="n"/>
      <c r="Q2154" s="30" t="n"/>
      <c r="R2154" s="32" t="n"/>
      <c r="S2154" s="30" t="n"/>
      <c r="T2154" s="30" t="n"/>
      <c r="U2154" s="30" t="n"/>
      <c r="V2154" s="30" t="n"/>
      <c r="W2154" s="29">
        <f>IF(H2154="","",IF(H2154="Kenya","Yes","No"))</f>
        <v/>
      </c>
      <c r="X2154" s="29">
        <f>IF(B2154="","",IF(COUNTIF($B$5:$B$3004,B2154)&gt;1,"DUPLICATE","OK"))</f>
        <v/>
      </c>
      <c r="Y2154" s="29">
        <f>IF(OR(U2154="",V2154="",V2154="Excluded"),"",IF(COUNTIFS($U$5:$U$3004,U2154,$V$5:$V$3004,"&lt;&gt;"&amp;V2154,$V$5:$V$3004,"&lt;&gt;",$V$5:$V$3004,"&lt;&gt;Excluded")&gt;0,"LEAK RISK","OK"))</f>
        <v/>
      </c>
      <c r="Z2154" s="30" t="n"/>
    </row>
    <row r="2155">
      <c r="A2155" s="30" t="n"/>
      <c r="B2155" s="30" t="n"/>
      <c r="C2155" s="30" t="n"/>
      <c r="D2155" s="30" t="n"/>
      <c r="E2155" s="30" t="n"/>
      <c r="F2155" s="30" t="n"/>
      <c r="G2155" s="30" t="n"/>
      <c r="H2155" s="30" t="n"/>
      <c r="I2155" s="31" t="n"/>
      <c r="J2155" s="30" t="n"/>
      <c r="K2155" s="30" t="n"/>
      <c r="L2155" s="30" t="n"/>
      <c r="M2155" s="30" t="n"/>
      <c r="N2155" s="32" t="n"/>
      <c r="O2155" s="30" t="n"/>
      <c r="P2155" s="32" t="n"/>
      <c r="Q2155" s="30" t="n"/>
      <c r="R2155" s="32" t="n"/>
      <c r="S2155" s="30" t="n"/>
      <c r="T2155" s="30" t="n"/>
      <c r="U2155" s="30" t="n"/>
      <c r="V2155" s="30" t="n"/>
      <c r="W2155" s="29">
        <f>IF(H2155="","",IF(H2155="Kenya","Yes","No"))</f>
        <v/>
      </c>
      <c r="X2155" s="29">
        <f>IF(B2155="","",IF(COUNTIF($B$5:$B$3004,B2155)&gt;1,"DUPLICATE","OK"))</f>
        <v/>
      </c>
      <c r="Y2155" s="29">
        <f>IF(OR(U2155="",V2155="",V2155="Excluded"),"",IF(COUNTIFS($U$5:$U$3004,U2155,$V$5:$V$3004,"&lt;&gt;"&amp;V2155,$V$5:$V$3004,"&lt;&gt;",$V$5:$V$3004,"&lt;&gt;Excluded")&gt;0,"LEAK RISK","OK"))</f>
        <v/>
      </c>
      <c r="Z2155" s="30" t="n"/>
    </row>
    <row r="2156">
      <c r="A2156" s="30" t="n"/>
      <c r="B2156" s="30" t="n"/>
      <c r="C2156" s="30" t="n"/>
      <c r="D2156" s="30" t="n"/>
      <c r="E2156" s="30" t="n"/>
      <c r="F2156" s="30" t="n"/>
      <c r="G2156" s="30" t="n"/>
      <c r="H2156" s="30" t="n"/>
      <c r="I2156" s="31" t="n"/>
      <c r="J2156" s="30" t="n"/>
      <c r="K2156" s="30" t="n"/>
      <c r="L2156" s="30" t="n"/>
      <c r="M2156" s="30" t="n"/>
      <c r="N2156" s="32" t="n"/>
      <c r="O2156" s="30" t="n"/>
      <c r="P2156" s="32" t="n"/>
      <c r="Q2156" s="30" t="n"/>
      <c r="R2156" s="32" t="n"/>
      <c r="S2156" s="30" t="n"/>
      <c r="T2156" s="30" t="n"/>
      <c r="U2156" s="30" t="n"/>
      <c r="V2156" s="30" t="n"/>
      <c r="W2156" s="29">
        <f>IF(H2156="","",IF(H2156="Kenya","Yes","No"))</f>
        <v/>
      </c>
      <c r="X2156" s="29">
        <f>IF(B2156="","",IF(COUNTIF($B$5:$B$3004,B2156)&gt;1,"DUPLICATE","OK"))</f>
        <v/>
      </c>
      <c r="Y2156" s="29">
        <f>IF(OR(U2156="",V2156="",V2156="Excluded"),"",IF(COUNTIFS($U$5:$U$3004,U2156,$V$5:$V$3004,"&lt;&gt;"&amp;V2156,$V$5:$V$3004,"&lt;&gt;",$V$5:$V$3004,"&lt;&gt;Excluded")&gt;0,"LEAK RISK","OK"))</f>
        <v/>
      </c>
      <c r="Z2156" s="30" t="n"/>
    </row>
    <row r="2157">
      <c r="A2157" s="30" t="n"/>
      <c r="B2157" s="30" t="n"/>
      <c r="C2157" s="30" t="n"/>
      <c r="D2157" s="30" t="n"/>
      <c r="E2157" s="30" t="n"/>
      <c r="F2157" s="30" t="n"/>
      <c r="G2157" s="30" t="n"/>
      <c r="H2157" s="30" t="n"/>
      <c r="I2157" s="31" t="n"/>
      <c r="J2157" s="30" t="n"/>
      <c r="K2157" s="30" t="n"/>
      <c r="L2157" s="30" t="n"/>
      <c r="M2157" s="30" t="n"/>
      <c r="N2157" s="32" t="n"/>
      <c r="O2157" s="30" t="n"/>
      <c r="P2157" s="32" t="n"/>
      <c r="Q2157" s="30" t="n"/>
      <c r="R2157" s="32" t="n"/>
      <c r="S2157" s="30" t="n"/>
      <c r="T2157" s="30" t="n"/>
      <c r="U2157" s="30" t="n"/>
      <c r="V2157" s="30" t="n"/>
      <c r="W2157" s="29">
        <f>IF(H2157="","",IF(H2157="Kenya","Yes","No"))</f>
        <v/>
      </c>
      <c r="X2157" s="29">
        <f>IF(B2157="","",IF(COUNTIF($B$5:$B$3004,B2157)&gt;1,"DUPLICATE","OK"))</f>
        <v/>
      </c>
      <c r="Y2157" s="29">
        <f>IF(OR(U2157="",V2157="",V2157="Excluded"),"",IF(COUNTIFS($U$5:$U$3004,U2157,$V$5:$V$3004,"&lt;&gt;"&amp;V2157,$V$5:$V$3004,"&lt;&gt;",$V$5:$V$3004,"&lt;&gt;Excluded")&gt;0,"LEAK RISK","OK"))</f>
        <v/>
      </c>
      <c r="Z2157" s="30" t="n"/>
    </row>
    <row r="2158">
      <c r="A2158" s="30" t="n"/>
      <c r="B2158" s="30" t="n"/>
      <c r="C2158" s="30" t="n"/>
      <c r="D2158" s="30" t="n"/>
      <c r="E2158" s="30" t="n"/>
      <c r="F2158" s="30" t="n"/>
      <c r="G2158" s="30" t="n"/>
      <c r="H2158" s="30" t="n"/>
      <c r="I2158" s="31" t="n"/>
      <c r="J2158" s="30" t="n"/>
      <c r="K2158" s="30" t="n"/>
      <c r="L2158" s="30" t="n"/>
      <c r="M2158" s="30" t="n"/>
      <c r="N2158" s="32" t="n"/>
      <c r="O2158" s="30" t="n"/>
      <c r="P2158" s="32" t="n"/>
      <c r="Q2158" s="30" t="n"/>
      <c r="R2158" s="32" t="n"/>
      <c r="S2158" s="30" t="n"/>
      <c r="T2158" s="30" t="n"/>
      <c r="U2158" s="30" t="n"/>
      <c r="V2158" s="30" t="n"/>
      <c r="W2158" s="29">
        <f>IF(H2158="","",IF(H2158="Kenya","Yes","No"))</f>
        <v/>
      </c>
      <c r="X2158" s="29">
        <f>IF(B2158="","",IF(COUNTIF($B$5:$B$3004,B2158)&gt;1,"DUPLICATE","OK"))</f>
        <v/>
      </c>
      <c r="Y2158" s="29">
        <f>IF(OR(U2158="",V2158="",V2158="Excluded"),"",IF(COUNTIFS($U$5:$U$3004,U2158,$V$5:$V$3004,"&lt;&gt;"&amp;V2158,$V$5:$V$3004,"&lt;&gt;",$V$5:$V$3004,"&lt;&gt;Excluded")&gt;0,"LEAK RISK","OK"))</f>
        <v/>
      </c>
      <c r="Z2158" s="30" t="n"/>
    </row>
    <row r="2159">
      <c r="A2159" s="30" t="n"/>
      <c r="B2159" s="30" t="n"/>
      <c r="C2159" s="30" t="n"/>
      <c r="D2159" s="30" t="n"/>
      <c r="E2159" s="30" t="n"/>
      <c r="F2159" s="30" t="n"/>
      <c r="G2159" s="30" t="n"/>
      <c r="H2159" s="30" t="n"/>
      <c r="I2159" s="31" t="n"/>
      <c r="J2159" s="30" t="n"/>
      <c r="K2159" s="30" t="n"/>
      <c r="L2159" s="30" t="n"/>
      <c r="M2159" s="30" t="n"/>
      <c r="N2159" s="32" t="n"/>
      <c r="O2159" s="30" t="n"/>
      <c r="P2159" s="32" t="n"/>
      <c r="Q2159" s="30" t="n"/>
      <c r="R2159" s="32" t="n"/>
      <c r="S2159" s="30" t="n"/>
      <c r="T2159" s="30" t="n"/>
      <c r="U2159" s="30" t="n"/>
      <c r="V2159" s="30" t="n"/>
      <c r="W2159" s="29">
        <f>IF(H2159="","",IF(H2159="Kenya","Yes","No"))</f>
        <v/>
      </c>
      <c r="X2159" s="29">
        <f>IF(B2159="","",IF(COUNTIF($B$5:$B$3004,B2159)&gt;1,"DUPLICATE","OK"))</f>
        <v/>
      </c>
      <c r="Y2159" s="29">
        <f>IF(OR(U2159="",V2159="",V2159="Excluded"),"",IF(COUNTIFS($U$5:$U$3004,U2159,$V$5:$V$3004,"&lt;&gt;"&amp;V2159,$V$5:$V$3004,"&lt;&gt;",$V$5:$V$3004,"&lt;&gt;Excluded")&gt;0,"LEAK RISK","OK"))</f>
        <v/>
      </c>
      <c r="Z2159" s="30" t="n"/>
    </row>
    <row r="2160">
      <c r="A2160" s="30" t="n"/>
      <c r="B2160" s="30" t="n"/>
      <c r="C2160" s="30" t="n"/>
      <c r="D2160" s="30" t="n"/>
      <c r="E2160" s="30" t="n"/>
      <c r="F2160" s="30" t="n"/>
      <c r="G2160" s="30" t="n"/>
      <c r="H2160" s="30" t="n"/>
      <c r="I2160" s="31" t="n"/>
      <c r="J2160" s="30" t="n"/>
      <c r="K2160" s="30" t="n"/>
      <c r="L2160" s="30" t="n"/>
      <c r="M2160" s="30" t="n"/>
      <c r="N2160" s="32" t="n"/>
      <c r="O2160" s="30" t="n"/>
      <c r="P2160" s="32" t="n"/>
      <c r="Q2160" s="30" t="n"/>
      <c r="R2160" s="32" t="n"/>
      <c r="S2160" s="30" t="n"/>
      <c r="T2160" s="30" t="n"/>
      <c r="U2160" s="30" t="n"/>
      <c r="V2160" s="30" t="n"/>
      <c r="W2160" s="29">
        <f>IF(H2160="","",IF(H2160="Kenya","Yes","No"))</f>
        <v/>
      </c>
      <c r="X2160" s="29">
        <f>IF(B2160="","",IF(COUNTIF($B$5:$B$3004,B2160)&gt;1,"DUPLICATE","OK"))</f>
        <v/>
      </c>
      <c r="Y2160" s="29">
        <f>IF(OR(U2160="",V2160="",V2160="Excluded"),"",IF(COUNTIFS($U$5:$U$3004,U2160,$V$5:$V$3004,"&lt;&gt;"&amp;V2160,$V$5:$V$3004,"&lt;&gt;",$V$5:$V$3004,"&lt;&gt;Excluded")&gt;0,"LEAK RISK","OK"))</f>
        <v/>
      </c>
      <c r="Z2160" s="30" t="n"/>
    </row>
    <row r="2161">
      <c r="A2161" s="30" t="n"/>
      <c r="B2161" s="30" t="n"/>
      <c r="C2161" s="30" t="n"/>
      <c r="D2161" s="30" t="n"/>
      <c r="E2161" s="30" t="n"/>
      <c r="F2161" s="30" t="n"/>
      <c r="G2161" s="30" t="n"/>
      <c r="H2161" s="30" t="n"/>
      <c r="I2161" s="31" t="n"/>
      <c r="J2161" s="30" t="n"/>
      <c r="K2161" s="30" t="n"/>
      <c r="L2161" s="30" t="n"/>
      <c r="M2161" s="30" t="n"/>
      <c r="N2161" s="32" t="n"/>
      <c r="O2161" s="30" t="n"/>
      <c r="P2161" s="32" t="n"/>
      <c r="Q2161" s="30" t="n"/>
      <c r="R2161" s="32" t="n"/>
      <c r="S2161" s="30" t="n"/>
      <c r="T2161" s="30" t="n"/>
      <c r="U2161" s="30" t="n"/>
      <c r="V2161" s="30" t="n"/>
      <c r="W2161" s="29">
        <f>IF(H2161="","",IF(H2161="Kenya","Yes","No"))</f>
        <v/>
      </c>
      <c r="X2161" s="29">
        <f>IF(B2161="","",IF(COUNTIF($B$5:$B$3004,B2161)&gt;1,"DUPLICATE","OK"))</f>
        <v/>
      </c>
      <c r="Y2161" s="29">
        <f>IF(OR(U2161="",V2161="",V2161="Excluded"),"",IF(COUNTIFS($U$5:$U$3004,U2161,$V$5:$V$3004,"&lt;&gt;"&amp;V2161,$V$5:$V$3004,"&lt;&gt;",$V$5:$V$3004,"&lt;&gt;Excluded")&gt;0,"LEAK RISK","OK"))</f>
        <v/>
      </c>
      <c r="Z2161" s="30" t="n"/>
    </row>
    <row r="2162">
      <c r="A2162" s="30" t="n"/>
      <c r="B2162" s="30" t="n"/>
      <c r="C2162" s="30" t="n"/>
      <c r="D2162" s="30" t="n"/>
      <c r="E2162" s="30" t="n"/>
      <c r="F2162" s="30" t="n"/>
      <c r="G2162" s="30" t="n"/>
      <c r="H2162" s="30" t="n"/>
      <c r="I2162" s="31" t="n"/>
      <c r="J2162" s="30" t="n"/>
      <c r="K2162" s="30" t="n"/>
      <c r="L2162" s="30" t="n"/>
      <c r="M2162" s="30" t="n"/>
      <c r="N2162" s="32" t="n"/>
      <c r="O2162" s="30" t="n"/>
      <c r="P2162" s="32" t="n"/>
      <c r="Q2162" s="30" t="n"/>
      <c r="R2162" s="32" t="n"/>
      <c r="S2162" s="30" t="n"/>
      <c r="T2162" s="30" t="n"/>
      <c r="U2162" s="30" t="n"/>
      <c r="V2162" s="30" t="n"/>
      <c r="W2162" s="29">
        <f>IF(H2162="","",IF(H2162="Kenya","Yes","No"))</f>
        <v/>
      </c>
      <c r="X2162" s="29">
        <f>IF(B2162="","",IF(COUNTIF($B$5:$B$3004,B2162)&gt;1,"DUPLICATE","OK"))</f>
        <v/>
      </c>
      <c r="Y2162" s="29">
        <f>IF(OR(U2162="",V2162="",V2162="Excluded"),"",IF(COUNTIFS($U$5:$U$3004,U2162,$V$5:$V$3004,"&lt;&gt;"&amp;V2162,$V$5:$V$3004,"&lt;&gt;",$V$5:$V$3004,"&lt;&gt;Excluded")&gt;0,"LEAK RISK","OK"))</f>
        <v/>
      </c>
      <c r="Z2162" s="30" t="n"/>
    </row>
    <row r="2163">
      <c r="A2163" s="30" t="n"/>
      <c r="B2163" s="30" t="n"/>
      <c r="C2163" s="30" t="n"/>
      <c r="D2163" s="30" t="n"/>
      <c r="E2163" s="30" t="n"/>
      <c r="F2163" s="30" t="n"/>
      <c r="G2163" s="30" t="n"/>
      <c r="H2163" s="30" t="n"/>
      <c r="I2163" s="31" t="n"/>
      <c r="J2163" s="30" t="n"/>
      <c r="K2163" s="30" t="n"/>
      <c r="L2163" s="30" t="n"/>
      <c r="M2163" s="30" t="n"/>
      <c r="N2163" s="32" t="n"/>
      <c r="O2163" s="30" t="n"/>
      <c r="P2163" s="32" t="n"/>
      <c r="Q2163" s="30" t="n"/>
      <c r="R2163" s="32" t="n"/>
      <c r="S2163" s="30" t="n"/>
      <c r="T2163" s="30" t="n"/>
      <c r="U2163" s="30" t="n"/>
      <c r="V2163" s="30" t="n"/>
      <c r="W2163" s="29">
        <f>IF(H2163="","",IF(H2163="Kenya","Yes","No"))</f>
        <v/>
      </c>
      <c r="X2163" s="29">
        <f>IF(B2163="","",IF(COUNTIF($B$5:$B$3004,B2163)&gt;1,"DUPLICATE","OK"))</f>
        <v/>
      </c>
      <c r="Y2163" s="29">
        <f>IF(OR(U2163="",V2163="",V2163="Excluded"),"",IF(COUNTIFS($U$5:$U$3004,U2163,$V$5:$V$3004,"&lt;&gt;"&amp;V2163,$V$5:$V$3004,"&lt;&gt;",$V$5:$V$3004,"&lt;&gt;Excluded")&gt;0,"LEAK RISK","OK"))</f>
        <v/>
      </c>
      <c r="Z2163" s="30" t="n"/>
    </row>
    <row r="2164">
      <c r="A2164" s="30" t="n"/>
      <c r="B2164" s="30" t="n"/>
      <c r="C2164" s="30" t="n"/>
      <c r="D2164" s="30" t="n"/>
      <c r="E2164" s="30" t="n"/>
      <c r="F2164" s="30" t="n"/>
      <c r="G2164" s="30" t="n"/>
      <c r="H2164" s="30" t="n"/>
      <c r="I2164" s="31" t="n"/>
      <c r="J2164" s="30" t="n"/>
      <c r="K2164" s="30" t="n"/>
      <c r="L2164" s="30" t="n"/>
      <c r="M2164" s="30" t="n"/>
      <c r="N2164" s="32" t="n"/>
      <c r="O2164" s="30" t="n"/>
      <c r="P2164" s="32" t="n"/>
      <c r="Q2164" s="30" t="n"/>
      <c r="R2164" s="32" t="n"/>
      <c r="S2164" s="30" t="n"/>
      <c r="T2164" s="30" t="n"/>
      <c r="U2164" s="30" t="n"/>
      <c r="V2164" s="30" t="n"/>
      <c r="W2164" s="29">
        <f>IF(H2164="","",IF(H2164="Kenya","Yes","No"))</f>
        <v/>
      </c>
      <c r="X2164" s="29">
        <f>IF(B2164="","",IF(COUNTIF($B$5:$B$3004,B2164)&gt;1,"DUPLICATE","OK"))</f>
        <v/>
      </c>
      <c r="Y2164" s="29">
        <f>IF(OR(U2164="",V2164="",V2164="Excluded"),"",IF(COUNTIFS($U$5:$U$3004,U2164,$V$5:$V$3004,"&lt;&gt;"&amp;V2164,$V$5:$V$3004,"&lt;&gt;",$V$5:$V$3004,"&lt;&gt;Excluded")&gt;0,"LEAK RISK","OK"))</f>
        <v/>
      </c>
      <c r="Z2164" s="30" t="n"/>
    </row>
    <row r="2165">
      <c r="A2165" s="30" t="n"/>
      <c r="B2165" s="30" t="n"/>
      <c r="C2165" s="30" t="n"/>
      <c r="D2165" s="30" t="n"/>
      <c r="E2165" s="30" t="n"/>
      <c r="F2165" s="30" t="n"/>
      <c r="G2165" s="30" t="n"/>
      <c r="H2165" s="30" t="n"/>
      <c r="I2165" s="31" t="n"/>
      <c r="J2165" s="30" t="n"/>
      <c r="K2165" s="30" t="n"/>
      <c r="L2165" s="30" t="n"/>
      <c r="M2165" s="30" t="n"/>
      <c r="N2165" s="32" t="n"/>
      <c r="O2165" s="30" t="n"/>
      <c r="P2165" s="32" t="n"/>
      <c r="Q2165" s="30" t="n"/>
      <c r="R2165" s="32" t="n"/>
      <c r="S2165" s="30" t="n"/>
      <c r="T2165" s="30" t="n"/>
      <c r="U2165" s="30" t="n"/>
      <c r="V2165" s="30" t="n"/>
      <c r="W2165" s="29">
        <f>IF(H2165="","",IF(H2165="Kenya","Yes","No"))</f>
        <v/>
      </c>
      <c r="X2165" s="29">
        <f>IF(B2165="","",IF(COUNTIF($B$5:$B$3004,B2165)&gt;1,"DUPLICATE","OK"))</f>
        <v/>
      </c>
      <c r="Y2165" s="29">
        <f>IF(OR(U2165="",V2165="",V2165="Excluded"),"",IF(COUNTIFS($U$5:$U$3004,U2165,$V$5:$V$3004,"&lt;&gt;"&amp;V2165,$V$5:$V$3004,"&lt;&gt;",$V$5:$V$3004,"&lt;&gt;Excluded")&gt;0,"LEAK RISK","OK"))</f>
        <v/>
      </c>
      <c r="Z2165" s="30" t="n"/>
    </row>
    <row r="2166">
      <c r="A2166" s="30" t="n"/>
      <c r="B2166" s="30" t="n"/>
      <c r="C2166" s="30" t="n"/>
      <c r="D2166" s="30" t="n"/>
      <c r="E2166" s="30" t="n"/>
      <c r="F2166" s="30" t="n"/>
      <c r="G2166" s="30" t="n"/>
      <c r="H2166" s="30" t="n"/>
      <c r="I2166" s="31" t="n"/>
      <c r="J2166" s="30" t="n"/>
      <c r="K2166" s="30" t="n"/>
      <c r="L2166" s="30" t="n"/>
      <c r="M2166" s="30" t="n"/>
      <c r="N2166" s="32" t="n"/>
      <c r="O2166" s="30" t="n"/>
      <c r="P2166" s="32" t="n"/>
      <c r="Q2166" s="30" t="n"/>
      <c r="R2166" s="32" t="n"/>
      <c r="S2166" s="30" t="n"/>
      <c r="T2166" s="30" t="n"/>
      <c r="U2166" s="30" t="n"/>
      <c r="V2166" s="30" t="n"/>
      <c r="W2166" s="29">
        <f>IF(H2166="","",IF(H2166="Kenya","Yes","No"))</f>
        <v/>
      </c>
      <c r="X2166" s="29">
        <f>IF(B2166="","",IF(COUNTIF($B$5:$B$3004,B2166)&gt;1,"DUPLICATE","OK"))</f>
        <v/>
      </c>
      <c r="Y2166" s="29">
        <f>IF(OR(U2166="",V2166="",V2166="Excluded"),"",IF(COUNTIFS($U$5:$U$3004,U2166,$V$5:$V$3004,"&lt;&gt;"&amp;V2166,$V$5:$V$3004,"&lt;&gt;",$V$5:$V$3004,"&lt;&gt;Excluded")&gt;0,"LEAK RISK","OK"))</f>
        <v/>
      </c>
      <c r="Z2166" s="30" t="n"/>
    </row>
    <row r="2167">
      <c r="A2167" s="30" t="n"/>
      <c r="B2167" s="30" t="n"/>
      <c r="C2167" s="30" t="n"/>
      <c r="D2167" s="30" t="n"/>
      <c r="E2167" s="30" t="n"/>
      <c r="F2167" s="30" t="n"/>
      <c r="G2167" s="30" t="n"/>
      <c r="H2167" s="30" t="n"/>
      <c r="I2167" s="31" t="n"/>
      <c r="J2167" s="30" t="n"/>
      <c r="K2167" s="30" t="n"/>
      <c r="L2167" s="30" t="n"/>
      <c r="M2167" s="30" t="n"/>
      <c r="N2167" s="32" t="n"/>
      <c r="O2167" s="30" t="n"/>
      <c r="P2167" s="32" t="n"/>
      <c r="Q2167" s="30" t="n"/>
      <c r="R2167" s="32" t="n"/>
      <c r="S2167" s="30" t="n"/>
      <c r="T2167" s="30" t="n"/>
      <c r="U2167" s="30" t="n"/>
      <c r="V2167" s="30" t="n"/>
      <c r="W2167" s="29">
        <f>IF(H2167="","",IF(H2167="Kenya","Yes","No"))</f>
        <v/>
      </c>
      <c r="X2167" s="29">
        <f>IF(B2167="","",IF(COUNTIF($B$5:$B$3004,B2167)&gt;1,"DUPLICATE","OK"))</f>
        <v/>
      </c>
      <c r="Y2167" s="29">
        <f>IF(OR(U2167="",V2167="",V2167="Excluded"),"",IF(COUNTIFS($U$5:$U$3004,U2167,$V$5:$V$3004,"&lt;&gt;"&amp;V2167,$V$5:$V$3004,"&lt;&gt;",$V$5:$V$3004,"&lt;&gt;Excluded")&gt;0,"LEAK RISK","OK"))</f>
        <v/>
      </c>
      <c r="Z2167" s="30" t="n"/>
    </row>
    <row r="2168">
      <c r="A2168" s="30" t="n"/>
      <c r="B2168" s="30" t="n"/>
      <c r="C2168" s="30" t="n"/>
      <c r="D2168" s="30" t="n"/>
      <c r="E2168" s="30" t="n"/>
      <c r="F2168" s="30" t="n"/>
      <c r="G2168" s="30" t="n"/>
      <c r="H2168" s="30" t="n"/>
      <c r="I2168" s="31" t="n"/>
      <c r="J2168" s="30" t="n"/>
      <c r="K2168" s="30" t="n"/>
      <c r="L2168" s="30" t="n"/>
      <c r="M2168" s="30" t="n"/>
      <c r="N2168" s="32" t="n"/>
      <c r="O2168" s="30" t="n"/>
      <c r="P2168" s="32" t="n"/>
      <c r="Q2168" s="30" t="n"/>
      <c r="R2168" s="32" t="n"/>
      <c r="S2168" s="30" t="n"/>
      <c r="T2168" s="30" t="n"/>
      <c r="U2168" s="30" t="n"/>
      <c r="V2168" s="30" t="n"/>
      <c r="W2168" s="29">
        <f>IF(H2168="","",IF(H2168="Kenya","Yes","No"))</f>
        <v/>
      </c>
      <c r="X2168" s="29">
        <f>IF(B2168="","",IF(COUNTIF($B$5:$B$3004,B2168)&gt;1,"DUPLICATE","OK"))</f>
        <v/>
      </c>
      <c r="Y2168" s="29">
        <f>IF(OR(U2168="",V2168="",V2168="Excluded"),"",IF(COUNTIFS($U$5:$U$3004,U2168,$V$5:$V$3004,"&lt;&gt;"&amp;V2168,$V$5:$V$3004,"&lt;&gt;",$V$5:$V$3004,"&lt;&gt;Excluded")&gt;0,"LEAK RISK","OK"))</f>
        <v/>
      </c>
      <c r="Z2168" s="30" t="n"/>
    </row>
    <row r="2169">
      <c r="A2169" s="30" t="n"/>
      <c r="B2169" s="30" t="n"/>
      <c r="C2169" s="30" t="n"/>
      <c r="D2169" s="30" t="n"/>
      <c r="E2169" s="30" t="n"/>
      <c r="F2169" s="30" t="n"/>
      <c r="G2169" s="30" t="n"/>
      <c r="H2169" s="30" t="n"/>
      <c r="I2169" s="31" t="n"/>
      <c r="J2169" s="30" t="n"/>
      <c r="K2169" s="30" t="n"/>
      <c r="L2169" s="30" t="n"/>
      <c r="M2169" s="30" t="n"/>
      <c r="N2169" s="32" t="n"/>
      <c r="O2169" s="30" t="n"/>
      <c r="P2169" s="32" t="n"/>
      <c r="Q2169" s="30" t="n"/>
      <c r="R2169" s="32" t="n"/>
      <c r="S2169" s="30" t="n"/>
      <c r="T2169" s="30" t="n"/>
      <c r="U2169" s="30" t="n"/>
      <c r="V2169" s="30" t="n"/>
      <c r="W2169" s="29">
        <f>IF(H2169="","",IF(H2169="Kenya","Yes","No"))</f>
        <v/>
      </c>
      <c r="X2169" s="29">
        <f>IF(B2169="","",IF(COUNTIF($B$5:$B$3004,B2169)&gt;1,"DUPLICATE","OK"))</f>
        <v/>
      </c>
      <c r="Y2169" s="29">
        <f>IF(OR(U2169="",V2169="",V2169="Excluded"),"",IF(COUNTIFS($U$5:$U$3004,U2169,$V$5:$V$3004,"&lt;&gt;"&amp;V2169,$V$5:$V$3004,"&lt;&gt;",$V$5:$V$3004,"&lt;&gt;Excluded")&gt;0,"LEAK RISK","OK"))</f>
        <v/>
      </c>
      <c r="Z2169" s="30" t="n"/>
    </row>
    <row r="2170">
      <c r="A2170" s="30" t="n"/>
      <c r="B2170" s="30" t="n"/>
      <c r="C2170" s="30" t="n"/>
      <c r="D2170" s="30" t="n"/>
      <c r="E2170" s="30" t="n"/>
      <c r="F2170" s="30" t="n"/>
      <c r="G2170" s="30" t="n"/>
      <c r="H2170" s="30" t="n"/>
      <c r="I2170" s="31" t="n"/>
      <c r="J2170" s="30" t="n"/>
      <c r="K2170" s="30" t="n"/>
      <c r="L2170" s="30" t="n"/>
      <c r="M2170" s="30" t="n"/>
      <c r="N2170" s="32" t="n"/>
      <c r="O2170" s="30" t="n"/>
      <c r="P2170" s="32" t="n"/>
      <c r="Q2170" s="30" t="n"/>
      <c r="R2170" s="32" t="n"/>
      <c r="S2170" s="30" t="n"/>
      <c r="T2170" s="30" t="n"/>
      <c r="U2170" s="30" t="n"/>
      <c r="V2170" s="30" t="n"/>
      <c r="W2170" s="29">
        <f>IF(H2170="","",IF(H2170="Kenya","Yes","No"))</f>
        <v/>
      </c>
      <c r="X2170" s="29">
        <f>IF(B2170="","",IF(COUNTIF($B$5:$B$3004,B2170)&gt;1,"DUPLICATE","OK"))</f>
        <v/>
      </c>
      <c r="Y2170" s="29">
        <f>IF(OR(U2170="",V2170="",V2170="Excluded"),"",IF(COUNTIFS($U$5:$U$3004,U2170,$V$5:$V$3004,"&lt;&gt;"&amp;V2170,$V$5:$V$3004,"&lt;&gt;",$V$5:$V$3004,"&lt;&gt;Excluded")&gt;0,"LEAK RISK","OK"))</f>
        <v/>
      </c>
      <c r="Z2170" s="30" t="n"/>
    </row>
    <row r="2171">
      <c r="A2171" s="30" t="n"/>
      <c r="B2171" s="30" t="n"/>
      <c r="C2171" s="30" t="n"/>
      <c r="D2171" s="30" t="n"/>
      <c r="E2171" s="30" t="n"/>
      <c r="F2171" s="30" t="n"/>
      <c r="G2171" s="30" t="n"/>
      <c r="H2171" s="30" t="n"/>
      <c r="I2171" s="31" t="n"/>
      <c r="J2171" s="30" t="n"/>
      <c r="K2171" s="30" t="n"/>
      <c r="L2171" s="30" t="n"/>
      <c r="M2171" s="30" t="n"/>
      <c r="N2171" s="32" t="n"/>
      <c r="O2171" s="30" t="n"/>
      <c r="P2171" s="32" t="n"/>
      <c r="Q2171" s="30" t="n"/>
      <c r="R2171" s="32" t="n"/>
      <c r="S2171" s="30" t="n"/>
      <c r="T2171" s="30" t="n"/>
      <c r="U2171" s="30" t="n"/>
      <c r="V2171" s="30" t="n"/>
      <c r="W2171" s="29">
        <f>IF(H2171="","",IF(H2171="Kenya","Yes","No"))</f>
        <v/>
      </c>
      <c r="X2171" s="29">
        <f>IF(B2171="","",IF(COUNTIF($B$5:$B$3004,B2171)&gt;1,"DUPLICATE","OK"))</f>
        <v/>
      </c>
      <c r="Y2171" s="29">
        <f>IF(OR(U2171="",V2171="",V2171="Excluded"),"",IF(COUNTIFS($U$5:$U$3004,U2171,$V$5:$V$3004,"&lt;&gt;"&amp;V2171,$V$5:$V$3004,"&lt;&gt;",$V$5:$V$3004,"&lt;&gt;Excluded")&gt;0,"LEAK RISK","OK"))</f>
        <v/>
      </c>
      <c r="Z2171" s="30" t="n"/>
    </row>
    <row r="2172">
      <c r="A2172" s="30" t="n"/>
      <c r="B2172" s="30" t="n"/>
      <c r="C2172" s="30" t="n"/>
      <c r="D2172" s="30" t="n"/>
      <c r="E2172" s="30" t="n"/>
      <c r="F2172" s="30" t="n"/>
      <c r="G2172" s="30" t="n"/>
      <c r="H2172" s="30" t="n"/>
      <c r="I2172" s="31" t="n"/>
      <c r="J2172" s="30" t="n"/>
      <c r="K2172" s="30" t="n"/>
      <c r="L2172" s="30" t="n"/>
      <c r="M2172" s="30" t="n"/>
      <c r="N2172" s="32" t="n"/>
      <c r="O2172" s="30" t="n"/>
      <c r="P2172" s="32" t="n"/>
      <c r="Q2172" s="30" t="n"/>
      <c r="R2172" s="32" t="n"/>
      <c r="S2172" s="30" t="n"/>
      <c r="T2172" s="30" t="n"/>
      <c r="U2172" s="30" t="n"/>
      <c r="V2172" s="30" t="n"/>
      <c r="W2172" s="29">
        <f>IF(H2172="","",IF(H2172="Kenya","Yes","No"))</f>
        <v/>
      </c>
      <c r="X2172" s="29">
        <f>IF(B2172="","",IF(COUNTIF($B$5:$B$3004,B2172)&gt;1,"DUPLICATE","OK"))</f>
        <v/>
      </c>
      <c r="Y2172" s="29">
        <f>IF(OR(U2172="",V2172="",V2172="Excluded"),"",IF(COUNTIFS($U$5:$U$3004,U2172,$V$5:$V$3004,"&lt;&gt;"&amp;V2172,$V$5:$V$3004,"&lt;&gt;",$V$5:$V$3004,"&lt;&gt;Excluded")&gt;0,"LEAK RISK","OK"))</f>
        <v/>
      </c>
      <c r="Z2172" s="30" t="n"/>
    </row>
    <row r="2173">
      <c r="A2173" s="30" t="n"/>
      <c r="B2173" s="30" t="n"/>
      <c r="C2173" s="30" t="n"/>
      <c r="D2173" s="30" t="n"/>
      <c r="E2173" s="30" t="n"/>
      <c r="F2173" s="30" t="n"/>
      <c r="G2173" s="30" t="n"/>
      <c r="H2173" s="30" t="n"/>
      <c r="I2173" s="31" t="n"/>
      <c r="J2173" s="30" t="n"/>
      <c r="K2173" s="30" t="n"/>
      <c r="L2173" s="30" t="n"/>
      <c r="M2173" s="30" t="n"/>
      <c r="N2173" s="32" t="n"/>
      <c r="O2173" s="30" t="n"/>
      <c r="P2173" s="32" t="n"/>
      <c r="Q2173" s="30" t="n"/>
      <c r="R2173" s="32" t="n"/>
      <c r="S2173" s="30" t="n"/>
      <c r="T2173" s="30" t="n"/>
      <c r="U2173" s="30" t="n"/>
      <c r="V2173" s="30" t="n"/>
      <c r="W2173" s="29">
        <f>IF(H2173="","",IF(H2173="Kenya","Yes","No"))</f>
        <v/>
      </c>
      <c r="X2173" s="29">
        <f>IF(B2173="","",IF(COUNTIF($B$5:$B$3004,B2173)&gt;1,"DUPLICATE","OK"))</f>
        <v/>
      </c>
      <c r="Y2173" s="29">
        <f>IF(OR(U2173="",V2173="",V2173="Excluded"),"",IF(COUNTIFS($U$5:$U$3004,U2173,$V$5:$V$3004,"&lt;&gt;"&amp;V2173,$V$5:$V$3004,"&lt;&gt;",$V$5:$V$3004,"&lt;&gt;Excluded")&gt;0,"LEAK RISK","OK"))</f>
        <v/>
      </c>
      <c r="Z2173" s="30" t="n"/>
    </row>
    <row r="2174">
      <c r="A2174" s="30" t="n"/>
      <c r="B2174" s="30" t="n"/>
      <c r="C2174" s="30" t="n"/>
      <c r="D2174" s="30" t="n"/>
      <c r="E2174" s="30" t="n"/>
      <c r="F2174" s="30" t="n"/>
      <c r="G2174" s="30" t="n"/>
      <c r="H2174" s="30" t="n"/>
      <c r="I2174" s="31" t="n"/>
      <c r="J2174" s="30" t="n"/>
      <c r="K2174" s="30" t="n"/>
      <c r="L2174" s="30" t="n"/>
      <c r="M2174" s="30" t="n"/>
      <c r="N2174" s="32" t="n"/>
      <c r="O2174" s="30" t="n"/>
      <c r="P2174" s="32" t="n"/>
      <c r="Q2174" s="30" t="n"/>
      <c r="R2174" s="32" t="n"/>
      <c r="S2174" s="30" t="n"/>
      <c r="T2174" s="30" t="n"/>
      <c r="U2174" s="30" t="n"/>
      <c r="V2174" s="30" t="n"/>
      <c r="W2174" s="29">
        <f>IF(H2174="","",IF(H2174="Kenya","Yes","No"))</f>
        <v/>
      </c>
      <c r="X2174" s="29">
        <f>IF(B2174="","",IF(COUNTIF($B$5:$B$3004,B2174)&gt;1,"DUPLICATE","OK"))</f>
        <v/>
      </c>
      <c r="Y2174" s="29">
        <f>IF(OR(U2174="",V2174="",V2174="Excluded"),"",IF(COUNTIFS($U$5:$U$3004,U2174,$V$5:$V$3004,"&lt;&gt;"&amp;V2174,$V$5:$V$3004,"&lt;&gt;",$V$5:$V$3004,"&lt;&gt;Excluded")&gt;0,"LEAK RISK","OK"))</f>
        <v/>
      </c>
      <c r="Z2174" s="30" t="n"/>
    </row>
    <row r="2175">
      <c r="A2175" s="30" t="n"/>
      <c r="B2175" s="30" t="n"/>
      <c r="C2175" s="30" t="n"/>
      <c r="D2175" s="30" t="n"/>
      <c r="E2175" s="30" t="n"/>
      <c r="F2175" s="30" t="n"/>
      <c r="G2175" s="30" t="n"/>
      <c r="H2175" s="30" t="n"/>
      <c r="I2175" s="31" t="n"/>
      <c r="J2175" s="30" t="n"/>
      <c r="K2175" s="30" t="n"/>
      <c r="L2175" s="30" t="n"/>
      <c r="M2175" s="30" t="n"/>
      <c r="N2175" s="32" t="n"/>
      <c r="O2175" s="30" t="n"/>
      <c r="P2175" s="32" t="n"/>
      <c r="Q2175" s="30" t="n"/>
      <c r="R2175" s="32" t="n"/>
      <c r="S2175" s="30" t="n"/>
      <c r="T2175" s="30" t="n"/>
      <c r="U2175" s="30" t="n"/>
      <c r="V2175" s="30" t="n"/>
      <c r="W2175" s="29">
        <f>IF(H2175="","",IF(H2175="Kenya","Yes","No"))</f>
        <v/>
      </c>
      <c r="X2175" s="29">
        <f>IF(B2175="","",IF(COUNTIF($B$5:$B$3004,B2175)&gt;1,"DUPLICATE","OK"))</f>
        <v/>
      </c>
      <c r="Y2175" s="29">
        <f>IF(OR(U2175="",V2175="",V2175="Excluded"),"",IF(COUNTIFS($U$5:$U$3004,U2175,$V$5:$V$3004,"&lt;&gt;"&amp;V2175,$V$5:$V$3004,"&lt;&gt;",$V$5:$V$3004,"&lt;&gt;Excluded")&gt;0,"LEAK RISK","OK"))</f>
        <v/>
      </c>
      <c r="Z2175" s="30" t="n"/>
    </row>
    <row r="2176">
      <c r="A2176" s="30" t="n"/>
      <c r="B2176" s="30" t="n"/>
      <c r="C2176" s="30" t="n"/>
      <c r="D2176" s="30" t="n"/>
      <c r="E2176" s="30" t="n"/>
      <c r="F2176" s="30" t="n"/>
      <c r="G2176" s="30" t="n"/>
      <c r="H2176" s="30" t="n"/>
      <c r="I2176" s="31" t="n"/>
      <c r="J2176" s="30" t="n"/>
      <c r="K2176" s="30" t="n"/>
      <c r="L2176" s="30" t="n"/>
      <c r="M2176" s="30" t="n"/>
      <c r="N2176" s="32" t="n"/>
      <c r="O2176" s="30" t="n"/>
      <c r="P2176" s="32" t="n"/>
      <c r="Q2176" s="30" t="n"/>
      <c r="R2176" s="32" t="n"/>
      <c r="S2176" s="30" t="n"/>
      <c r="T2176" s="30" t="n"/>
      <c r="U2176" s="30" t="n"/>
      <c r="V2176" s="30" t="n"/>
      <c r="W2176" s="29">
        <f>IF(H2176="","",IF(H2176="Kenya","Yes","No"))</f>
        <v/>
      </c>
      <c r="X2176" s="29">
        <f>IF(B2176="","",IF(COUNTIF($B$5:$B$3004,B2176)&gt;1,"DUPLICATE","OK"))</f>
        <v/>
      </c>
      <c r="Y2176" s="29">
        <f>IF(OR(U2176="",V2176="",V2176="Excluded"),"",IF(COUNTIFS($U$5:$U$3004,U2176,$V$5:$V$3004,"&lt;&gt;"&amp;V2176,$V$5:$V$3004,"&lt;&gt;",$V$5:$V$3004,"&lt;&gt;Excluded")&gt;0,"LEAK RISK","OK"))</f>
        <v/>
      </c>
      <c r="Z2176" s="30" t="n"/>
    </row>
    <row r="2177">
      <c r="A2177" s="30" t="n"/>
      <c r="B2177" s="30" t="n"/>
      <c r="C2177" s="30" t="n"/>
      <c r="D2177" s="30" t="n"/>
      <c r="E2177" s="30" t="n"/>
      <c r="F2177" s="30" t="n"/>
      <c r="G2177" s="30" t="n"/>
      <c r="H2177" s="30" t="n"/>
      <c r="I2177" s="31" t="n"/>
      <c r="J2177" s="30" t="n"/>
      <c r="K2177" s="30" t="n"/>
      <c r="L2177" s="30" t="n"/>
      <c r="M2177" s="30" t="n"/>
      <c r="N2177" s="32" t="n"/>
      <c r="O2177" s="30" t="n"/>
      <c r="P2177" s="32" t="n"/>
      <c r="Q2177" s="30" t="n"/>
      <c r="R2177" s="32" t="n"/>
      <c r="S2177" s="30" t="n"/>
      <c r="T2177" s="30" t="n"/>
      <c r="U2177" s="30" t="n"/>
      <c r="V2177" s="30" t="n"/>
      <c r="W2177" s="29">
        <f>IF(H2177="","",IF(H2177="Kenya","Yes","No"))</f>
        <v/>
      </c>
      <c r="X2177" s="29">
        <f>IF(B2177="","",IF(COUNTIF($B$5:$B$3004,B2177)&gt;1,"DUPLICATE","OK"))</f>
        <v/>
      </c>
      <c r="Y2177" s="29">
        <f>IF(OR(U2177="",V2177="",V2177="Excluded"),"",IF(COUNTIFS($U$5:$U$3004,U2177,$V$5:$V$3004,"&lt;&gt;"&amp;V2177,$V$5:$V$3004,"&lt;&gt;",$V$5:$V$3004,"&lt;&gt;Excluded")&gt;0,"LEAK RISK","OK"))</f>
        <v/>
      </c>
      <c r="Z2177" s="30" t="n"/>
    </row>
    <row r="2178">
      <c r="A2178" s="30" t="n"/>
      <c r="B2178" s="30" t="n"/>
      <c r="C2178" s="30" t="n"/>
      <c r="D2178" s="30" t="n"/>
      <c r="E2178" s="30" t="n"/>
      <c r="F2178" s="30" t="n"/>
      <c r="G2178" s="30" t="n"/>
      <c r="H2178" s="30" t="n"/>
      <c r="I2178" s="31" t="n"/>
      <c r="J2178" s="30" t="n"/>
      <c r="K2178" s="30" t="n"/>
      <c r="L2178" s="30" t="n"/>
      <c r="M2178" s="30" t="n"/>
      <c r="N2178" s="32" t="n"/>
      <c r="O2178" s="30" t="n"/>
      <c r="P2178" s="32" t="n"/>
      <c r="Q2178" s="30" t="n"/>
      <c r="R2178" s="32" t="n"/>
      <c r="S2178" s="30" t="n"/>
      <c r="T2178" s="30" t="n"/>
      <c r="U2178" s="30" t="n"/>
      <c r="V2178" s="30" t="n"/>
      <c r="W2178" s="29">
        <f>IF(H2178="","",IF(H2178="Kenya","Yes","No"))</f>
        <v/>
      </c>
      <c r="X2178" s="29">
        <f>IF(B2178="","",IF(COUNTIF($B$5:$B$3004,B2178)&gt;1,"DUPLICATE","OK"))</f>
        <v/>
      </c>
      <c r="Y2178" s="29">
        <f>IF(OR(U2178="",V2178="",V2178="Excluded"),"",IF(COUNTIFS($U$5:$U$3004,U2178,$V$5:$V$3004,"&lt;&gt;"&amp;V2178,$V$5:$V$3004,"&lt;&gt;",$V$5:$V$3004,"&lt;&gt;Excluded")&gt;0,"LEAK RISK","OK"))</f>
        <v/>
      </c>
      <c r="Z2178" s="30" t="n"/>
    </row>
    <row r="2179">
      <c r="A2179" s="30" t="n"/>
      <c r="B2179" s="30" t="n"/>
      <c r="C2179" s="30" t="n"/>
      <c r="D2179" s="30" t="n"/>
      <c r="E2179" s="30" t="n"/>
      <c r="F2179" s="30" t="n"/>
      <c r="G2179" s="30" t="n"/>
      <c r="H2179" s="30" t="n"/>
      <c r="I2179" s="31" t="n"/>
      <c r="J2179" s="30" t="n"/>
      <c r="K2179" s="30" t="n"/>
      <c r="L2179" s="30" t="n"/>
      <c r="M2179" s="30" t="n"/>
      <c r="N2179" s="32" t="n"/>
      <c r="O2179" s="30" t="n"/>
      <c r="P2179" s="32" t="n"/>
      <c r="Q2179" s="30" t="n"/>
      <c r="R2179" s="32" t="n"/>
      <c r="S2179" s="30" t="n"/>
      <c r="T2179" s="30" t="n"/>
      <c r="U2179" s="30" t="n"/>
      <c r="V2179" s="30" t="n"/>
      <c r="W2179" s="29">
        <f>IF(H2179="","",IF(H2179="Kenya","Yes","No"))</f>
        <v/>
      </c>
      <c r="X2179" s="29">
        <f>IF(B2179="","",IF(COUNTIF($B$5:$B$3004,B2179)&gt;1,"DUPLICATE","OK"))</f>
        <v/>
      </c>
      <c r="Y2179" s="29">
        <f>IF(OR(U2179="",V2179="",V2179="Excluded"),"",IF(COUNTIFS($U$5:$U$3004,U2179,$V$5:$V$3004,"&lt;&gt;"&amp;V2179,$V$5:$V$3004,"&lt;&gt;",$V$5:$V$3004,"&lt;&gt;Excluded")&gt;0,"LEAK RISK","OK"))</f>
        <v/>
      </c>
      <c r="Z2179" s="30" t="n"/>
    </row>
    <row r="2180">
      <c r="A2180" s="30" t="n"/>
      <c r="B2180" s="30" t="n"/>
      <c r="C2180" s="30" t="n"/>
      <c r="D2180" s="30" t="n"/>
      <c r="E2180" s="30" t="n"/>
      <c r="F2180" s="30" t="n"/>
      <c r="G2180" s="30" t="n"/>
      <c r="H2180" s="30" t="n"/>
      <c r="I2180" s="31" t="n"/>
      <c r="J2180" s="30" t="n"/>
      <c r="K2180" s="30" t="n"/>
      <c r="L2180" s="30" t="n"/>
      <c r="M2180" s="30" t="n"/>
      <c r="N2180" s="32" t="n"/>
      <c r="O2180" s="30" t="n"/>
      <c r="P2180" s="32" t="n"/>
      <c r="Q2180" s="30" t="n"/>
      <c r="R2180" s="32" t="n"/>
      <c r="S2180" s="30" t="n"/>
      <c r="T2180" s="30" t="n"/>
      <c r="U2180" s="30" t="n"/>
      <c r="V2180" s="30" t="n"/>
      <c r="W2180" s="29">
        <f>IF(H2180="","",IF(H2180="Kenya","Yes","No"))</f>
        <v/>
      </c>
      <c r="X2180" s="29">
        <f>IF(B2180="","",IF(COUNTIF($B$5:$B$3004,B2180)&gt;1,"DUPLICATE","OK"))</f>
        <v/>
      </c>
      <c r="Y2180" s="29">
        <f>IF(OR(U2180="",V2180="",V2180="Excluded"),"",IF(COUNTIFS($U$5:$U$3004,U2180,$V$5:$V$3004,"&lt;&gt;"&amp;V2180,$V$5:$V$3004,"&lt;&gt;",$V$5:$V$3004,"&lt;&gt;Excluded")&gt;0,"LEAK RISK","OK"))</f>
        <v/>
      </c>
      <c r="Z2180" s="30" t="n"/>
    </row>
    <row r="2181">
      <c r="A2181" s="30" t="n"/>
      <c r="B2181" s="30" t="n"/>
      <c r="C2181" s="30" t="n"/>
      <c r="D2181" s="30" t="n"/>
      <c r="E2181" s="30" t="n"/>
      <c r="F2181" s="30" t="n"/>
      <c r="G2181" s="30" t="n"/>
      <c r="H2181" s="30" t="n"/>
      <c r="I2181" s="31" t="n"/>
      <c r="J2181" s="30" t="n"/>
      <c r="K2181" s="30" t="n"/>
      <c r="L2181" s="30" t="n"/>
      <c r="M2181" s="30" t="n"/>
      <c r="N2181" s="32" t="n"/>
      <c r="O2181" s="30" t="n"/>
      <c r="P2181" s="32" t="n"/>
      <c r="Q2181" s="30" t="n"/>
      <c r="R2181" s="32" t="n"/>
      <c r="S2181" s="30" t="n"/>
      <c r="T2181" s="30" t="n"/>
      <c r="U2181" s="30" t="n"/>
      <c r="V2181" s="30" t="n"/>
      <c r="W2181" s="29">
        <f>IF(H2181="","",IF(H2181="Kenya","Yes","No"))</f>
        <v/>
      </c>
      <c r="X2181" s="29">
        <f>IF(B2181="","",IF(COUNTIF($B$5:$B$3004,B2181)&gt;1,"DUPLICATE","OK"))</f>
        <v/>
      </c>
      <c r="Y2181" s="29">
        <f>IF(OR(U2181="",V2181="",V2181="Excluded"),"",IF(COUNTIFS($U$5:$U$3004,U2181,$V$5:$V$3004,"&lt;&gt;"&amp;V2181,$V$5:$V$3004,"&lt;&gt;",$V$5:$V$3004,"&lt;&gt;Excluded")&gt;0,"LEAK RISK","OK"))</f>
        <v/>
      </c>
      <c r="Z2181" s="30" t="n"/>
    </row>
    <row r="2182">
      <c r="A2182" s="30" t="n"/>
      <c r="B2182" s="30" t="n"/>
      <c r="C2182" s="30" t="n"/>
      <c r="D2182" s="30" t="n"/>
      <c r="E2182" s="30" t="n"/>
      <c r="F2182" s="30" t="n"/>
      <c r="G2182" s="30" t="n"/>
      <c r="H2182" s="30" t="n"/>
      <c r="I2182" s="31" t="n"/>
      <c r="J2182" s="30" t="n"/>
      <c r="K2182" s="30" t="n"/>
      <c r="L2182" s="30" t="n"/>
      <c r="M2182" s="30" t="n"/>
      <c r="N2182" s="32" t="n"/>
      <c r="O2182" s="30" t="n"/>
      <c r="P2182" s="32" t="n"/>
      <c r="Q2182" s="30" t="n"/>
      <c r="R2182" s="32" t="n"/>
      <c r="S2182" s="30" t="n"/>
      <c r="T2182" s="30" t="n"/>
      <c r="U2182" s="30" t="n"/>
      <c r="V2182" s="30" t="n"/>
      <c r="W2182" s="29">
        <f>IF(H2182="","",IF(H2182="Kenya","Yes","No"))</f>
        <v/>
      </c>
      <c r="X2182" s="29">
        <f>IF(B2182="","",IF(COUNTIF($B$5:$B$3004,B2182)&gt;1,"DUPLICATE","OK"))</f>
        <v/>
      </c>
      <c r="Y2182" s="29">
        <f>IF(OR(U2182="",V2182="",V2182="Excluded"),"",IF(COUNTIFS($U$5:$U$3004,U2182,$V$5:$V$3004,"&lt;&gt;"&amp;V2182,$V$5:$V$3004,"&lt;&gt;",$V$5:$V$3004,"&lt;&gt;Excluded")&gt;0,"LEAK RISK","OK"))</f>
        <v/>
      </c>
      <c r="Z2182" s="30" t="n"/>
    </row>
    <row r="2183">
      <c r="A2183" s="30" t="n"/>
      <c r="B2183" s="30" t="n"/>
      <c r="C2183" s="30" t="n"/>
      <c r="D2183" s="30" t="n"/>
      <c r="E2183" s="30" t="n"/>
      <c r="F2183" s="30" t="n"/>
      <c r="G2183" s="30" t="n"/>
      <c r="H2183" s="30" t="n"/>
      <c r="I2183" s="31" t="n"/>
      <c r="J2183" s="30" t="n"/>
      <c r="K2183" s="30" t="n"/>
      <c r="L2183" s="30" t="n"/>
      <c r="M2183" s="30" t="n"/>
      <c r="N2183" s="32" t="n"/>
      <c r="O2183" s="30" t="n"/>
      <c r="P2183" s="32" t="n"/>
      <c r="Q2183" s="30" t="n"/>
      <c r="R2183" s="32" t="n"/>
      <c r="S2183" s="30" t="n"/>
      <c r="T2183" s="30" t="n"/>
      <c r="U2183" s="30" t="n"/>
      <c r="V2183" s="30" t="n"/>
      <c r="W2183" s="29">
        <f>IF(H2183="","",IF(H2183="Kenya","Yes","No"))</f>
        <v/>
      </c>
      <c r="X2183" s="29">
        <f>IF(B2183="","",IF(COUNTIF($B$5:$B$3004,B2183)&gt;1,"DUPLICATE","OK"))</f>
        <v/>
      </c>
      <c r="Y2183" s="29">
        <f>IF(OR(U2183="",V2183="",V2183="Excluded"),"",IF(COUNTIFS($U$5:$U$3004,U2183,$V$5:$V$3004,"&lt;&gt;"&amp;V2183,$V$5:$V$3004,"&lt;&gt;",$V$5:$V$3004,"&lt;&gt;Excluded")&gt;0,"LEAK RISK","OK"))</f>
        <v/>
      </c>
      <c r="Z2183" s="30" t="n"/>
    </row>
    <row r="2184">
      <c r="A2184" s="30" t="n"/>
      <c r="B2184" s="30" t="n"/>
      <c r="C2184" s="30" t="n"/>
      <c r="D2184" s="30" t="n"/>
      <c r="E2184" s="30" t="n"/>
      <c r="F2184" s="30" t="n"/>
      <c r="G2184" s="30" t="n"/>
      <c r="H2184" s="30" t="n"/>
      <c r="I2184" s="31" t="n"/>
      <c r="J2184" s="30" t="n"/>
      <c r="K2184" s="30" t="n"/>
      <c r="L2184" s="30" t="n"/>
      <c r="M2184" s="30" t="n"/>
      <c r="N2184" s="32" t="n"/>
      <c r="O2184" s="30" t="n"/>
      <c r="P2184" s="32" t="n"/>
      <c r="Q2184" s="30" t="n"/>
      <c r="R2184" s="32" t="n"/>
      <c r="S2184" s="30" t="n"/>
      <c r="T2184" s="30" t="n"/>
      <c r="U2184" s="30" t="n"/>
      <c r="V2184" s="30" t="n"/>
      <c r="W2184" s="29">
        <f>IF(H2184="","",IF(H2184="Kenya","Yes","No"))</f>
        <v/>
      </c>
      <c r="X2184" s="29">
        <f>IF(B2184="","",IF(COUNTIF($B$5:$B$3004,B2184)&gt;1,"DUPLICATE","OK"))</f>
        <v/>
      </c>
      <c r="Y2184" s="29">
        <f>IF(OR(U2184="",V2184="",V2184="Excluded"),"",IF(COUNTIFS($U$5:$U$3004,U2184,$V$5:$V$3004,"&lt;&gt;"&amp;V2184,$V$5:$V$3004,"&lt;&gt;",$V$5:$V$3004,"&lt;&gt;Excluded")&gt;0,"LEAK RISK","OK"))</f>
        <v/>
      </c>
      <c r="Z2184" s="30" t="n"/>
    </row>
    <row r="2185">
      <c r="A2185" s="30" t="n"/>
      <c r="B2185" s="30" t="n"/>
      <c r="C2185" s="30" t="n"/>
      <c r="D2185" s="30" t="n"/>
      <c r="E2185" s="30" t="n"/>
      <c r="F2185" s="30" t="n"/>
      <c r="G2185" s="30" t="n"/>
      <c r="H2185" s="30" t="n"/>
      <c r="I2185" s="31" t="n"/>
      <c r="J2185" s="30" t="n"/>
      <c r="K2185" s="30" t="n"/>
      <c r="L2185" s="30" t="n"/>
      <c r="M2185" s="30" t="n"/>
      <c r="N2185" s="32" t="n"/>
      <c r="O2185" s="30" t="n"/>
      <c r="P2185" s="32" t="n"/>
      <c r="Q2185" s="30" t="n"/>
      <c r="R2185" s="32" t="n"/>
      <c r="S2185" s="30" t="n"/>
      <c r="T2185" s="30" t="n"/>
      <c r="U2185" s="30" t="n"/>
      <c r="V2185" s="30" t="n"/>
      <c r="W2185" s="29">
        <f>IF(H2185="","",IF(H2185="Kenya","Yes","No"))</f>
        <v/>
      </c>
      <c r="X2185" s="29">
        <f>IF(B2185="","",IF(COUNTIF($B$5:$B$3004,B2185)&gt;1,"DUPLICATE","OK"))</f>
        <v/>
      </c>
      <c r="Y2185" s="29">
        <f>IF(OR(U2185="",V2185="",V2185="Excluded"),"",IF(COUNTIFS($U$5:$U$3004,U2185,$V$5:$V$3004,"&lt;&gt;"&amp;V2185,$V$5:$V$3004,"&lt;&gt;",$V$5:$V$3004,"&lt;&gt;Excluded")&gt;0,"LEAK RISK","OK"))</f>
        <v/>
      </c>
      <c r="Z2185" s="30" t="n"/>
    </row>
    <row r="2186">
      <c r="A2186" s="30" t="n"/>
      <c r="B2186" s="30" t="n"/>
      <c r="C2186" s="30" t="n"/>
      <c r="D2186" s="30" t="n"/>
      <c r="E2186" s="30" t="n"/>
      <c r="F2186" s="30" t="n"/>
      <c r="G2186" s="30" t="n"/>
      <c r="H2186" s="30" t="n"/>
      <c r="I2186" s="31" t="n"/>
      <c r="J2186" s="30" t="n"/>
      <c r="K2186" s="30" t="n"/>
      <c r="L2186" s="30" t="n"/>
      <c r="M2186" s="30" t="n"/>
      <c r="N2186" s="32" t="n"/>
      <c r="O2186" s="30" t="n"/>
      <c r="P2186" s="32" t="n"/>
      <c r="Q2186" s="30" t="n"/>
      <c r="R2186" s="32" t="n"/>
      <c r="S2186" s="30" t="n"/>
      <c r="T2186" s="30" t="n"/>
      <c r="U2186" s="30" t="n"/>
      <c r="V2186" s="30" t="n"/>
      <c r="W2186" s="29">
        <f>IF(H2186="","",IF(H2186="Kenya","Yes","No"))</f>
        <v/>
      </c>
      <c r="X2186" s="29">
        <f>IF(B2186="","",IF(COUNTIF($B$5:$B$3004,B2186)&gt;1,"DUPLICATE","OK"))</f>
        <v/>
      </c>
      <c r="Y2186" s="29">
        <f>IF(OR(U2186="",V2186="",V2186="Excluded"),"",IF(COUNTIFS($U$5:$U$3004,U2186,$V$5:$V$3004,"&lt;&gt;"&amp;V2186,$V$5:$V$3004,"&lt;&gt;",$V$5:$V$3004,"&lt;&gt;Excluded")&gt;0,"LEAK RISK","OK"))</f>
        <v/>
      </c>
      <c r="Z2186" s="30" t="n"/>
    </row>
    <row r="2187">
      <c r="A2187" s="30" t="n"/>
      <c r="B2187" s="30" t="n"/>
      <c r="C2187" s="30" t="n"/>
      <c r="D2187" s="30" t="n"/>
      <c r="E2187" s="30" t="n"/>
      <c r="F2187" s="30" t="n"/>
      <c r="G2187" s="30" t="n"/>
      <c r="H2187" s="30" t="n"/>
      <c r="I2187" s="31" t="n"/>
      <c r="J2187" s="30" t="n"/>
      <c r="K2187" s="30" t="n"/>
      <c r="L2187" s="30" t="n"/>
      <c r="M2187" s="30" t="n"/>
      <c r="N2187" s="32" t="n"/>
      <c r="O2187" s="30" t="n"/>
      <c r="P2187" s="32" t="n"/>
      <c r="Q2187" s="30" t="n"/>
      <c r="R2187" s="32" t="n"/>
      <c r="S2187" s="30" t="n"/>
      <c r="T2187" s="30" t="n"/>
      <c r="U2187" s="30" t="n"/>
      <c r="V2187" s="30" t="n"/>
      <c r="W2187" s="29">
        <f>IF(H2187="","",IF(H2187="Kenya","Yes","No"))</f>
        <v/>
      </c>
      <c r="X2187" s="29">
        <f>IF(B2187="","",IF(COUNTIF($B$5:$B$3004,B2187)&gt;1,"DUPLICATE","OK"))</f>
        <v/>
      </c>
      <c r="Y2187" s="29">
        <f>IF(OR(U2187="",V2187="",V2187="Excluded"),"",IF(COUNTIFS($U$5:$U$3004,U2187,$V$5:$V$3004,"&lt;&gt;"&amp;V2187,$V$5:$V$3004,"&lt;&gt;",$V$5:$V$3004,"&lt;&gt;Excluded")&gt;0,"LEAK RISK","OK"))</f>
        <v/>
      </c>
      <c r="Z2187" s="30" t="n"/>
    </row>
    <row r="2188">
      <c r="A2188" s="30" t="n"/>
      <c r="B2188" s="30" t="n"/>
      <c r="C2188" s="30" t="n"/>
      <c r="D2188" s="30" t="n"/>
      <c r="E2188" s="30" t="n"/>
      <c r="F2188" s="30" t="n"/>
      <c r="G2188" s="30" t="n"/>
      <c r="H2188" s="30" t="n"/>
      <c r="I2188" s="31" t="n"/>
      <c r="J2188" s="30" t="n"/>
      <c r="K2188" s="30" t="n"/>
      <c r="L2188" s="30" t="n"/>
      <c r="M2188" s="30" t="n"/>
      <c r="N2188" s="32" t="n"/>
      <c r="O2188" s="30" t="n"/>
      <c r="P2188" s="32" t="n"/>
      <c r="Q2188" s="30" t="n"/>
      <c r="R2188" s="32" t="n"/>
      <c r="S2188" s="30" t="n"/>
      <c r="T2188" s="30" t="n"/>
      <c r="U2188" s="30" t="n"/>
      <c r="V2188" s="30" t="n"/>
      <c r="W2188" s="29">
        <f>IF(H2188="","",IF(H2188="Kenya","Yes","No"))</f>
        <v/>
      </c>
      <c r="X2188" s="29">
        <f>IF(B2188="","",IF(COUNTIF($B$5:$B$3004,B2188)&gt;1,"DUPLICATE","OK"))</f>
        <v/>
      </c>
      <c r="Y2188" s="29">
        <f>IF(OR(U2188="",V2188="",V2188="Excluded"),"",IF(COUNTIFS($U$5:$U$3004,U2188,$V$5:$V$3004,"&lt;&gt;"&amp;V2188,$V$5:$V$3004,"&lt;&gt;",$V$5:$V$3004,"&lt;&gt;Excluded")&gt;0,"LEAK RISK","OK"))</f>
        <v/>
      </c>
      <c r="Z2188" s="30" t="n"/>
    </row>
    <row r="2189">
      <c r="A2189" s="30" t="n"/>
      <c r="B2189" s="30" t="n"/>
      <c r="C2189" s="30" t="n"/>
      <c r="D2189" s="30" t="n"/>
      <c r="E2189" s="30" t="n"/>
      <c r="F2189" s="30" t="n"/>
      <c r="G2189" s="30" t="n"/>
      <c r="H2189" s="30" t="n"/>
      <c r="I2189" s="31" t="n"/>
      <c r="J2189" s="30" t="n"/>
      <c r="K2189" s="30" t="n"/>
      <c r="L2189" s="30" t="n"/>
      <c r="M2189" s="30" t="n"/>
      <c r="N2189" s="32" t="n"/>
      <c r="O2189" s="30" t="n"/>
      <c r="P2189" s="32" t="n"/>
      <c r="Q2189" s="30" t="n"/>
      <c r="R2189" s="32" t="n"/>
      <c r="S2189" s="30" t="n"/>
      <c r="T2189" s="30" t="n"/>
      <c r="U2189" s="30" t="n"/>
      <c r="V2189" s="30" t="n"/>
      <c r="W2189" s="29">
        <f>IF(H2189="","",IF(H2189="Kenya","Yes","No"))</f>
        <v/>
      </c>
      <c r="X2189" s="29">
        <f>IF(B2189="","",IF(COUNTIF($B$5:$B$3004,B2189)&gt;1,"DUPLICATE","OK"))</f>
        <v/>
      </c>
      <c r="Y2189" s="29">
        <f>IF(OR(U2189="",V2189="",V2189="Excluded"),"",IF(COUNTIFS($U$5:$U$3004,U2189,$V$5:$V$3004,"&lt;&gt;"&amp;V2189,$V$5:$V$3004,"&lt;&gt;",$V$5:$V$3004,"&lt;&gt;Excluded")&gt;0,"LEAK RISK","OK"))</f>
        <v/>
      </c>
      <c r="Z2189" s="30" t="n"/>
    </row>
    <row r="2190">
      <c r="A2190" s="30" t="n"/>
      <c r="B2190" s="30" t="n"/>
      <c r="C2190" s="30" t="n"/>
      <c r="D2190" s="30" t="n"/>
      <c r="E2190" s="30" t="n"/>
      <c r="F2190" s="30" t="n"/>
      <c r="G2190" s="30" t="n"/>
      <c r="H2190" s="30" t="n"/>
      <c r="I2190" s="31" t="n"/>
      <c r="J2190" s="30" t="n"/>
      <c r="K2190" s="30" t="n"/>
      <c r="L2190" s="30" t="n"/>
      <c r="M2190" s="30" t="n"/>
      <c r="N2190" s="32" t="n"/>
      <c r="O2190" s="30" t="n"/>
      <c r="P2190" s="32" t="n"/>
      <c r="Q2190" s="30" t="n"/>
      <c r="R2190" s="32" t="n"/>
      <c r="S2190" s="30" t="n"/>
      <c r="T2190" s="30" t="n"/>
      <c r="U2190" s="30" t="n"/>
      <c r="V2190" s="30" t="n"/>
      <c r="W2190" s="29">
        <f>IF(H2190="","",IF(H2190="Kenya","Yes","No"))</f>
        <v/>
      </c>
      <c r="X2190" s="29">
        <f>IF(B2190="","",IF(COUNTIF($B$5:$B$3004,B2190)&gt;1,"DUPLICATE","OK"))</f>
        <v/>
      </c>
      <c r="Y2190" s="29">
        <f>IF(OR(U2190="",V2190="",V2190="Excluded"),"",IF(COUNTIFS($U$5:$U$3004,U2190,$V$5:$V$3004,"&lt;&gt;"&amp;V2190,$V$5:$V$3004,"&lt;&gt;",$V$5:$V$3004,"&lt;&gt;Excluded")&gt;0,"LEAK RISK","OK"))</f>
        <v/>
      </c>
      <c r="Z2190" s="30" t="n"/>
    </row>
    <row r="2191">
      <c r="A2191" s="30" t="n"/>
      <c r="B2191" s="30" t="n"/>
      <c r="C2191" s="30" t="n"/>
      <c r="D2191" s="30" t="n"/>
      <c r="E2191" s="30" t="n"/>
      <c r="F2191" s="30" t="n"/>
      <c r="G2191" s="30" t="n"/>
      <c r="H2191" s="30" t="n"/>
      <c r="I2191" s="31" t="n"/>
      <c r="J2191" s="30" t="n"/>
      <c r="K2191" s="30" t="n"/>
      <c r="L2191" s="30" t="n"/>
      <c r="M2191" s="30" t="n"/>
      <c r="N2191" s="32" t="n"/>
      <c r="O2191" s="30" t="n"/>
      <c r="P2191" s="32" t="n"/>
      <c r="Q2191" s="30" t="n"/>
      <c r="R2191" s="32" t="n"/>
      <c r="S2191" s="30" t="n"/>
      <c r="T2191" s="30" t="n"/>
      <c r="U2191" s="30" t="n"/>
      <c r="V2191" s="30" t="n"/>
      <c r="W2191" s="29">
        <f>IF(H2191="","",IF(H2191="Kenya","Yes","No"))</f>
        <v/>
      </c>
      <c r="X2191" s="29">
        <f>IF(B2191="","",IF(COUNTIF($B$5:$B$3004,B2191)&gt;1,"DUPLICATE","OK"))</f>
        <v/>
      </c>
      <c r="Y2191" s="29">
        <f>IF(OR(U2191="",V2191="",V2191="Excluded"),"",IF(COUNTIFS($U$5:$U$3004,U2191,$V$5:$V$3004,"&lt;&gt;"&amp;V2191,$V$5:$V$3004,"&lt;&gt;",$V$5:$V$3004,"&lt;&gt;Excluded")&gt;0,"LEAK RISK","OK"))</f>
        <v/>
      </c>
      <c r="Z2191" s="30" t="n"/>
    </row>
    <row r="2192">
      <c r="A2192" s="30" t="n"/>
      <c r="B2192" s="30" t="n"/>
      <c r="C2192" s="30" t="n"/>
      <c r="D2192" s="30" t="n"/>
      <c r="E2192" s="30" t="n"/>
      <c r="F2192" s="30" t="n"/>
      <c r="G2192" s="30" t="n"/>
      <c r="H2192" s="30" t="n"/>
      <c r="I2192" s="31" t="n"/>
      <c r="J2192" s="30" t="n"/>
      <c r="K2192" s="30" t="n"/>
      <c r="L2192" s="30" t="n"/>
      <c r="M2192" s="30" t="n"/>
      <c r="N2192" s="32" t="n"/>
      <c r="O2192" s="30" t="n"/>
      <c r="P2192" s="32" t="n"/>
      <c r="Q2192" s="30" t="n"/>
      <c r="R2192" s="32" t="n"/>
      <c r="S2192" s="30" t="n"/>
      <c r="T2192" s="30" t="n"/>
      <c r="U2192" s="30" t="n"/>
      <c r="V2192" s="30" t="n"/>
      <c r="W2192" s="29">
        <f>IF(H2192="","",IF(H2192="Kenya","Yes","No"))</f>
        <v/>
      </c>
      <c r="X2192" s="29">
        <f>IF(B2192="","",IF(COUNTIF($B$5:$B$3004,B2192)&gt;1,"DUPLICATE","OK"))</f>
        <v/>
      </c>
      <c r="Y2192" s="29">
        <f>IF(OR(U2192="",V2192="",V2192="Excluded"),"",IF(COUNTIFS($U$5:$U$3004,U2192,$V$5:$V$3004,"&lt;&gt;"&amp;V2192,$V$5:$V$3004,"&lt;&gt;",$V$5:$V$3004,"&lt;&gt;Excluded")&gt;0,"LEAK RISK","OK"))</f>
        <v/>
      </c>
      <c r="Z2192" s="30" t="n"/>
    </row>
    <row r="2193">
      <c r="A2193" s="30" t="n"/>
      <c r="B2193" s="30" t="n"/>
      <c r="C2193" s="30" t="n"/>
      <c r="D2193" s="30" t="n"/>
      <c r="E2193" s="30" t="n"/>
      <c r="F2193" s="30" t="n"/>
      <c r="G2193" s="30" t="n"/>
      <c r="H2193" s="30" t="n"/>
      <c r="I2193" s="31" t="n"/>
      <c r="J2193" s="30" t="n"/>
      <c r="K2193" s="30" t="n"/>
      <c r="L2193" s="30" t="n"/>
      <c r="M2193" s="30" t="n"/>
      <c r="N2193" s="32" t="n"/>
      <c r="O2193" s="30" t="n"/>
      <c r="P2193" s="32" t="n"/>
      <c r="Q2193" s="30" t="n"/>
      <c r="R2193" s="32" t="n"/>
      <c r="S2193" s="30" t="n"/>
      <c r="T2193" s="30" t="n"/>
      <c r="U2193" s="30" t="n"/>
      <c r="V2193" s="30" t="n"/>
      <c r="W2193" s="29">
        <f>IF(H2193="","",IF(H2193="Kenya","Yes","No"))</f>
        <v/>
      </c>
      <c r="X2193" s="29">
        <f>IF(B2193="","",IF(COUNTIF($B$5:$B$3004,B2193)&gt;1,"DUPLICATE","OK"))</f>
        <v/>
      </c>
      <c r="Y2193" s="29">
        <f>IF(OR(U2193="",V2193="",V2193="Excluded"),"",IF(COUNTIFS($U$5:$U$3004,U2193,$V$5:$V$3004,"&lt;&gt;"&amp;V2193,$V$5:$V$3004,"&lt;&gt;",$V$5:$V$3004,"&lt;&gt;Excluded")&gt;0,"LEAK RISK","OK"))</f>
        <v/>
      </c>
      <c r="Z2193" s="30" t="n"/>
    </row>
    <row r="2194">
      <c r="A2194" s="30" t="n"/>
      <c r="B2194" s="30" t="n"/>
      <c r="C2194" s="30" t="n"/>
      <c r="D2194" s="30" t="n"/>
      <c r="E2194" s="30" t="n"/>
      <c r="F2194" s="30" t="n"/>
      <c r="G2194" s="30" t="n"/>
      <c r="H2194" s="30" t="n"/>
      <c r="I2194" s="31" t="n"/>
      <c r="J2194" s="30" t="n"/>
      <c r="K2194" s="30" t="n"/>
      <c r="L2194" s="30" t="n"/>
      <c r="M2194" s="30" t="n"/>
      <c r="N2194" s="32" t="n"/>
      <c r="O2194" s="30" t="n"/>
      <c r="P2194" s="32" t="n"/>
      <c r="Q2194" s="30" t="n"/>
      <c r="R2194" s="32" t="n"/>
      <c r="S2194" s="30" t="n"/>
      <c r="T2194" s="30" t="n"/>
      <c r="U2194" s="30" t="n"/>
      <c r="V2194" s="30" t="n"/>
      <c r="W2194" s="29">
        <f>IF(H2194="","",IF(H2194="Kenya","Yes","No"))</f>
        <v/>
      </c>
      <c r="X2194" s="29">
        <f>IF(B2194="","",IF(COUNTIF($B$5:$B$3004,B2194)&gt;1,"DUPLICATE","OK"))</f>
        <v/>
      </c>
      <c r="Y2194" s="29">
        <f>IF(OR(U2194="",V2194="",V2194="Excluded"),"",IF(COUNTIFS($U$5:$U$3004,U2194,$V$5:$V$3004,"&lt;&gt;"&amp;V2194,$V$5:$V$3004,"&lt;&gt;",$V$5:$V$3004,"&lt;&gt;Excluded")&gt;0,"LEAK RISK","OK"))</f>
        <v/>
      </c>
      <c r="Z2194" s="30" t="n"/>
    </row>
    <row r="2195">
      <c r="A2195" s="30" t="n"/>
      <c r="B2195" s="30" t="n"/>
      <c r="C2195" s="30" t="n"/>
      <c r="D2195" s="30" t="n"/>
      <c r="E2195" s="30" t="n"/>
      <c r="F2195" s="30" t="n"/>
      <c r="G2195" s="30" t="n"/>
      <c r="H2195" s="30" t="n"/>
      <c r="I2195" s="31" t="n"/>
      <c r="J2195" s="30" t="n"/>
      <c r="K2195" s="30" t="n"/>
      <c r="L2195" s="30" t="n"/>
      <c r="M2195" s="30" t="n"/>
      <c r="N2195" s="32" t="n"/>
      <c r="O2195" s="30" t="n"/>
      <c r="P2195" s="32" t="n"/>
      <c r="Q2195" s="30" t="n"/>
      <c r="R2195" s="32" t="n"/>
      <c r="S2195" s="30" t="n"/>
      <c r="T2195" s="30" t="n"/>
      <c r="U2195" s="30" t="n"/>
      <c r="V2195" s="30" t="n"/>
      <c r="W2195" s="29">
        <f>IF(H2195="","",IF(H2195="Kenya","Yes","No"))</f>
        <v/>
      </c>
      <c r="X2195" s="29">
        <f>IF(B2195="","",IF(COUNTIF($B$5:$B$3004,B2195)&gt;1,"DUPLICATE","OK"))</f>
        <v/>
      </c>
      <c r="Y2195" s="29">
        <f>IF(OR(U2195="",V2195="",V2195="Excluded"),"",IF(COUNTIFS($U$5:$U$3004,U2195,$V$5:$V$3004,"&lt;&gt;"&amp;V2195,$V$5:$V$3004,"&lt;&gt;",$V$5:$V$3004,"&lt;&gt;Excluded")&gt;0,"LEAK RISK","OK"))</f>
        <v/>
      </c>
      <c r="Z2195" s="30" t="n"/>
    </row>
    <row r="2196">
      <c r="A2196" s="30" t="n"/>
      <c r="B2196" s="30" t="n"/>
      <c r="C2196" s="30" t="n"/>
      <c r="D2196" s="30" t="n"/>
      <c r="E2196" s="30" t="n"/>
      <c r="F2196" s="30" t="n"/>
      <c r="G2196" s="30" t="n"/>
      <c r="H2196" s="30" t="n"/>
      <c r="I2196" s="31" t="n"/>
      <c r="J2196" s="30" t="n"/>
      <c r="K2196" s="30" t="n"/>
      <c r="L2196" s="30" t="n"/>
      <c r="M2196" s="30" t="n"/>
      <c r="N2196" s="32" t="n"/>
      <c r="O2196" s="30" t="n"/>
      <c r="P2196" s="32" t="n"/>
      <c r="Q2196" s="30" t="n"/>
      <c r="R2196" s="32" t="n"/>
      <c r="S2196" s="30" t="n"/>
      <c r="T2196" s="30" t="n"/>
      <c r="U2196" s="30" t="n"/>
      <c r="V2196" s="30" t="n"/>
      <c r="W2196" s="29">
        <f>IF(H2196="","",IF(H2196="Kenya","Yes","No"))</f>
        <v/>
      </c>
      <c r="X2196" s="29">
        <f>IF(B2196="","",IF(COUNTIF($B$5:$B$3004,B2196)&gt;1,"DUPLICATE","OK"))</f>
        <v/>
      </c>
      <c r="Y2196" s="29">
        <f>IF(OR(U2196="",V2196="",V2196="Excluded"),"",IF(COUNTIFS($U$5:$U$3004,U2196,$V$5:$V$3004,"&lt;&gt;"&amp;V2196,$V$5:$V$3004,"&lt;&gt;",$V$5:$V$3004,"&lt;&gt;Excluded")&gt;0,"LEAK RISK","OK"))</f>
        <v/>
      </c>
      <c r="Z2196" s="30" t="n"/>
    </row>
    <row r="2197">
      <c r="A2197" s="30" t="n"/>
      <c r="B2197" s="30" t="n"/>
      <c r="C2197" s="30" t="n"/>
      <c r="D2197" s="30" t="n"/>
      <c r="E2197" s="30" t="n"/>
      <c r="F2197" s="30" t="n"/>
      <c r="G2197" s="30" t="n"/>
      <c r="H2197" s="30" t="n"/>
      <c r="I2197" s="31" t="n"/>
      <c r="J2197" s="30" t="n"/>
      <c r="K2197" s="30" t="n"/>
      <c r="L2197" s="30" t="n"/>
      <c r="M2197" s="30" t="n"/>
      <c r="N2197" s="32" t="n"/>
      <c r="O2197" s="30" t="n"/>
      <c r="P2197" s="32" t="n"/>
      <c r="Q2197" s="30" t="n"/>
      <c r="R2197" s="32" t="n"/>
      <c r="S2197" s="30" t="n"/>
      <c r="T2197" s="30" t="n"/>
      <c r="U2197" s="30" t="n"/>
      <c r="V2197" s="30" t="n"/>
      <c r="W2197" s="29">
        <f>IF(H2197="","",IF(H2197="Kenya","Yes","No"))</f>
        <v/>
      </c>
      <c r="X2197" s="29">
        <f>IF(B2197="","",IF(COUNTIF($B$5:$B$3004,B2197)&gt;1,"DUPLICATE","OK"))</f>
        <v/>
      </c>
      <c r="Y2197" s="29">
        <f>IF(OR(U2197="",V2197="",V2197="Excluded"),"",IF(COUNTIFS($U$5:$U$3004,U2197,$V$5:$V$3004,"&lt;&gt;"&amp;V2197,$V$5:$V$3004,"&lt;&gt;",$V$5:$V$3004,"&lt;&gt;Excluded")&gt;0,"LEAK RISK","OK"))</f>
        <v/>
      </c>
      <c r="Z2197" s="30" t="n"/>
    </row>
    <row r="2198">
      <c r="A2198" s="30" t="n"/>
      <c r="B2198" s="30" t="n"/>
      <c r="C2198" s="30" t="n"/>
      <c r="D2198" s="30" t="n"/>
      <c r="E2198" s="30" t="n"/>
      <c r="F2198" s="30" t="n"/>
      <c r="G2198" s="30" t="n"/>
      <c r="H2198" s="30" t="n"/>
      <c r="I2198" s="31" t="n"/>
      <c r="J2198" s="30" t="n"/>
      <c r="K2198" s="30" t="n"/>
      <c r="L2198" s="30" t="n"/>
      <c r="M2198" s="30" t="n"/>
      <c r="N2198" s="32" t="n"/>
      <c r="O2198" s="30" t="n"/>
      <c r="P2198" s="32" t="n"/>
      <c r="Q2198" s="30" t="n"/>
      <c r="R2198" s="32" t="n"/>
      <c r="S2198" s="30" t="n"/>
      <c r="T2198" s="30" t="n"/>
      <c r="U2198" s="30" t="n"/>
      <c r="V2198" s="30" t="n"/>
      <c r="W2198" s="29">
        <f>IF(H2198="","",IF(H2198="Kenya","Yes","No"))</f>
        <v/>
      </c>
      <c r="X2198" s="29">
        <f>IF(B2198="","",IF(COUNTIF($B$5:$B$3004,B2198)&gt;1,"DUPLICATE","OK"))</f>
        <v/>
      </c>
      <c r="Y2198" s="29">
        <f>IF(OR(U2198="",V2198="",V2198="Excluded"),"",IF(COUNTIFS($U$5:$U$3004,U2198,$V$5:$V$3004,"&lt;&gt;"&amp;V2198,$V$5:$V$3004,"&lt;&gt;",$V$5:$V$3004,"&lt;&gt;Excluded")&gt;0,"LEAK RISK","OK"))</f>
        <v/>
      </c>
      <c r="Z2198" s="30" t="n"/>
    </row>
    <row r="2199">
      <c r="A2199" s="30" t="n"/>
      <c r="B2199" s="30" t="n"/>
      <c r="C2199" s="30" t="n"/>
      <c r="D2199" s="30" t="n"/>
      <c r="E2199" s="30" t="n"/>
      <c r="F2199" s="30" t="n"/>
      <c r="G2199" s="30" t="n"/>
      <c r="H2199" s="30" t="n"/>
      <c r="I2199" s="31" t="n"/>
      <c r="J2199" s="30" t="n"/>
      <c r="K2199" s="30" t="n"/>
      <c r="L2199" s="30" t="n"/>
      <c r="M2199" s="30" t="n"/>
      <c r="N2199" s="32" t="n"/>
      <c r="O2199" s="30" t="n"/>
      <c r="P2199" s="32" t="n"/>
      <c r="Q2199" s="30" t="n"/>
      <c r="R2199" s="32" t="n"/>
      <c r="S2199" s="30" t="n"/>
      <c r="T2199" s="30" t="n"/>
      <c r="U2199" s="30" t="n"/>
      <c r="V2199" s="30" t="n"/>
      <c r="W2199" s="29">
        <f>IF(H2199="","",IF(H2199="Kenya","Yes","No"))</f>
        <v/>
      </c>
      <c r="X2199" s="29">
        <f>IF(B2199="","",IF(COUNTIF($B$5:$B$3004,B2199)&gt;1,"DUPLICATE","OK"))</f>
        <v/>
      </c>
      <c r="Y2199" s="29">
        <f>IF(OR(U2199="",V2199="",V2199="Excluded"),"",IF(COUNTIFS($U$5:$U$3004,U2199,$V$5:$V$3004,"&lt;&gt;"&amp;V2199,$V$5:$V$3004,"&lt;&gt;",$V$5:$V$3004,"&lt;&gt;Excluded")&gt;0,"LEAK RISK","OK"))</f>
        <v/>
      </c>
      <c r="Z2199" s="30" t="n"/>
    </row>
    <row r="2200">
      <c r="A2200" s="30" t="n"/>
      <c r="B2200" s="30" t="n"/>
      <c r="C2200" s="30" t="n"/>
      <c r="D2200" s="30" t="n"/>
      <c r="E2200" s="30" t="n"/>
      <c r="F2200" s="30" t="n"/>
      <c r="G2200" s="30" t="n"/>
      <c r="H2200" s="30" t="n"/>
      <c r="I2200" s="31" t="n"/>
      <c r="J2200" s="30" t="n"/>
      <c r="K2200" s="30" t="n"/>
      <c r="L2200" s="30" t="n"/>
      <c r="M2200" s="30" t="n"/>
      <c r="N2200" s="32" t="n"/>
      <c r="O2200" s="30" t="n"/>
      <c r="P2200" s="32" t="n"/>
      <c r="Q2200" s="30" t="n"/>
      <c r="R2200" s="32" t="n"/>
      <c r="S2200" s="30" t="n"/>
      <c r="T2200" s="30" t="n"/>
      <c r="U2200" s="30" t="n"/>
      <c r="V2200" s="30" t="n"/>
      <c r="W2200" s="29">
        <f>IF(H2200="","",IF(H2200="Kenya","Yes","No"))</f>
        <v/>
      </c>
      <c r="X2200" s="29">
        <f>IF(B2200="","",IF(COUNTIF($B$5:$B$3004,B2200)&gt;1,"DUPLICATE","OK"))</f>
        <v/>
      </c>
      <c r="Y2200" s="29">
        <f>IF(OR(U2200="",V2200="",V2200="Excluded"),"",IF(COUNTIFS($U$5:$U$3004,U2200,$V$5:$V$3004,"&lt;&gt;"&amp;V2200,$V$5:$V$3004,"&lt;&gt;",$V$5:$V$3004,"&lt;&gt;Excluded")&gt;0,"LEAK RISK","OK"))</f>
        <v/>
      </c>
      <c r="Z2200" s="30" t="n"/>
    </row>
    <row r="2201">
      <c r="A2201" s="30" t="n"/>
      <c r="B2201" s="30" t="n"/>
      <c r="C2201" s="30" t="n"/>
      <c r="D2201" s="30" t="n"/>
      <c r="E2201" s="30" t="n"/>
      <c r="F2201" s="30" t="n"/>
      <c r="G2201" s="30" t="n"/>
      <c r="H2201" s="30" t="n"/>
      <c r="I2201" s="31" t="n"/>
      <c r="J2201" s="30" t="n"/>
      <c r="K2201" s="30" t="n"/>
      <c r="L2201" s="30" t="n"/>
      <c r="M2201" s="30" t="n"/>
      <c r="N2201" s="32" t="n"/>
      <c r="O2201" s="30" t="n"/>
      <c r="P2201" s="32" t="n"/>
      <c r="Q2201" s="30" t="n"/>
      <c r="R2201" s="32" t="n"/>
      <c r="S2201" s="30" t="n"/>
      <c r="T2201" s="30" t="n"/>
      <c r="U2201" s="30" t="n"/>
      <c r="V2201" s="30" t="n"/>
      <c r="W2201" s="29">
        <f>IF(H2201="","",IF(H2201="Kenya","Yes","No"))</f>
        <v/>
      </c>
      <c r="X2201" s="29">
        <f>IF(B2201="","",IF(COUNTIF($B$5:$B$3004,B2201)&gt;1,"DUPLICATE","OK"))</f>
        <v/>
      </c>
      <c r="Y2201" s="29">
        <f>IF(OR(U2201="",V2201="",V2201="Excluded"),"",IF(COUNTIFS($U$5:$U$3004,U2201,$V$5:$V$3004,"&lt;&gt;"&amp;V2201,$V$5:$V$3004,"&lt;&gt;",$V$5:$V$3004,"&lt;&gt;Excluded")&gt;0,"LEAK RISK","OK"))</f>
        <v/>
      </c>
      <c r="Z2201" s="30" t="n"/>
    </row>
    <row r="2202">
      <c r="A2202" s="30" t="n"/>
      <c r="B2202" s="30" t="n"/>
      <c r="C2202" s="30" t="n"/>
      <c r="D2202" s="30" t="n"/>
      <c r="E2202" s="30" t="n"/>
      <c r="F2202" s="30" t="n"/>
      <c r="G2202" s="30" t="n"/>
      <c r="H2202" s="30" t="n"/>
      <c r="I2202" s="31" t="n"/>
      <c r="J2202" s="30" t="n"/>
      <c r="K2202" s="30" t="n"/>
      <c r="L2202" s="30" t="n"/>
      <c r="M2202" s="30" t="n"/>
      <c r="N2202" s="32" t="n"/>
      <c r="O2202" s="30" t="n"/>
      <c r="P2202" s="32" t="n"/>
      <c r="Q2202" s="30" t="n"/>
      <c r="R2202" s="32" t="n"/>
      <c r="S2202" s="30" t="n"/>
      <c r="T2202" s="30" t="n"/>
      <c r="U2202" s="30" t="n"/>
      <c r="V2202" s="30" t="n"/>
      <c r="W2202" s="29">
        <f>IF(H2202="","",IF(H2202="Kenya","Yes","No"))</f>
        <v/>
      </c>
      <c r="X2202" s="29">
        <f>IF(B2202="","",IF(COUNTIF($B$5:$B$3004,B2202)&gt;1,"DUPLICATE","OK"))</f>
        <v/>
      </c>
      <c r="Y2202" s="29">
        <f>IF(OR(U2202="",V2202="",V2202="Excluded"),"",IF(COUNTIFS($U$5:$U$3004,U2202,$V$5:$V$3004,"&lt;&gt;"&amp;V2202,$V$5:$V$3004,"&lt;&gt;",$V$5:$V$3004,"&lt;&gt;Excluded")&gt;0,"LEAK RISK","OK"))</f>
        <v/>
      </c>
      <c r="Z2202" s="30" t="n"/>
    </row>
    <row r="2203">
      <c r="A2203" s="30" t="n"/>
      <c r="B2203" s="30" t="n"/>
      <c r="C2203" s="30" t="n"/>
      <c r="D2203" s="30" t="n"/>
      <c r="E2203" s="30" t="n"/>
      <c r="F2203" s="30" t="n"/>
      <c r="G2203" s="30" t="n"/>
      <c r="H2203" s="30" t="n"/>
      <c r="I2203" s="31" t="n"/>
      <c r="J2203" s="30" t="n"/>
      <c r="K2203" s="30" t="n"/>
      <c r="L2203" s="30" t="n"/>
      <c r="M2203" s="30" t="n"/>
      <c r="N2203" s="32" t="n"/>
      <c r="O2203" s="30" t="n"/>
      <c r="P2203" s="32" t="n"/>
      <c r="Q2203" s="30" t="n"/>
      <c r="R2203" s="32" t="n"/>
      <c r="S2203" s="30" t="n"/>
      <c r="T2203" s="30" t="n"/>
      <c r="U2203" s="30" t="n"/>
      <c r="V2203" s="30" t="n"/>
      <c r="W2203" s="29">
        <f>IF(H2203="","",IF(H2203="Kenya","Yes","No"))</f>
        <v/>
      </c>
      <c r="X2203" s="29">
        <f>IF(B2203="","",IF(COUNTIF($B$5:$B$3004,B2203)&gt;1,"DUPLICATE","OK"))</f>
        <v/>
      </c>
      <c r="Y2203" s="29">
        <f>IF(OR(U2203="",V2203="",V2203="Excluded"),"",IF(COUNTIFS($U$5:$U$3004,U2203,$V$5:$V$3004,"&lt;&gt;"&amp;V2203,$V$5:$V$3004,"&lt;&gt;",$V$5:$V$3004,"&lt;&gt;Excluded")&gt;0,"LEAK RISK","OK"))</f>
        <v/>
      </c>
      <c r="Z2203" s="30" t="n"/>
    </row>
    <row r="2204">
      <c r="A2204" s="30" t="n"/>
      <c r="B2204" s="30" t="n"/>
      <c r="C2204" s="30" t="n"/>
      <c r="D2204" s="30" t="n"/>
      <c r="E2204" s="30" t="n"/>
      <c r="F2204" s="30" t="n"/>
      <c r="G2204" s="30" t="n"/>
      <c r="H2204" s="30" t="n"/>
      <c r="I2204" s="31" t="n"/>
      <c r="J2204" s="30" t="n"/>
      <c r="K2204" s="30" t="n"/>
      <c r="L2204" s="30" t="n"/>
      <c r="M2204" s="30" t="n"/>
      <c r="N2204" s="32" t="n"/>
      <c r="O2204" s="30" t="n"/>
      <c r="P2204" s="32" t="n"/>
      <c r="Q2204" s="30" t="n"/>
      <c r="R2204" s="32" t="n"/>
      <c r="S2204" s="30" t="n"/>
      <c r="T2204" s="30" t="n"/>
      <c r="U2204" s="30" t="n"/>
      <c r="V2204" s="30" t="n"/>
      <c r="W2204" s="29">
        <f>IF(H2204="","",IF(H2204="Kenya","Yes","No"))</f>
        <v/>
      </c>
      <c r="X2204" s="29">
        <f>IF(B2204="","",IF(COUNTIF($B$5:$B$3004,B2204)&gt;1,"DUPLICATE","OK"))</f>
        <v/>
      </c>
      <c r="Y2204" s="29">
        <f>IF(OR(U2204="",V2204="",V2204="Excluded"),"",IF(COUNTIFS($U$5:$U$3004,U2204,$V$5:$V$3004,"&lt;&gt;"&amp;V2204,$V$5:$V$3004,"&lt;&gt;",$V$5:$V$3004,"&lt;&gt;Excluded")&gt;0,"LEAK RISK","OK"))</f>
        <v/>
      </c>
      <c r="Z2204" s="30" t="n"/>
    </row>
    <row r="2205">
      <c r="A2205" s="30" t="n"/>
      <c r="B2205" s="30" t="n"/>
      <c r="C2205" s="30" t="n"/>
      <c r="D2205" s="30" t="n"/>
      <c r="E2205" s="30" t="n"/>
      <c r="F2205" s="30" t="n"/>
      <c r="G2205" s="30" t="n"/>
      <c r="H2205" s="30" t="n"/>
      <c r="I2205" s="31" t="n"/>
      <c r="J2205" s="30" t="n"/>
      <c r="K2205" s="30" t="n"/>
      <c r="L2205" s="30" t="n"/>
      <c r="M2205" s="30" t="n"/>
      <c r="N2205" s="32" t="n"/>
      <c r="O2205" s="30" t="n"/>
      <c r="P2205" s="32" t="n"/>
      <c r="Q2205" s="30" t="n"/>
      <c r="R2205" s="32" t="n"/>
      <c r="S2205" s="30" t="n"/>
      <c r="T2205" s="30" t="n"/>
      <c r="U2205" s="30" t="n"/>
      <c r="V2205" s="30" t="n"/>
      <c r="W2205" s="29">
        <f>IF(H2205="","",IF(H2205="Kenya","Yes","No"))</f>
        <v/>
      </c>
      <c r="X2205" s="29">
        <f>IF(B2205="","",IF(COUNTIF($B$5:$B$3004,B2205)&gt;1,"DUPLICATE","OK"))</f>
        <v/>
      </c>
      <c r="Y2205" s="29">
        <f>IF(OR(U2205="",V2205="",V2205="Excluded"),"",IF(COUNTIFS($U$5:$U$3004,U2205,$V$5:$V$3004,"&lt;&gt;"&amp;V2205,$V$5:$V$3004,"&lt;&gt;",$V$5:$V$3004,"&lt;&gt;Excluded")&gt;0,"LEAK RISK","OK"))</f>
        <v/>
      </c>
      <c r="Z2205" s="30" t="n"/>
    </row>
    <row r="2206">
      <c r="A2206" s="30" t="n"/>
      <c r="B2206" s="30" t="n"/>
      <c r="C2206" s="30" t="n"/>
      <c r="D2206" s="30" t="n"/>
      <c r="E2206" s="30" t="n"/>
      <c r="F2206" s="30" t="n"/>
      <c r="G2206" s="30" t="n"/>
      <c r="H2206" s="30" t="n"/>
      <c r="I2206" s="31" t="n"/>
      <c r="J2206" s="30" t="n"/>
      <c r="K2206" s="30" t="n"/>
      <c r="L2206" s="30" t="n"/>
      <c r="M2206" s="30" t="n"/>
      <c r="N2206" s="32" t="n"/>
      <c r="O2206" s="30" t="n"/>
      <c r="P2206" s="32" t="n"/>
      <c r="Q2206" s="30" t="n"/>
      <c r="R2206" s="32" t="n"/>
      <c r="S2206" s="30" t="n"/>
      <c r="T2206" s="30" t="n"/>
      <c r="U2206" s="30" t="n"/>
      <c r="V2206" s="30" t="n"/>
      <c r="W2206" s="29">
        <f>IF(H2206="","",IF(H2206="Kenya","Yes","No"))</f>
        <v/>
      </c>
      <c r="X2206" s="29">
        <f>IF(B2206="","",IF(COUNTIF($B$5:$B$3004,B2206)&gt;1,"DUPLICATE","OK"))</f>
        <v/>
      </c>
      <c r="Y2206" s="29">
        <f>IF(OR(U2206="",V2206="",V2206="Excluded"),"",IF(COUNTIFS($U$5:$U$3004,U2206,$V$5:$V$3004,"&lt;&gt;"&amp;V2206,$V$5:$V$3004,"&lt;&gt;",$V$5:$V$3004,"&lt;&gt;Excluded")&gt;0,"LEAK RISK","OK"))</f>
        <v/>
      </c>
      <c r="Z2206" s="30" t="n"/>
    </row>
    <row r="2207">
      <c r="A2207" s="30" t="n"/>
      <c r="B2207" s="30" t="n"/>
      <c r="C2207" s="30" t="n"/>
      <c r="D2207" s="30" t="n"/>
      <c r="E2207" s="30" t="n"/>
      <c r="F2207" s="30" t="n"/>
      <c r="G2207" s="30" t="n"/>
      <c r="H2207" s="30" t="n"/>
      <c r="I2207" s="31" t="n"/>
      <c r="J2207" s="30" t="n"/>
      <c r="K2207" s="30" t="n"/>
      <c r="L2207" s="30" t="n"/>
      <c r="M2207" s="30" t="n"/>
      <c r="N2207" s="32" t="n"/>
      <c r="O2207" s="30" t="n"/>
      <c r="P2207" s="32" t="n"/>
      <c r="Q2207" s="30" t="n"/>
      <c r="R2207" s="32" t="n"/>
      <c r="S2207" s="30" t="n"/>
      <c r="T2207" s="30" t="n"/>
      <c r="U2207" s="30" t="n"/>
      <c r="V2207" s="30" t="n"/>
      <c r="W2207" s="29">
        <f>IF(H2207="","",IF(H2207="Kenya","Yes","No"))</f>
        <v/>
      </c>
      <c r="X2207" s="29">
        <f>IF(B2207="","",IF(COUNTIF($B$5:$B$3004,B2207)&gt;1,"DUPLICATE","OK"))</f>
        <v/>
      </c>
      <c r="Y2207" s="29">
        <f>IF(OR(U2207="",V2207="",V2207="Excluded"),"",IF(COUNTIFS($U$5:$U$3004,U2207,$V$5:$V$3004,"&lt;&gt;"&amp;V2207,$V$5:$V$3004,"&lt;&gt;",$V$5:$V$3004,"&lt;&gt;Excluded")&gt;0,"LEAK RISK","OK"))</f>
        <v/>
      </c>
      <c r="Z2207" s="30" t="n"/>
    </row>
    <row r="2208">
      <c r="A2208" s="30" t="n"/>
      <c r="B2208" s="30" t="n"/>
      <c r="C2208" s="30" t="n"/>
      <c r="D2208" s="30" t="n"/>
      <c r="E2208" s="30" t="n"/>
      <c r="F2208" s="30" t="n"/>
      <c r="G2208" s="30" t="n"/>
      <c r="H2208" s="30" t="n"/>
      <c r="I2208" s="31" t="n"/>
      <c r="J2208" s="30" t="n"/>
      <c r="K2208" s="30" t="n"/>
      <c r="L2208" s="30" t="n"/>
      <c r="M2208" s="30" t="n"/>
      <c r="N2208" s="32" t="n"/>
      <c r="O2208" s="30" t="n"/>
      <c r="P2208" s="32" t="n"/>
      <c r="Q2208" s="30" t="n"/>
      <c r="R2208" s="32" t="n"/>
      <c r="S2208" s="30" t="n"/>
      <c r="T2208" s="30" t="n"/>
      <c r="U2208" s="30" t="n"/>
      <c r="V2208" s="30" t="n"/>
      <c r="W2208" s="29">
        <f>IF(H2208="","",IF(H2208="Kenya","Yes","No"))</f>
        <v/>
      </c>
      <c r="X2208" s="29">
        <f>IF(B2208="","",IF(COUNTIF($B$5:$B$3004,B2208)&gt;1,"DUPLICATE","OK"))</f>
        <v/>
      </c>
      <c r="Y2208" s="29">
        <f>IF(OR(U2208="",V2208="",V2208="Excluded"),"",IF(COUNTIFS($U$5:$U$3004,U2208,$V$5:$V$3004,"&lt;&gt;"&amp;V2208,$V$5:$V$3004,"&lt;&gt;",$V$5:$V$3004,"&lt;&gt;Excluded")&gt;0,"LEAK RISK","OK"))</f>
        <v/>
      </c>
      <c r="Z2208" s="30" t="n"/>
    </row>
    <row r="2209">
      <c r="A2209" s="30" t="n"/>
      <c r="B2209" s="30" t="n"/>
      <c r="C2209" s="30" t="n"/>
      <c r="D2209" s="30" t="n"/>
      <c r="E2209" s="30" t="n"/>
      <c r="F2209" s="30" t="n"/>
      <c r="G2209" s="30" t="n"/>
      <c r="H2209" s="30" t="n"/>
      <c r="I2209" s="31" t="n"/>
      <c r="J2209" s="30" t="n"/>
      <c r="K2209" s="30" t="n"/>
      <c r="L2209" s="30" t="n"/>
      <c r="M2209" s="30" t="n"/>
      <c r="N2209" s="32" t="n"/>
      <c r="O2209" s="30" t="n"/>
      <c r="P2209" s="32" t="n"/>
      <c r="Q2209" s="30" t="n"/>
      <c r="R2209" s="32" t="n"/>
      <c r="S2209" s="30" t="n"/>
      <c r="T2209" s="30" t="n"/>
      <c r="U2209" s="30" t="n"/>
      <c r="V2209" s="30" t="n"/>
      <c r="W2209" s="29">
        <f>IF(H2209="","",IF(H2209="Kenya","Yes","No"))</f>
        <v/>
      </c>
      <c r="X2209" s="29">
        <f>IF(B2209="","",IF(COUNTIF($B$5:$B$3004,B2209)&gt;1,"DUPLICATE","OK"))</f>
        <v/>
      </c>
      <c r="Y2209" s="29">
        <f>IF(OR(U2209="",V2209="",V2209="Excluded"),"",IF(COUNTIFS($U$5:$U$3004,U2209,$V$5:$V$3004,"&lt;&gt;"&amp;V2209,$V$5:$V$3004,"&lt;&gt;",$V$5:$V$3004,"&lt;&gt;Excluded")&gt;0,"LEAK RISK","OK"))</f>
        <v/>
      </c>
      <c r="Z2209" s="30" t="n"/>
    </row>
    <row r="2210">
      <c r="A2210" s="30" t="n"/>
      <c r="B2210" s="30" t="n"/>
      <c r="C2210" s="30" t="n"/>
      <c r="D2210" s="30" t="n"/>
      <c r="E2210" s="30" t="n"/>
      <c r="F2210" s="30" t="n"/>
      <c r="G2210" s="30" t="n"/>
      <c r="H2210" s="30" t="n"/>
      <c r="I2210" s="31" t="n"/>
      <c r="J2210" s="30" t="n"/>
      <c r="K2210" s="30" t="n"/>
      <c r="L2210" s="30" t="n"/>
      <c r="M2210" s="30" t="n"/>
      <c r="N2210" s="32" t="n"/>
      <c r="O2210" s="30" t="n"/>
      <c r="P2210" s="32" t="n"/>
      <c r="Q2210" s="30" t="n"/>
      <c r="R2210" s="32" t="n"/>
      <c r="S2210" s="30" t="n"/>
      <c r="T2210" s="30" t="n"/>
      <c r="U2210" s="30" t="n"/>
      <c r="V2210" s="30" t="n"/>
      <c r="W2210" s="29">
        <f>IF(H2210="","",IF(H2210="Kenya","Yes","No"))</f>
        <v/>
      </c>
      <c r="X2210" s="29">
        <f>IF(B2210="","",IF(COUNTIF($B$5:$B$3004,B2210)&gt;1,"DUPLICATE","OK"))</f>
        <v/>
      </c>
      <c r="Y2210" s="29">
        <f>IF(OR(U2210="",V2210="",V2210="Excluded"),"",IF(COUNTIFS($U$5:$U$3004,U2210,$V$5:$V$3004,"&lt;&gt;"&amp;V2210,$V$5:$V$3004,"&lt;&gt;",$V$5:$V$3004,"&lt;&gt;Excluded")&gt;0,"LEAK RISK","OK"))</f>
        <v/>
      </c>
      <c r="Z2210" s="30" t="n"/>
    </row>
    <row r="2211">
      <c r="A2211" s="30" t="n"/>
      <c r="B2211" s="30" t="n"/>
      <c r="C2211" s="30" t="n"/>
      <c r="D2211" s="30" t="n"/>
      <c r="E2211" s="30" t="n"/>
      <c r="F2211" s="30" t="n"/>
      <c r="G2211" s="30" t="n"/>
      <c r="H2211" s="30" t="n"/>
      <c r="I2211" s="31" t="n"/>
      <c r="J2211" s="30" t="n"/>
      <c r="K2211" s="30" t="n"/>
      <c r="L2211" s="30" t="n"/>
      <c r="M2211" s="30" t="n"/>
      <c r="N2211" s="32" t="n"/>
      <c r="O2211" s="30" t="n"/>
      <c r="P2211" s="32" t="n"/>
      <c r="Q2211" s="30" t="n"/>
      <c r="R2211" s="32" t="n"/>
      <c r="S2211" s="30" t="n"/>
      <c r="T2211" s="30" t="n"/>
      <c r="U2211" s="30" t="n"/>
      <c r="V2211" s="30" t="n"/>
      <c r="W2211" s="29">
        <f>IF(H2211="","",IF(H2211="Kenya","Yes","No"))</f>
        <v/>
      </c>
      <c r="X2211" s="29">
        <f>IF(B2211="","",IF(COUNTIF($B$5:$B$3004,B2211)&gt;1,"DUPLICATE","OK"))</f>
        <v/>
      </c>
      <c r="Y2211" s="29">
        <f>IF(OR(U2211="",V2211="",V2211="Excluded"),"",IF(COUNTIFS($U$5:$U$3004,U2211,$V$5:$V$3004,"&lt;&gt;"&amp;V2211,$V$5:$V$3004,"&lt;&gt;",$V$5:$V$3004,"&lt;&gt;Excluded")&gt;0,"LEAK RISK","OK"))</f>
        <v/>
      </c>
      <c r="Z2211" s="30" t="n"/>
    </row>
    <row r="2212">
      <c r="A2212" s="30" t="n"/>
      <c r="B2212" s="30" t="n"/>
      <c r="C2212" s="30" t="n"/>
      <c r="D2212" s="30" t="n"/>
      <c r="E2212" s="30" t="n"/>
      <c r="F2212" s="30" t="n"/>
      <c r="G2212" s="30" t="n"/>
      <c r="H2212" s="30" t="n"/>
      <c r="I2212" s="31" t="n"/>
      <c r="J2212" s="30" t="n"/>
      <c r="K2212" s="30" t="n"/>
      <c r="L2212" s="30" t="n"/>
      <c r="M2212" s="30" t="n"/>
      <c r="N2212" s="32" t="n"/>
      <c r="O2212" s="30" t="n"/>
      <c r="P2212" s="32" t="n"/>
      <c r="Q2212" s="30" t="n"/>
      <c r="R2212" s="32" t="n"/>
      <c r="S2212" s="30" t="n"/>
      <c r="T2212" s="30" t="n"/>
      <c r="U2212" s="30" t="n"/>
      <c r="V2212" s="30" t="n"/>
      <c r="W2212" s="29">
        <f>IF(H2212="","",IF(H2212="Kenya","Yes","No"))</f>
        <v/>
      </c>
      <c r="X2212" s="29">
        <f>IF(B2212="","",IF(COUNTIF($B$5:$B$3004,B2212)&gt;1,"DUPLICATE","OK"))</f>
        <v/>
      </c>
      <c r="Y2212" s="29">
        <f>IF(OR(U2212="",V2212="",V2212="Excluded"),"",IF(COUNTIFS($U$5:$U$3004,U2212,$V$5:$V$3004,"&lt;&gt;"&amp;V2212,$V$5:$V$3004,"&lt;&gt;",$V$5:$V$3004,"&lt;&gt;Excluded")&gt;0,"LEAK RISK","OK"))</f>
        <v/>
      </c>
      <c r="Z2212" s="30" t="n"/>
    </row>
    <row r="2213">
      <c r="A2213" s="30" t="n"/>
      <c r="B2213" s="30" t="n"/>
      <c r="C2213" s="30" t="n"/>
      <c r="D2213" s="30" t="n"/>
      <c r="E2213" s="30" t="n"/>
      <c r="F2213" s="30" t="n"/>
      <c r="G2213" s="30" t="n"/>
      <c r="H2213" s="30" t="n"/>
      <c r="I2213" s="31" t="n"/>
      <c r="J2213" s="30" t="n"/>
      <c r="K2213" s="30" t="n"/>
      <c r="L2213" s="30" t="n"/>
      <c r="M2213" s="30" t="n"/>
      <c r="N2213" s="32" t="n"/>
      <c r="O2213" s="30" t="n"/>
      <c r="P2213" s="32" t="n"/>
      <c r="Q2213" s="30" t="n"/>
      <c r="R2213" s="32" t="n"/>
      <c r="S2213" s="30" t="n"/>
      <c r="T2213" s="30" t="n"/>
      <c r="U2213" s="30" t="n"/>
      <c r="V2213" s="30" t="n"/>
      <c r="W2213" s="29">
        <f>IF(H2213="","",IF(H2213="Kenya","Yes","No"))</f>
        <v/>
      </c>
      <c r="X2213" s="29">
        <f>IF(B2213="","",IF(COUNTIF($B$5:$B$3004,B2213)&gt;1,"DUPLICATE","OK"))</f>
        <v/>
      </c>
      <c r="Y2213" s="29">
        <f>IF(OR(U2213="",V2213="",V2213="Excluded"),"",IF(COUNTIFS($U$5:$U$3004,U2213,$V$5:$V$3004,"&lt;&gt;"&amp;V2213,$V$5:$V$3004,"&lt;&gt;",$V$5:$V$3004,"&lt;&gt;Excluded")&gt;0,"LEAK RISK","OK"))</f>
        <v/>
      </c>
      <c r="Z2213" s="30" t="n"/>
    </row>
    <row r="2214">
      <c r="A2214" s="30" t="n"/>
      <c r="B2214" s="30" t="n"/>
      <c r="C2214" s="30" t="n"/>
      <c r="D2214" s="30" t="n"/>
      <c r="E2214" s="30" t="n"/>
      <c r="F2214" s="30" t="n"/>
      <c r="G2214" s="30" t="n"/>
      <c r="H2214" s="30" t="n"/>
      <c r="I2214" s="31" t="n"/>
      <c r="J2214" s="30" t="n"/>
      <c r="K2214" s="30" t="n"/>
      <c r="L2214" s="30" t="n"/>
      <c r="M2214" s="30" t="n"/>
      <c r="N2214" s="32" t="n"/>
      <c r="O2214" s="30" t="n"/>
      <c r="P2214" s="32" t="n"/>
      <c r="Q2214" s="30" t="n"/>
      <c r="R2214" s="32" t="n"/>
      <c r="S2214" s="30" t="n"/>
      <c r="T2214" s="30" t="n"/>
      <c r="U2214" s="30" t="n"/>
      <c r="V2214" s="30" t="n"/>
      <c r="W2214" s="29">
        <f>IF(H2214="","",IF(H2214="Kenya","Yes","No"))</f>
        <v/>
      </c>
      <c r="X2214" s="29">
        <f>IF(B2214="","",IF(COUNTIF($B$5:$B$3004,B2214)&gt;1,"DUPLICATE","OK"))</f>
        <v/>
      </c>
      <c r="Y2214" s="29">
        <f>IF(OR(U2214="",V2214="",V2214="Excluded"),"",IF(COUNTIFS($U$5:$U$3004,U2214,$V$5:$V$3004,"&lt;&gt;"&amp;V2214,$V$5:$V$3004,"&lt;&gt;",$V$5:$V$3004,"&lt;&gt;Excluded")&gt;0,"LEAK RISK","OK"))</f>
        <v/>
      </c>
      <c r="Z2214" s="30" t="n"/>
    </row>
    <row r="2215">
      <c r="A2215" s="30" t="n"/>
      <c r="B2215" s="30" t="n"/>
      <c r="C2215" s="30" t="n"/>
      <c r="D2215" s="30" t="n"/>
      <c r="E2215" s="30" t="n"/>
      <c r="F2215" s="30" t="n"/>
      <c r="G2215" s="30" t="n"/>
      <c r="H2215" s="30" t="n"/>
      <c r="I2215" s="31" t="n"/>
      <c r="J2215" s="30" t="n"/>
      <c r="K2215" s="30" t="n"/>
      <c r="L2215" s="30" t="n"/>
      <c r="M2215" s="30" t="n"/>
      <c r="N2215" s="32" t="n"/>
      <c r="O2215" s="30" t="n"/>
      <c r="P2215" s="32" t="n"/>
      <c r="Q2215" s="30" t="n"/>
      <c r="R2215" s="32" t="n"/>
      <c r="S2215" s="30" t="n"/>
      <c r="T2215" s="30" t="n"/>
      <c r="U2215" s="30" t="n"/>
      <c r="V2215" s="30" t="n"/>
      <c r="W2215" s="29">
        <f>IF(H2215="","",IF(H2215="Kenya","Yes","No"))</f>
        <v/>
      </c>
      <c r="X2215" s="29">
        <f>IF(B2215="","",IF(COUNTIF($B$5:$B$3004,B2215)&gt;1,"DUPLICATE","OK"))</f>
        <v/>
      </c>
      <c r="Y2215" s="29">
        <f>IF(OR(U2215="",V2215="",V2215="Excluded"),"",IF(COUNTIFS($U$5:$U$3004,U2215,$V$5:$V$3004,"&lt;&gt;"&amp;V2215,$V$5:$V$3004,"&lt;&gt;",$V$5:$V$3004,"&lt;&gt;Excluded")&gt;0,"LEAK RISK","OK"))</f>
        <v/>
      </c>
      <c r="Z2215" s="30" t="n"/>
    </row>
    <row r="2216">
      <c r="A2216" s="30" t="n"/>
      <c r="B2216" s="30" t="n"/>
      <c r="C2216" s="30" t="n"/>
      <c r="D2216" s="30" t="n"/>
      <c r="E2216" s="30" t="n"/>
      <c r="F2216" s="30" t="n"/>
      <c r="G2216" s="30" t="n"/>
      <c r="H2216" s="30" t="n"/>
      <c r="I2216" s="31" t="n"/>
      <c r="J2216" s="30" t="n"/>
      <c r="K2216" s="30" t="n"/>
      <c r="L2216" s="30" t="n"/>
      <c r="M2216" s="30" t="n"/>
      <c r="N2216" s="32" t="n"/>
      <c r="O2216" s="30" t="n"/>
      <c r="P2216" s="32" t="n"/>
      <c r="Q2216" s="30" t="n"/>
      <c r="R2216" s="32" t="n"/>
      <c r="S2216" s="30" t="n"/>
      <c r="T2216" s="30" t="n"/>
      <c r="U2216" s="30" t="n"/>
      <c r="V2216" s="30" t="n"/>
      <c r="W2216" s="29">
        <f>IF(H2216="","",IF(H2216="Kenya","Yes","No"))</f>
        <v/>
      </c>
      <c r="X2216" s="29">
        <f>IF(B2216="","",IF(COUNTIF($B$5:$B$3004,B2216)&gt;1,"DUPLICATE","OK"))</f>
        <v/>
      </c>
      <c r="Y2216" s="29">
        <f>IF(OR(U2216="",V2216="",V2216="Excluded"),"",IF(COUNTIFS($U$5:$U$3004,U2216,$V$5:$V$3004,"&lt;&gt;"&amp;V2216,$V$5:$V$3004,"&lt;&gt;",$V$5:$V$3004,"&lt;&gt;Excluded")&gt;0,"LEAK RISK","OK"))</f>
        <v/>
      </c>
      <c r="Z2216" s="30" t="n"/>
    </row>
    <row r="2217">
      <c r="A2217" s="30" t="n"/>
      <c r="B2217" s="30" t="n"/>
      <c r="C2217" s="30" t="n"/>
      <c r="D2217" s="30" t="n"/>
      <c r="E2217" s="30" t="n"/>
      <c r="F2217" s="30" t="n"/>
      <c r="G2217" s="30" t="n"/>
      <c r="H2217" s="30" t="n"/>
      <c r="I2217" s="31" t="n"/>
      <c r="J2217" s="30" t="n"/>
      <c r="K2217" s="30" t="n"/>
      <c r="L2217" s="30" t="n"/>
      <c r="M2217" s="30" t="n"/>
      <c r="N2217" s="32" t="n"/>
      <c r="O2217" s="30" t="n"/>
      <c r="P2217" s="32" t="n"/>
      <c r="Q2217" s="30" t="n"/>
      <c r="R2217" s="32" t="n"/>
      <c r="S2217" s="30" t="n"/>
      <c r="T2217" s="30" t="n"/>
      <c r="U2217" s="30" t="n"/>
      <c r="V2217" s="30" t="n"/>
      <c r="W2217" s="29">
        <f>IF(H2217="","",IF(H2217="Kenya","Yes","No"))</f>
        <v/>
      </c>
      <c r="X2217" s="29">
        <f>IF(B2217="","",IF(COUNTIF($B$5:$B$3004,B2217)&gt;1,"DUPLICATE","OK"))</f>
        <v/>
      </c>
      <c r="Y2217" s="29">
        <f>IF(OR(U2217="",V2217="",V2217="Excluded"),"",IF(COUNTIFS($U$5:$U$3004,U2217,$V$5:$V$3004,"&lt;&gt;"&amp;V2217,$V$5:$V$3004,"&lt;&gt;",$V$5:$V$3004,"&lt;&gt;Excluded")&gt;0,"LEAK RISK","OK"))</f>
        <v/>
      </c>
      <c r="Z2217" s="30" t="n"/>
    </row>
    <row r="2218">
      <c r="A2218" s="30" t="n"/>
      <c r="B2218" s="30" t="n"/>
      <c r="C2218" s="30" t="n"/>
      <c r="D2218" s="30" t="n"/>
      <c r="E2218" s="30" t="n"/>
      <c r="F2218" s="30" t="n"/>
      <c r="G2218" s="30" t="n"/>
      <c r="H2218" s="30" t="n"/>
      <c r="I2218" s="31" t="n"/>
      <c r="J2218" s="30" t="n"/>
      <c r="K2218" s="30" t="n"/>
      <c r="L2218" s="30" t="n"/>
      <c r="M2218" s="30" t="n"/>
      <c r="N2218" s="32" t="n"/>
      <c r="O2218" s="30" t="n"/>
      <c r="P2218" s="32" t="n"/>
      <c r="Q2218" s="30" t="n"/>
      <c r="R2218" s="32" t="n"/>
      <c r="S2218" s="30" t="n"/>
      <c r="T2218" s="30" t="n"/>
      <c r="U2218" s="30" t="n"/>
      <c r="V2218" s="30" t="n"/>
      <c r="W2218" s="29">
        <f>IF(H2218="","",IF(H2218="Kenya","Yes","No"))</f>
        <v/>
      </c>
      <c r="X2218" s="29">
        <f>IF(B2218="","",IF(COUNTIF($B$5:$B$3004,B2218)&gt;1,"DUPLICATE","OK"))</f>
        <v/>
      </c>
      <c r="Y2218" s="29">
        <f>IF(OR(U2218="",V2218="",V2218="Excluded"),"",IF(COUNTIFS($U$5:$U$3004,U2218,$V$5:$V$3004,"&lt;&gt;"&amp;V2218,$V$5:$V$3004,"&lt;&gt;",$V$5:$V$3004,"&lt;&gt;Excluded")&gt;0,"LEAK RISK","OK"))</f>
        <v/>
      </c>
      <c r="Z2218" s="30" t="n"/>
    </row>
    <row r="2219">
      <c r="A2219" s="30" t="n"/>
      <c r="B2219" s="30" t="n"/>
      <c r="C2219" s="30" t="n"/>
      <c r="D2219" s="30" t="n"/>
      <c r="E2219" s="30" t="n"/>
      <c r="F2219" s="30" t="n"/>
      <c r="G2219" s="30" t="n"/>
      <c r="H2219" s="30" t="n"/>
      <c r="I2219" s="31" t="n"/>
      <c r="J2219" s="30" t="n"/>
      <c r="K2219" s="30" t="n"/>
      <c r="L2219" s="30" t="n"/>
      <c r="M2219" s="30" t="n"/>
      <c r="N2219" s="32" t="n"/>
      <c r="O2219" s="30" t="n"/>
      <c r="P2219" s="32" t="n"/>
      <c r="Q2219" s="30" t="n"/>
      <c r="R2219" s="32" t="n"/>
      <c r="S2219" s="30" t="n"/>
      <c r="T2219" s="30" t="n"/>
      <c r="U2219" s="30" t="n"/>
      <c r="V2219" s="30" t="n"/>
      <c r="W2219" s="29">
        <f>IF(H2219="","",IF(H2219="Kenya","Yes","No"))</f>
        <v/>
      </c>
      <c r="X2219" s="29">
        <f>IF(B2219="","",IF(COUNTIF($B$5:$B$3004,B2219)&gt;1,"DUPLICATE","OK"))</f>
        <v/>
      </c>
      <c r="Y2219" s="29">
        <f>IF(OR(U2219="",V2219="",V2219="Excluded"),"",IF(COUNTIFS($U$5:$U$3004,U2219,$V$5:$V$3004,"&lt;&gt;"&amp;V2219,$V$5:$V$3004,"&lt;&gt;",$V$5:$V$3004,"&lt;&gt;Excluded")&gt;0,"LEAK RISK","OK"))</f>
        <v/>
      </c>
      <c r="Z2219" s="30" t="n"/>
    </row>
    <row r="2220">
      <c r="A2220" s="30" t="n"/>
      <c r="B2220" s="30" t="n"/>
      <c r="C2220" s="30" t="n"/>
      <c r="D2220" s="30" t="n"/>
      <c r="E2220" s="30" t="n"/>
      <c r="F2220" s="30" t="n"/>
      <c r="G2220" s="30" t="n"/>
      <c r="H2220" s="30" t="n"/>
      <c r="I2220" s="31" t="n"/>
      <c r="J2220" s="30" t="n"/>
      <c r="K2220" s="30" t="n"/>
      <c r="L2220" s="30" t="n"/>
      <c r="M2220" s="30" t="n"/>
      <c r="N2220" s="32" t="n"/>
      <c r="O2220" s="30" t="n"/>
      <c r="P2220" s="32" t="n"/>
      <c r="Q2220" s="30" t="n"/>
      <c r="R2220" s="32" t="n"/>
      <c r="S2220" s="30" t="n"/>
      <c r="T2220" s="30" t="n"/>
      <c r="U2220" s="30" t="n"/>
      <c r="V2220" s="30" t="n"/>
      <c r="W2220" s="29">
        <f>IF(H2220="","",IF(H2220="Kenya","Yes","No"))</f>
        <v/>
      </c>
      <c r="X2220" s="29">
        <f>IF(B2220="","",IF(COUNTIF($B$5:$B$3004,B2220)&gt;1,"DUPLICATE","OK"))</f>
        <v/>
      </c>
      <c r="Y2220" s="29">
        <f>IF(OR(U2220="",V2220="",V2220="Excluded"),"",IF(COUNTIFS($U$5:$U$3004,U2220,$V$5:$V$3004,"&lt;&gt;"&amp;V2220,$V$5:$V$3004,"&lt;&gt;",$V$5:$V$3004,"&lt;&gt;Excluded")&gt;0,"LEAK RISK","OK"))</f>
        <v/>
      </c>
      <c r="Z2220" s="30" t="n"/>
    </row>
    <row r="2221">
      <c r="A2221" s="30" t="n"/>
      <c r="B2221" s="30" t="n"/>
      <c r="C2221" s="30" t="n"/>
      <c r="D2221" s="30" t="n"/>
      <c r="E2221" s="30" t="n"/>
      <c r="F2221" s="30" t="n"/>
      <c r="G2221" s="30" t="n"/>
      <c r="H2221" s="30" t="n"/>
      <c r="I2221" s="31" t="n"/>
      <c r="J2221" s="30" t="n"/>
      <c r="K2221" s="30" t="n"/>
      <c r="L2221" s="30" t="n"/>
      <c r="M2221" s="30" t="n"/>
      <c r="N2221" s="32" t="n"/>
      <c r="O2221" s="30" t="n"/>
      <c r="P2221" s="32" t="n"/>
      <c r="Q2221" s="30" t="n"/>
      <c r="R2221" s="32" t="n"/>
      <c r="S2221" s="30" t="n"/>
      <c r="T2221" s="30" t="n"/>
      <c r="U2221" s="30" t="n"/>
      <c r="V2221" s="30" t="n"/>
      <c r="W2221" s="29">
        <f>IF(H2221="","",IF(H2221="Kenya","Yes","No"))</f>
        <v/>
      </c>
      <c r="X2221" s="29">
        <f>IF(B2221="","",IF(COUNTIF($B$5:$B$3004,B2221)&gt;1,"DUPLICATE","OK"))</f>
        <v/>
      </c>
      <c r="Y2221" s="29">
        <f>IF(OR(U2221="",V2221="",V2221="Excluded"),"",IF(COUNTIFS($U$5:$U$3004,U2221,$V$5:$V$3004,"&lt;&gt;"&amp;V2221,$V$5:$V$3004,"&lt;&gt;",$V$5:$V$3004,"&lt;&gt;Excluded")&gt;0,"LEAK RISK","OK"))</f>
        <v/>
      </c>
      <c r="Z2221" s="30" t="n"/>
    </row>
    <row r="2222">
      <c r="A2222" s="30" t="n"/>
      <c r="B2222" s="30" t="n"/>
      <c r="C2222" s="30" t="n"/>
      <c r="D2222" s="30" t="n"/>
      <c r="E2222" s="30" t="n"/>
      <c r="F2222" s="30" t="n"/>
      <c r="G2222" s="30" t="n"/>
      <c r="H2222" s="30" t="n"/>
      <c r="I2222" s="31" t="n"/>
      <c r="J2222" s="30" t="n"/>
      <c r="K2222" s="30" t="n"/>
      <c r="L2222" s="30" t="n"/>
      <c r="M2222" s="30" t="n"/>
      <c r="N2222" s="32" t="n"/>
      <c r="O2222" s="30" t="n"/>
      <c r="P2222" s="32" t="n"/>
      <c r="Q2222" s="30" t="n"/>
      <c r="R2222" s="32" t="n"/>
      <c r="S2222" s="30" t="n"/>
      <c r="T2222" s="30" t="n"/>
      <c r="U2222" s="30" t="n"/>
      <c r="V2222" s="30" t="n"/>
      <c r="W2222" s="29">
        <f>IF(H2222="","",IF(H2222="Kenya","Yes","No"))</f>
        <v/>
      </c>
      <c r="X2222" s="29">
        <f>IF(B2222="","",IF(COUNTIF($B$5:$B$3004,B2222)&gt;1,"DUPLICATE","OK"))</f>
        <v/>
      </c>
      <c r="Y2222" s="29">
        <f>IF(OR(U2222="",V2222="",V2222="Excluded"),"",IF(COUNTIFS($U$5:$U$3004,U2222,$V$5:$V$3004,"&lt;&gt;"&amp;V2222,$V$5:$V$3004,"&lt;&gt;",$V$5:$V$3004,"&lt;&gt;Excluded")&gt;0,"LEAK RISK","OK"))</f>
        <v/>
      </c>
      <c r="Z2222" s="30" t="n"/>
    </row>
    <row r="2223">
      <c r="A2223" s="30" t="n"/>
      <c r="B2223" s="30" t="n"/>
      <c r="C2223" s="30" t="n"/>
      <c r="D2223" s="30" t="n"/>
      <c r="E2223" s="30" t="n"/>
      <c r="F2223" s="30" t="n"/>
      <c r="G2223" s="30" t="n"/>
      <c r="H2223" s="30" t="n"/>
      <c r="I2223" s="31" t="n"/>
      <c r="J2223" s="30" t="n"/>
      <c r="K2223" s="30" t="n"/>
      <c r="L2223" s="30" t="n"/>
      <c r="M2223" s="30" t="n"/>
      <c r="N2223" s="32" t="n"/>
      <c r="O2223" s="30" t="n"/>
      <c r="P2223" s="32" t="n"/>
      <c r="Q2223" s="30" t="n"/>
      <c r="R2223" s="32" t="n"/>
      <c r="S2223" s="30" t="n"/>
      <c r="T2223" s="30" t="n"/>
      <c r="U2223" s="30" t="n"/>
      <c r="V2223" s="30" t="n"/>
      <c r="W2223" s="29">
        <f>IF(H2223="","",IF(H2223="Kenya","Yes","No"))</f>
        <v/>
      </c>
      <c r="X2223" s="29">
        <f>IF(B2223="","",IF(COUNTIF($B$5:$B$3004,B2223)&gt;1,"DUPLICATE","OK"))</f>
        <v/>
      </c>
      <c r="Y2223" s="29">
        <f>IF(OR(U2223="",V2223="",V2223="Excluded"),"",IF(COUNTIFS($U$5:$U$3004,U2223,$V$5:$V$3004,"&lt;&gt;"&amp;V2223,$V$5:$V$3004,"&lt;&gt;",$V$5:$V$3004,"&lt;&gt;Excluded")&gt;0,"LEAK RISK","OK"))</f>
        <v/>
      </c>
      <c r="Z2223" s="30" t="n"/>
    </row>
    <row r="2224">
      <c r="A2224" s="30" t="n"/>
      <c r="B2224" s="30" t="n"/>
      <c r="C2224" s="30" t="n"/>
      <c r="D2224" s="30" t="n"/>
      <c r="E2224" s="30" t="n"/>
      <c r="F2224" s="30" t="n"/>
      <c r="G2224" s="30" t="n"/>
      <c r="H2224" s="30" t="n"/>
      <c r="I2224" s="31" t="n"/>
      <c r="J2224" s="30" t="n"/>
      <c r="K2224" s="30" t="n"/>
      <c r="L2224" s="30" t="n"/>
      <c r="M2224" s="30" t="n"/>
      <c r="N2224" s="32" t="n"/>
      <c r="O2224" s="30" t="n"/>
      <c r="P2224" s="32" t="n"/>
      <c r="Q2224" s="30" t="n"/>
      <c r="R2224" s="32" t="n"/>
      <c r="S2224" s="30" t="n"/>
      <c r="T2224" s="30" t="n"/>
      <c r="U2224" s="30" t="n"/>
      <c r="V2224" s="30" t="n"/>
      <c r="W2224" s="29">
        <f>IF(H2224="","",IF(H2224="Kenya","Yes","No"))</f>
        <v/>
      </c>
      <c r="X2224" s="29">
        <f>IF(B2224="","",IF(COUNTIF($B$5:$B$3004,B2224)&gt;1,"DUPLICATE","OK"))</f>
        <v/>
      </c>
      <c r="Y2224" s="29">
        <f>IF(OR(U2224="",V2224="",V2224="Excluded"),"",IF(COUNTIFS($U$5:$U$3004,U2224,$V$5:$V$3004,"&lt;&gt;"&amp;V2224,$V$5:$V$3004,"&lt;&gt;",$V$5:$V$3004,"&lt;&gt;Excluded")&gt;0,"LEAK RISK","OK"))</f>
        <v/>
      </c>
      <c r="Z2224" s="30" t="n"/>
    </row>
    <row r="2225">
      <c r="A2225" s="30" t="n"/>
      <c r="B2225" s="30" t="n"/>
      <c r="C2225" s="30" t="n"/>
      <c r="D2225" s="30" t="n"/>
      <c r="E2225" s="30" t="n"/>
      <c r="F2225" s="30" t="n"/>
      <c r="G2225" s="30" t="n"/>
      <c r="H2225" s="30" t="n"/>
      <c r="I2225" s="31" t="n"/>
      <c r="J2225" s="30" t="n"/>
      <c r="K2225" s="30" t="n"/>
      <c r="L2225" s="30" t="n"/>
      <c r="M2225" s="30" t="n"/>
      <c r="N2225" s="32" t="n"/>
      <c r="O2225" s="30" t="n"/>
      <c r="P2225" s="32" t="n"/>
      <c r="Q2225" s="30" t="n"/>
      <c r="R2225" s="32" t="n"/>
      <c r="S2225" s="30" t="n"/>
      <c r="T2225" s="30" t="n"/>
      <c r="U2225" s="30" t="n"/>
      <c r="V2225" s="30" t="n"/>
      <c r="W2225" s="29">
        <f>IF(H2225="","",IF(H2225="Kenya","Yes","No"))</f>
        <v/>
      </c>
      <c r="X2225" s="29">
        <f>IF(B2225="","",IF(COUNTIF($B$5:$B$3004,B2225)&gt;1,"DUPLICATE","OK"))</f>
        <v/>
      </c>
      <c r="Y2225" s="29">
        <f>IF(OR(U2225="",V2225="",V2225="Excluded"),"",IF(COUNTIFS($U$5:$U$3004,U2225,$V$5:$V$3004,"&lt;&gt;"&amp;V2225,$V$5:$V$3004,"&lt;&gt;",$V$5:$V$3004,"&lt;&gt;Excluded")&gt;0,"LEAK RISK","OK"))</f>
        <v/>
      </c>
      <c r="Z2225" s="30" t="n"/>
    </row>
    <row r="2226">
      <c r="A2226" s="30" t="n"/>
      <c r="B2226" s="30" t="n"/>
      <c r="C2226" s="30" t="n"/>
      <c r="D2226" s="30" t="n"/>
      <c r="E2226" s="30" t="n"/>
      <c r="F2226" s="30" t="n"/>
      <c r="G2226" s="30" t="n"/>
      <c r="H2226" s="30" t="n"/>
      <c r="I2226" s="31" t="n"/>
      <c r="J2226" s="30" t="n"/>
      <c r="K2226" s="30" t="n"/>
      <c r="L2226" s="30" t="n"/>
      <c r="M2226" s="30" t="n"/>
      <c r="N2226" s="32" t="n"/>
      <c r="O2226" s="30" t="n"/>
      <c r="P2226" s="32" t="n"/>
      <c r="Q2226" s="30" t="n"/>
      <c r="R2226" s="32" t="n"/>
      <c r="S2226" s="30" t="n"/>
      <c r="T2226" s="30" t="n"/>
      <c r="U2226" s="30" t="n"/>
      <c r="V2226" s="30" t="n"/>
      <c r="W2226" s="29">
        <f>IF(H2226="","",IF(H2226="Kenya","Yes","No"))</f>
        <v/>
      </c>
      <c r="X2226" s="29">
        <f>IF(B2226="","",IF(COUNTIF($B$5:$B$3004,B2226)&gt;1,"DUPLICATE","OK"))</f>
        <v/>
      </c>
      <c r="Y2226" s="29">
        <f>IF(OR(U2226="",V2226="",V2226="Excluded"),"",IF(COUNTIFS($U$5:$U$3004,U2226,$V$5:$V$3004,"&lt;&gt;"&amp;V2226,$V$5:$V$3004,"&lt;&gt;",$V$5:$V$3004,"&lt;&gt;Excluded")&gt;0,"LEAK RISK","OK"))</f>
        <v/>
      </c>
      <c r="Z2226" s="30" t="n"/>
    </row>
    <row r="2227">
      <c r="A2227" s="30" t="n"/>
      <c r="B2227" s="30" t="n"/>
      <c r="C2227" s="30" t="n"/>
      <c r="D2227" s="30" t="n"/>
      <c r="E2227" s="30" t="n"/>
      <c r="F2227" s="30" t="n"/>
      <c r="G2227" s="30" t="n"/>
      <c r="H2227" s="30" t="n"/>
      <c r="I2227" s="31" t="n"/>
      <c r="J2227" s="30" t="n"/>
      <c r="K2227" s="30" t="n"/>
      <c r="L2227" s="30" t="n"/>
      <c r="M2227" s="30" t="n"/>
      <c r="N2227" s="32" t="n"/>
      <c r="O2227" s="30" t="n"/>
      <c r="P2227" s="32" t="n"/>
      <c r="Q2227" s="30" t="n"/>
      <c r="R2227" s="32" t="n"/>
      <c r="S2227" s="30" t="n"/>
      <c r="T2227" s="30" t="n"/>
      <c r="U2227" s="30" t="n"/>
      <c r="V2227" s="30" t="n"/>
      <c r="W2227" s="29">
        <f>IF(H2227="","",IF(H2227="Kenya","Yes","No"))</f>
        <v/>
      </c>
      <c r="X2227" s="29">
        <f>IF(B2227="","",IF(COUNTIF($B$5:$B$3004,B2227)&gt;1,"DUPLICATE","OK"))</f>
        <v/>
      </c>
      <c r="Y2227" s="29">
        <f>IF(OR(U2227="",V2227="",V2227="Excluded"),"",IF(COUNTIFS($U$5:$U$3004,U2227,$V$5:$V$3004,"&lt;&gt;"&amp;V2227,$V$5:$V$3004,"&lt;&gt;",$V$5:$V$3004,"&lt;&gt;Excluded")&gt;0,"LEAK RISK","OK"))</f>
        <v/>
      </c>
      <c r="Z2227" s="30" t="n"/>
    </row>
    <row r="2228">
      <c r="A2228" s="30" t="n"/>
      <c r="B2228" s="30" t="n"/>
      <c r="C2228" s="30" t="n"/>
      <c r="D2228" s="30" t="n"/>
      <c r="E2228" s="30" t="n"/>
      <c r="F2228" s="30" t="n"/>
      <c r="G2228" s="30" t="n"/>
      <c r="H2228" s="30" t="n"/>
      <c r="I2228" s="31" t="n"/>
      <c r="J2228" s="30" t="n"/>
      <c r="K2228" s="30" t="n"/>
      <c r="L2228" s="30" t="n"/>
      <c r="M2228" s="30" t="n"/>
      <c r="N2228" s="32" t="n"/>
      <c r="O2228" s="30" t="n"/>
      <c r="P2228" s="32" t="n"/>
      <c r="Q2228" s="30" t="n"/>
      <c r="R2228" s="32" t="n"/>
      <c r="S2228" s="30" t="n"/>
      <c r="T2228" s="30" t="n"/>
      <c r="U2228" s="30" t="n"/>
      <c r="V2228" s="30" t="n"/>
      <c r="W2228" s="29">
        <f>IF(H2228="","",IF(H2228="Kenya","Yes","No"))</f>
        <v/>
      </c>
      <c r="X2228" s="29">
        <f>IF(B2228="","",IF(COUNTIF($B$5:$B$3004,B2228)&gt;1,"DUPLICATE","OK"))</f>
        <v/>
      </c>
      <c r="Y2228" s="29">
        <f>IF(OR(U2228="",V2228="",V2228="Excluded"),"",IF(COUNTIFS($U$5:$U$3004,U2228,$V$5:$V$3004,"&lt;&gt;"&amp;V2228,$V$5:$V$3004,"&lt;&gt;",$V$5:$V$3004,"&lt;&gt;Excluded")&gt;0,"LEAK RISK","OK"))</f>
        <v/>
      </c>
      <c r="Z2228" s="30" t="n"/>
    </row>
    <row r="2229">
      <c r="A2229" s="30" t="n"/>
      <c r="B2229" s="30" t="n"/>
      <c r="C2229" s="30" t="n"/>
      <c r="D2229" s="30" t="n"/>
      <c r="E2229" s="30" t="n"/>
      <c r="F2229" s="30" t="n"/>
      <c r="G2229" s="30" t="n"/>
      <c r="H2229" s="30" t="n"/>
      <c r="I2229" s="31" t="n"/>
      <c r="J2229" s="30" t="n"/>
      <c r="K2229" s="30" t="n"/>
      <c r="L2229" s="30" t="n"/>
      <c r="M2229" s="30" t="n"/>
      <c r="N2229" s="32" t="n"/>
      <c r="O2229" s="30" t="n"/>
      <c r="P2229" s="32" t="n"/>
      <c r="Q2229" s="30" t="n"/>
      <c r="R2229" s="32" t="n"/>
      <c r="S2229" s="30" t="n"/>
      <c r="T2229" s="30" t="n"/>
      <c r="U2229" s="30" t="n"/>
      <c r="V2229" s="30" t="n"/>
      <c r="W2229" s="29">
        <f>IF(H2229="","",IF(H2229="Kenya","Yes","No"))</f>
        <v/>
      </c>
      <c r="X2229" s="29">
        <f>IF(B2229="","",IF(COUNTIF($B$5:$B$3004,B2229)&gt;1,"DUPLICATE","OK"))</f>
        <v/>
      </c>
      <c r="Y2229" s="29">
        <f>IF(OR(U2229="",V2229="",V2229="Excluded"),"",IF(COUNTIFS($U$5:$U$3004,U2229,$V$5:$V$3004,"&lt;&gt;"&amp;V2229,$V$5:$V$3004,"&lt;&gt;",$V$5:$V$3004,"&lt;&gt;Excluded")&gt;0,"LEAK RISK","OK"))</f>
        <v/>
      </c>
      <c r="Z2229" s="30" t="n"/>
    </row>
    <row r="2230">
      <c r="A2230" s="30" t="n"/>
      <c r="B2230" s="30" t="n"/>
      <c r="C2230" s="30" t="n"/>
      <c r="D2230" s="30" t="n"/>
      <c r="E2230" s="30" t="n"/>
      <c r="F2230" s="30" t="n"/>
      <c r="G2230" s="30" t="n"/>
      <c r="H2230" s="30" t="n"/>
      <c r="I2230" s="31" t="n"/>
      <c r="J2230" s="30" t="n"/>
      <c r="K2230" s="30" t="n"/>
      <c r="L2230" s="30" t="n"/>
      <c r="M2230" s="30" t="n"/>
      <c r="N2230" s="32" t="n"/>
      <c r="O2230" s="30" t="n"/>
      <c r="P2230" s="32" t="n"/>
      <c r="Q2230" s="30" t="n"/>
      <c r="R2230" s="32" t="n"/>
      <c r="S2230" s="30" t="n"/>
      <c r="T2230" s="30" t="n"/>
      <c r="U2230" s="30" t="n"/>
      <c r="V2230" s="30" t="n"/>
      <c r="W2230" s="29">
        <f>IF(H2230="","",IF(H2230="Kenya","Yes","No"))</f>
        <v/>
      </c>
      <c r="X2230" s="29">
        <f>IF(B2230="","",IF(COUNTIF($B$5:$B$3004,B2230)&gt;1,"DUPLICATE","OK"))</f>
        <v/>
      </c>
      <c r="Y2230" s="29">
        <f>IF(OR(U2230="",V2230="",V2230="Excluded"),"",IF(COUNTIFS($U$5:$U$3004,U2230,$V$5:$V$3004,"&lt;&gt;"&amp;V2230,$V$5:$V$3004,"&lt;&gt;",$V$5:$V$3004,"&lt;&gt;Excluded")&gt;0,"LEAK RISK","OK"))</f>
        <v/>
      </c>
      <c r="Z2230" s="30" t="n"/>
    </row>
    <row r="2231">
      <c r="A2231" s="30" t="n"/>
      <c r="B2231" s="30" t="n"/>
      <c r="C2231" s="30" t="n"/>
      <c r="D2231" s="30" t="n"/>
      <c r="E2231" s="30" t="n"/>
      <c r="F2231" s="30" t="n"/>
      <c r="G2231" s="30" t="n"/>
      <c r="H2231" s="30" t="n"/>
      <c r="I2231" s="31" t="n"/>
      <c r="J2231" s="30" t="n"/>
      <c r="K2231" s="30" t="n"/>
      <c r="L2231" s="30" t="n"/>
      <c r="M2231" s="30" t="n"/>
      <c r="N2231" s="32" t="n"/>
      <c r="O2231" s="30" t="n"/>
      <c r="P2231" s="32" t="n"/>
      <c r="Q2231" s="30" t="n"/>
      <c r="R2231" s="32" t="n"/>
      <c r="S2231" s="30" t="n"/>
      <c r="T2231" s="30" t="n"/>
      <c r="U2231" s="30" t="n"/>
      <c r="V2231" s="30" t="n"/>
      <c r="W2231" s="29">
        <f>IF(H2231="","",IF(H2231="Kenya","Yes","No"))</f>
        <v/>
      </c>
      <c r="X2231" s="29">
        <f>IF(B2231="","",IF(COUNTIF($B$5:$B$3004,B2231)&gt;1,"DUPLICATE","OK"))</f>
        <v/>
      </c>
      <c r="Y2231" s="29">
        <f>IF(OR(U2231="",V2231="",V2231="Excluded"),"",IF(COUNTIFS($U$5:$U$3004,U2231,$V$5:$V$3004,"&lt;&gt;"&amp;V2231,$V$5:$V$3004,"&lt;&gt;",$V$5:$V$3004,"&lt;&gt;Excluded")&gt;0,"LEAK RISK","OK"))</f>
        <v/>
      </c>
      <c r="Z2231" s="30" t="n"/>
    </row>
    <row r="2232">
      <c r="A2232" s="30" t="n"/>
      <c r="B2232" s="30" t="n"/>
      <c r="C2232" s="30" t="n"/>
      <c r="D2232" s="30" t="n"/>
      <c r="E2232" s="30" t="n"/>
      <c r="F2232" s="30" t="n"/>
      <c r="G2232" s="30" t="n"/>
      <c r="H2232" s="30" t="n"/>
      <c r="I2232" s="31" t="n"/>
      <c r="J2232" s="30" t="n"/>
      <c r="K2232" s="30" t="n"/>
      <c r="L2232" s="30" t="n"/>
      <c r="M2232" s="30" t="n"/>
      <c r="N2232" s="32" t="n"/>
      <c r="O2232" s="30" t="n"/>
      <c r="P2232" s="32" t="n"/>
      <c r="Q2232" s="30" t="n"/>
      <c r="R2232" s="32" t="n"/>
      <c r="S2232" s="30" t="n"/>
      <c r="T2232" s="30" t="n"/>
      <c r="U2232" s="30" t="n"/>
      <c r="V2232" s="30" t="n"/>
      <c r="W2232" s="29">
        <f>IF(H2232="","",IF(H2232="Kenya","Yes","No"))</f>
        <v/>
      </c>
      <c r="X2232" s="29">
        <f>IF(B2232="","",IF(COUNTIF($B$5:$B$3004,B2232)&gt;1,"DUPLICATE","OK"))</f>
        <v/>
      </c>
      <c r="Y2232" s="29">
        <f>IF(OR(U2232="",V2232="",V2232="Excluded"),"",IF(COUNTIFS($U$5:$U$3004,U2232,$V$5:$V$3004,"&lt;&gt;"&amp;V2232,$V$5:$V$3004,"&lt;&gt;",$V$5:$V$3004,"&lt;&gt;Excluded")&gt;0,"LEAK RISK","OK"))</f>
        <v/>
      </c>
      <c r="Z2232" s="30" t="n"/>
    </row>
    <row r="2233">
      <c r="A2233" s="30" t="n"/>
      <c r="B2233" s="30" t="n"/>
      <c r="C2233" s="30" t="n"/>
      <c r="D2233" s="30" t="n"/>
      <c r="E2233" s="30" t="n"/>
      <c r="F2233" s="30" t="n"/>
      <c r="G2233" s="30" t="n"/>
      <c r="H2233" s="30" t="n"/>
      <c r="I2233" s="31" t="n"/>
      <c r="J2233" s="30" t="n"/>
      <c r="K2233" s="30" t="n"/>
      <c r="L2233" s="30" t="n"/>
      <c r="M2233" s="30" t="n"/>
      <c r="N2233" s="32" t="n"/>
      <c r="O2233" s="30" t="n"/>
      <c r="P2233" s="32" t="n"/>
      <c r="Q2233" s="30" t="n"/>
      <c r="R2233" s="32" t="n"/>
      <c r="S2233" s="30" t="n"/>
      <c r="T2233" s="30" t="n"/>
      <c r="U2233" s="30" t="n"/>
      <c r="V2233" s="30" t="n"/>
      <c r="W2233" s="29">
        <f>IF(H2233="","",IF(H2233="Kenya","Yes","No"))</f>
        <v/>
      </c>
      <c r="X2233" s="29">
        <f>IF(B2233="","",IF(COUNTIF($B$5:$B$3004,B2233)&gt;1,"DUPLICATE","OK"))</f>
        <v/>
      </c>
      <c r="Y2233" s="29">
        <f>IF(OR(U2233="",V2233="",V2233="Excluded"),"",IF(COUNTIFS($U$5:$U$3004,U2233,$V$5:$V$3004,"&lt;&gt;"&amp;V2233,$V$5:$V$3004,"&lt;&gt;",$V$5:$V$3004,"&lt;&gt;Excluded")&gt;0,"LEAK RISK","OK"))</f>
        <v/>
      </c>
      <c r="Z2233" s="30" t="n"/>
    </row>
    <row r="2234">
      <c r="A2234" s="30" t="n"/>
      <c r="B2234" s="30" t="n"/>
      <c r="C2234" s="30" t="n"/>
      <c r="D2234" s="30" t="n"/>
      <c r="E2234" s="30" t="n"/>
      <c r="F2234" s="30" t="n"/>
      <c r="G2234" s="30" t="n"/>
      <c r="H2234" s="30" t="n"/>
      <c r="I2234" s="31" t="n"/>
      <c r="J2234" s="30" t="n"/>
      <c r="K2234" s="30" t="n"/>
      <c r="L2234" s="30" t="n"/>
      <c r="M2234" s="30" t="n"/>
      <c r="N2234" s="32" t="n"/>
      <c r="O2234" s="30" t="n"/>
      <c r="P2234" s="32" t="n"/>
      <c r="Q2234" s="30" t="n"/>
      <c r="R2234" s="32" t="n"/>
      <c r="S2234" s="30" t="n"/>
      <c r="T2234" s="30" t="n"/>
      <c r="U2234" s="30" t="n"/>
      <c r="V2234" s="30" t="n"/>
      <c r="W2234" s="29">
        <f>IF(H2234="","",IF(H2234="Kenya","Yes","No"))</f>
        <v/>
      </c>
      <c r="X2234" s="29">
        <f>IF(B2234="","",IF(COUNTIF($B$5:$B$3004,B2234)&gt;1,"DUPLICATE","OK"))</f>
        <v/>
      </c>
      <c r="Y2234" s="29">
        <f>IF(OR(U2234="",V2234="",V2234="Excluded"),"",IF(COUNTIFS($U$5:$U$3004,U2234,$V$5:$V$3004,"&lt;&gt;"&amp;V2234,$V$5:$V$3004,"&lt;&gt;",$V$5:$V$3004,"&lt;&gt;Excluded")&gt;0,"LEAK RISK","OK"))</f>
        <v/>
      </c>
      <c r="Z2234" s="30" t="n"/>
    </row>
    <row r="2235">
      <c r="A2235" s="30" t="n"/>
      <c r="B2235" s="30" t="n"/>
      <c r="C2235" s="30" t="n"/>
      <c r="D2235" s="30" t="n"/>
      <c r="E2235" s="30" t="n"/>
      <c r="F2235" s="30" t="n"/>
      <c r="G2235" s="30" t="n"/>
      <c r="H2235" s="30" t="n"/>
      <c r="I2235" s="31" t="n"/>
      <c r="J2235" s="30" t="n"/>
      <c r="K2235" s="30" t="n"/>
      <c r="L2235" s="30" t="n"/>
      <c r="M2235" s="30" t="n"/>
      <c r="N2235" s="32" t="n"/>
      <c r="O2235" s="30" t="n"/>
      <c r="P2235" s="32" t="n"/>
      <c r="Q2235" s="30" t="n"/>
      <c r="R2235" s="32" t="n"/>
      <c r="S2235" s="30" t="n"/>
      <c r="T2235" s="30" t="n"/>
      <c r="U2235" s="30" t="n"/>
      <c r="V2235" s="30" t="n"/>
      <c r="W2235" s="29">
        <f>IF(H2235="","",IF(H2235="Kenya","Yes","No"))</f>
        <v/>
      </c>
      <c r="X2235" s="29">
        <f>IF(B2235="","",IF(COUNTIF($B$5:$B$3004,B2235)&gt;1,"DUPLICATE","OK"))</f>
        <v/>
      </c>
      <c r="Y2235" s="29">
        <f>IF(OR(U2235="",V2235="",V2235="Excluded"),"",IF(COUNTIFS($U$5:$U$3004,U2235,$V$5:$V$3004,"&lt;&gt;"&amp;V2235,$V$5:$V$3004,"&lt;&gt;",$V$5:$V$3004,"&lt;&gt;Excluded")&gt;0,"LEAK RISK","OK"))</f>
        <v/>
      </c>
      <c r="Z2235" s="30" t="n"/>
    </row>
    <row r="2236">
      <c r="A2236" s="30" t="n"/>
      <c r="B2236" s="30" t="n"/>
      <c r="C2236" s="30" t="n"/>
      <c r="D2236" s="30" t="n"/>
      <c r="E2236" s="30" t="n"/>
      <c r="F2236" s="30" t="n"/>
      <c r="G2236" s="30" t="n"/>
      <c r="H2236" s="30" t="n"/>
      <c r="I2236" s="31" t="n"/>
      <c r="J2236" s="30" t="n"/>
      <c r="K2236" s="30" t="n"/>
      <c r="L2236" s="30" t="n"/>
      <c r="M2236" s="30" t="n"/>
      <c r="N2236" s="32" t="n"/>
      <c r="O2236" s="30" t="n"/>
      <c r="P2236" s="32" t="n"/>
      <c r="Q2236" s="30" t="n"/>
      <c r="R2236" s="32" t="n"/>
      <c r="S2236" s="30" t="n"/>
      <c r="T2236" s="30" t="n"/>
      <c r="U2236" s="30" t="n"/>
      <c r="V2236" s="30" t="n"/>
      <c r="W2236" s="29">
        <f>IF(H2236="","",IF(H2236="Kenya","Yes","No"))</f>
        <v/>
      </c>
      <c r="X2236" s="29">
        <f>IF(B2236="","",IF(COUNTIF($B$5:$B$3004,B2236)&gt;1,"DUPLICATE","OK"))</f>
        <v/>
      </c>
      <c r="Y2236" s="29">
        <f>IF(OR(U2236="",V2236="",V2236="Excluded"),"",IF(COUNTIFS($U$5:$U$3004,U2236,$V$5:$V$3004,"&lt;&gt;"&amp;V2236,$V$5:$V$3004,"&lt;&gt;",$V$5:$V$3004,"&lt;&gt;Excluded")&gt;0,"LEAK RISK","OK"))</f>
        <v/>
      </c>
      <c r="Z2236" s="30" t="n"/>
    </row>
    <row r="2237">
      <c r="A2237" s="30" t="n"/>
      <c r="B2237" s="30" t="n"/>
      <c r="C2237" s="30" t="n"/>
      <c r="D2237" s="30" t="n"/>
      <c r="E2237" s="30" t="n"/>
      <c r="F2237" s="30" t="n"/>
      <c r="G2237" s="30" t="n"/>
      <c r="H2237" s="30" t="n"/>
      <c r="I2237" s="31" t="n"/>
      <c r="J2237" s="30" t="n"/>
      <c r="K2237" s="30" t="n"/>
      <c r="L2237" s="30" t="n"/>
      <c r="M2237" s="30" t="n"/>
      <c r="N2237" s="32" t="n"/>
      <c r="O2237" s="30" t="n"/>
      <c r="P2237" s="32" t="n"/>
      <c r="Q2237" s="30" t="n"/>
      <c r="R2237" s="32" t="n"/>
      <c r="S2237" s="30" t="n"/>
      <c r="T2237" s="30" t="n"/>
      <c r="U2237" s="30" t="n"/>
      <c r="V2237" s="30" t="n"/>
      <c r="W2237" s="29">
        <f>IF(H2237="","",IF(H2237="Kenya","Yes","No"))</f>
        <v/>
      </c>
      <c r="X2237" s="29">
        <f>IF(B2237="","",IF(COUNTIF($B$5:$B$3004,B2237)&gt;1,"DUPLICATE","OK"))</f>
        <v/>
      </c>
      <c r="Y2237" s="29">
        <f>IF(OR(U2237="",V2237="",V2237="Excluded"),"",IF(COUNTIFS($U$5:$U$3004,U2237,$V$5:$V$3004,"&lt;&gt;"&amp;V2237,$V$5:$V$3004,"&lt;&gt;",$V$5:$V$3004,"&lt;&gt;Excluded")&gt;0,"LEAK RISK","OK"))</f>
        <v/>
      </c>
      <c r="Z2237" s="30" t="n"/>
    </row>
    <row r="2238">
      <c r="A2238" s="30" t="n"/>
      <c r="B2238" s="30" t="n"/>
      <c r="C2238" s="30" t="n"/>
      <c r="D2238" s="30" t="n"/>
      <c r="E2238" s="30" t="n"/>
      <c r="F2238" s="30" t="n"/>
      <c r="G2238" s="30" t="n"/>
      <c r="H2238" s="30" t="n"/>
      <c r="I2238" s="31" t="n"/>
      <c r="J2238" s="30" t="n"/>
      <c r="K2238" s="30" t="n"/>
      <c r="L2238" s="30" t="n"/>
      <c r="M2238" s="30" t="n"/>
      <c r="N2238" s="32" t="n"/>
      <c r="O2238" s="30" t="n"/>
      <c r="P2238" s="32" t="n"/>
      <c r="Q2238" s="30" t="n"/>
      <c r="R2238" s="32" t="n"/>
      <c r="S2238" s="30" t="n"/>
      <c r="T2238" s="30" t="n"/>
      <c r="U2238" s="30" t="n"/>
      <c r="V2238" s="30" t="n"/>
      <c r="W2238" s="29">
        <f>IF(H2238="","",IF(H2238="Kenya","Yes","No"))</f>
        <v/>
      </c>
      <c r="X2238" s="29">
        <f>IF(B2238="","",IF(COUNTIF($B$5:$B$3004,B2238)&gt;1,"DUPLICATE","OK"))</f>
        <v/>
      </c>
      <c r="Y2238" s="29">
        <f>IF(OR(U2238="",V2238="",V2238="Excluded"),"",IF(COUNTIFS($U$5:$U$3004,U2238,$V$5:$V$3004,"&lt;&gt;"&amp;V2238,$V$5:$V$3004,"&lt;&gt;",$V$5:$V$3004,"&lt;&gt;Excluded")&gt;0,"LEAK RISK","OK"))</f>
        <v/>
      </c>
      <c r="Z2238" s="30" t="n"/>
    </row>
    <row r="2239">
      <c r="A2239" s="30" t="n"/>
      <c r="B2239" s="30" t="n"/>
      <c r="C2239" s="30" t="n"/>
      <c r="D2239" s="30" t="n"/>
      <c r="E2239" s="30" t="n"/>
      <c r="F2239" s="30" t="n"/>
      <c r="G2239" s="30" t="n"/>
      <c r="H2239" s="30" t="n"/>
      <c r="I2239" s="31" t="n"/>
      <c r="J2239" s="30" t="n"/>
      <c r="K2239" s="30" t="n"/>
      <c r="L2239" s="30" t="n"/>
      <c r="M2239" s="30" t="n"/>
      <c r="N2239" s="32" t="n"/>
      <c r="O2239" s="30" t="n"/>
      <c r="P2239" s="32" t="n"/>
      <c r="Q2239" s="30" t="n"/>
      <c r="R2239" s="32" t="n"/>
      <c r="S2239" s="30" t="n"/>
      <c r="T2239" s="30" t="n"/>
      <c r="U2239" s="30" t="n"/>
      <c r="V2239" s="30" t="n"/>
      <c r="W2239" s="29">
        <f>IF(H2239="","",IF(H2239="Kenya","Yes","No"))</f>
        <v/>
      </c>
      <c r="X2239" s="29">
        <f>IF(B2239="","",IF(COUNTIF($B$5:$B$3004,B2239)&gt;1,"DUPLICATE","OK"))</f>
        <v/>
      </c>
      <c r="Y2239" s="29">
        <f>IF(OR(U2239="",V2239="",V2239="Excluded"),"",IF(COUNTIFS($U$5:$U$3004,U2239,$V$5:$V$3004,"&lt;&gt;"&amp;V2239,$V$5:$V$3004,"&lt;&gt;",$V$5:$V$3004,"&lt;&gt;Excluded")&gt;0,"LEAK RISK","OK"))</f>
        <v/>
      </c>
      <c r="Z2239" s="30" t="n"/>
    </row>
    <row r="2240">
      <c r="A2240" s="30" t="n"/>
      <c r="B2240" s="30" t="n"/>
      <c r="C2240" s="30" t="n"/>
      <c r="D2240" s="30" t="n"/>
      <c r="E2240" s="30" t="n"/>
      <c r="F2240" s="30" t="n"/>
      <c r="G2240" s="30" t="n"/>
      <c r="H2240" s="30" t="n"/>
      <c r="I2240" s="31" t="n"/>
      <c r="J2240" s="30" t="n"/>
      <c r="K2240" s="30" t="n"/>
      <c r="L2240" s="30" t="n"/>
      <c r="M2240" s="30" t="n"/>
      <c r="N2240" s="32" t="n"/>
      <c r="O2240" s="30" t="n"/>
      <c r="P2240" s="32" t="n"/>
      <c r="Q2240" s="30" t="n"/>
      <c r="R2240" s="32" t="n"/>
      <c r="S2240" s="30" t="n"/>
      <c r="T2240" s="30" t="n"/>
      <c r="U2240" s="30" t="n"/>
      <c r="V2240" s="30" t="n"/>
      <c r="W2240" s="29">
        <f>IF(H2240="","",IF(H2240="Kenya","Yes","No"))</f>
        <v/>
      </c>
      <c r="X2240" s="29">
        <f>IF(B2240="","",IF(COUNTIF($B$5:$B$3004,B2240)&gt;1,"DUPLICATE","OK"))</f>
        <v/>
      </c>
      <c r="Y2240" s="29">
        <f>IF(OR(U2240="",V2240="",V2240="Excluded"),"",IF(COUNTIFS($U$5:$U$3004,U2240,$V$5:$V$3004,"&lt;&gt;"&amp;V2240,$V$5:$V$3004,"&lt;&gt;",$V$5:$V$3004,"&lt;&gt;Excluded")&gt;0,"LEAK RISK","OK"))</f>
        <v/>
      </c>
      <c r="Z2240" s="30" t="n"/>
    </row>
    <row r="2241">
      <c r="A2241" s="30" t="n"/>
      <c r="B2241" s="30" t="n"/>
      <c r="C2241" s="30" t="n"/>
      <c r="D2241" s="30" t="n"/>
      <c r="E2241" s="30" t="n"/>
      <c r="F2241" s="30" t="n"/>
      <c r="G2241" s="30" t="n"/>
      <c r="H2241" s="30" t="n"/>
      <c r="I2241" s="31" t="n"/>
      <c r="J2241" s="30" t="n"/>
      <c r="K2241" s="30" t="n"/>
      <c r="L2241" s="30" t="n"/>
      <c r="M2241" s="30" t="n"/>
      <c r="N2241" s="32" t="n"/>
      <c r="O2241" s="30" t="n"/>
      <c r="P2241" s="32" t="n"/>
      <c r="Q2241" s="30" t="n"/>
      <c r="R2241" s="32" t="n"/>
      <c r="S2241" s="30" t="n"/>
      <c r="T2241" s="30" t="n"/>
      <c r="U2241" s="30" t="n"/>
      <c r="V2241" s="30" t="n"/>
      <c r="W2241" s="29">
        <f>IF(H2241="","",IF(H2241="Kenya","Yes","No"))</f>
        <v/>
      </c>
      <c r="X2241" s="29">
        <f>IF(B2241="","",IF(COUNTIF($B$5:$B$3004,B2241)&gt;1,"DUPLICATE","OK"))</f>
        <v/>
      </c>
      <c r="Y2241" s="29">
        <f>IF(OR(U2241="",V2241="",V2241="Excluded"),"",IF(COUNTIFS($U$5:$U$3004,U2241,$V$5:$V$3004,"&lt;&gt;"&amp;V2241,$V$5:$V$3004,"&lt;&gt;",$V$5:$V$3004,"&lt;&gt;Excluded")&gt;0,"LEAK RISK","OK"))</f>
        <v/>
      </c>
      <c r="Z2241" s="30" t="n"/>
    </row>
    <row r="2242">
      <c r="A2242" s="30" t="n"/>
      <c r="B2242" s="30" t="n"/>
      <c r="C2242" s="30" t="n"/>
      <c r="D2242" s="30" t="n"/>
      <c r="E2242" s="30" t="n"/>
      <c r="F2242" s="30" t="n"/>
      <c r="G2242" s="30" t="n"/>
      <c r="H2242" s="30" t="n"/>
      <c r="I2242" s="31" t="n"/>
      <c r="J2242" s="30" t="n"/>
      <c r="K2242" s="30" t="n"/>
      <c r="L2242" s="30" t="n"/>
      <c r="M2242" s="30" t="n"/>
      <c r="N2242" s="32" t="n"/>
      <c r="O2242" s="30" t="n"/>
      <c r="P2242" s="32" t="n"/>
      <c r="Q2242" s="30" t="n"/>
      <c r="R2242" s="32" t="n"/>
      <c r="S2242" s="30" t="n"/>
      <c r="T2242" s="30" t="n"/>
      <c r="U2242" s="30" t="n"/>
      <c r="V2242" s="30" t="n"/>
      <c r="W2242" s="29">
        <f>IF(H2242="","",IF(H2242="Kenya","Yes","No"))</f>
        <v/>
      </c>
      <c r="X2242" s="29">
        <f>IF(B2242="","",IF(COUNTIF($B$5:$B$3004,B2242)&gt;1,"DUPLICATE","OK"))</f>
        <v/>
      </c>
      <c r="Y2242" s="29">
        <f>IF(OR(U2242="",V2242="",V2242="Excluded"),"",IF(COUNTIFS($U$5:$U$3004,U2242,$V$5:$V$3004,"&lt;&gt;"&amp;V2242,$V$5:$V$3004,"&lt;&gt;",$V$5:$V$3004,"&lt;&gt;Excluded")&gt;0,"LEAK RISK","OK"))</f>
        <v/>
      </c>
      <c r="Z2242" s="30" t="n"/>
    </row>
    <row r="2243">
      <c r="A2243" s="30" t="n"/>
      <c r="B2243" s="30" t="n"/>
      <c r="C2243" s="30" t="n"/>
      <c r="D2243" s="30" t="n"/>
      <c r="E2243" s="30" t="n"/>
      <c r="F2243" s="30" t="n"/>
      <c r="G2243" s="30" t="n"/>
      <c r="H2243" s="30" t="n"/>
      <c r="I2243" s="31" t="n"/>
      <c r="J2243" s="30" t="n"/>
      <c r="K2243" s="30" t="n"/>
      <c r="L2243" s="30" t="n"/>
      <c r="M2243" s="30" t="n"/>
      <c r="N2243" s="32" t="n"/>
      <c r="O2243" s="30" t="n"/>
      <c r="P2243" s="32" t="n"/>
      <c r="Q2243" s="30" t="n"/>
      <c r="R2243" s="32" t="n"/>
      <c r="S2243" s="30" t="n"/>
      <c r="T2243" s="30" t="n"/>
      <c r="U2243" s="30" t="n"/>
      <c r="V2243" s="30" t="n"/>
      <c r="W2243" s="29">
        <f>IF(H2243="","",IF(H2243="Kenya","Yes","No"))</f>
        <v/>
      </c>
      <c r="X2243" s="29">
        <f>IF(B2243="","",IF(COUNTIF($B$5:$B$3004,B2243)&gt;1,"DUPLICATE","OK"))</f>
        <v/>
      </c>
      <c r="Y2243" s="29">
        <f>IF(OR(U2243="",V2243="",V2243="Excluded"),"",IF(COUNTIFS($U$5:$U$3004,U2243,$V$5:$V$3004,"&lt;&gt;"&amp;V2243,$V$5:$V$3004,"&lt;&gt;",$V$5:$V$3004,"&lt;&gt;Excluded")&gt;0,"LEAK RISK","OK"))</f>
        <v/>
      </c>
      <c r="Z2243" s="30" t="n"/>
    </row>
    <row r="2244">
      <c r="A2244" s="30" t="n"/>
      <c r="B2244" s="30" t="n"/>
      <c r="C2244" s="30" t="n"/>
      <c r="D2244" s="30" t="n"/>
      <c r="E2244" s="30" t="n"/>
      <c r="F2244" s="30" t="n"/>
      <c r="G2244" s="30" t="n"/>
      <c r="H2244" s="30" t="n"/>
      <c r="I2244" s="31" t="n"/>
      <c r="J2244" s="30" t="n"/>
      <c r="K2244" s="30" t="n"/>
      <c r="L2244" s="30" t="n"/>
      <c r="M2244" s="30" t="n"/>
      <c r="N2244" s="32" t="n"/>
      <c r="O2244" s="30" t="n"/>
      <c r="P2244" s="32" t="n"/>
      <c r="Q2244" s="30" t="n"/>
      <c r="R2244" s="32" t="n"/>
      <c r="S2244" s="30" t="n"/>
      <c r="T2244" s="30" t="n"/>
      <c r="U2244" s="30" t="n"/>
      <c r="V2244" s="30" t="n"/>
      <c r="W2244" s="29">
        <f>IF(H2244="","",IF(H2244="Kenya","Yes","No"))</f>
        <v/>
      </c>
      <c r="X2244" s="29">
        <f>IF(B2244="","",IF(COUNTIF($B$5:$B$3004,B2244)&gt;1,"DUPLICATE","OK"))</f>
        <v/>
      </c>
      <c r="Y2244" s="29">
        <f>IF(OR(U2244="",V2244="",V2244="Excluded"),"",IF(COUNTIFS($U$5:$U$3004,U2244,$V$5:$V$3004,"&lt;&gt;"&amp;V2244,$V$5:$V$3004,"&lt;&gt;",$V$5:$V$3004,"&lt;&gt;Excluded")&gt;0,"LEAK RISK","OK"))</f>
        <v/>
      </c>
      <c r="Z2244" s="30" t="n"/>
    </row>
    <row r="2245">
      <c r="A2245" s="30" t="n"/>
      <c r="B2245" s="30" t="n"/>
      <c r="C2245" s="30" t="n"/>
      <c r="D2245" s="30" t="n"/>
      <c r="E2245" s="30" t="n"/>
      <c r="F2245" s="30" t="n"/>
      <c r="G2245" s="30" t="n"/>
      <c r="H2245" s="30" t="n"/>
      <c r="I2245" s="31" t="n"/>
      <c r="J2245" s="30" t="n"/>
      <c r="K2245" s="30" t="n"/>
      <c r="L2245" s="30" t="n"/>
      <c r="M2245" s="30" t="n"/>
      <c r="N2245" s="32" t="n"/>
      <c r="O2245" s="30" t="n"/>
      <c r="P2245" s="32" t="n"/>
      <c r="Q2245" s="30" t="n"/>
      <c r="R2245" s="32" t="n"/>
      <c r="S2245" s="30" t="n"/>
      <c r="T2245" s="30" t="n"/>
      <c r="U2245" s="30" t="n"/>
      <c r="V2245" s="30" t="n"/>
      <c r="W2245" s="29">
        <f>IF(H2245="","",IF(H2245="Kenya","Yes","No"))</f>
        <v/>
      </c>
      <c r="X2245" s="29">
        <f>IF(B2245="","",IF(COUNTIF($B$5:$B$3004,B2245)&gt;1,"DUPLICATE","OK"))</f>
        <v/>
      </c>
      <c r="Y2245" s="29">
        <f>IF(OR(U2245="",V2245="",V2245="Excluded"),"",IF(COUNTIFS($U$5:$U$3004,U2245,$V$5:$V$3004,"&lt;&gt;"&amp;V2245,$V$5:$V$3004,"&lt;&gt;",$V$5:$V$3004,"&lt;&gt;Excluded")&gt;0,"LEAK RISK","OK"))</f>
        <v/>
      </c>
      <c r="Z2245" s="30" t="n"/>
    </row>
    <row r="2246">
      <c r="A2246" s="30" t="n"/>
      <c r="B2246" s="30" t="n"/>
      <c r="C2246" s="30" t="n"/>
      <c r="D2246" s="30" t="n"/>
      <c r="E2246" s="30" t="n"/>
      <c r="F2246" s="30" t="n"/>
      <c r="G2246" s="30" t="n"/>
      <c r="H2246" s="30" t="n"/>
      <c r="I2246" s="31" t="n"/>
      <c r="J2246" s="30" t="n"/>
      <c r="K2246" s="30" t="n"/>
      <c r="L2246" s="30" t="n"/>
      <c r="M2246" s="30" t="n"/>
      <c r="N2246" s="32" t="n"/>
      <c r="O2246" s="30" t="n"/>
      <c r="P2246" s="32" t="n"/>
      <c r="Q2246" s="30" t="n"/>
      <c r="R2246" s="32" t="n"/>
      <c r="S2246" s="30" t="n"/>
      <c r="T2246" s="30" t="n"/>
      <c r="U2246" s="30" t="n"/>
      <c r="V2246" s="30" t="n"/>
      <c r="W2246" s="29">
        <f>IF(H2246="","",IF(H2246="Kenya","Yes","No"))</f>
        <v/>
      </c>
      <c r="X2246" s="29">
        <f>IF(B2246="","",IF(COUNTIF($B$5:$B$3004,B2246)&gt;1,"DUPLICATE","OK"))</f>
        <v/>
      </c>
      <c r="Y2246" s="29">
        <f>IF(OR(U2246="",V2246="",V2246="Excluded"),"",IF(COUNTIFS($U$5:$U$3004,U2246,$V$5:$V$3004,"&lt;&gt;"&amp;V2246,$V$5:$V$3004,"&lt;&gt;",$V$5:$V$3004,"&lt;&gt;Excluded")&gt;0,"LEAK RISK","OK"))</f>
        <v/>
      </c>
      <c r="Z2246" s="30" t="n"/>
    </row>
    <row r="2247">
      <c r="A2247" s="30" t="n"/>
      <c r="B2247" s="30" t="n"/>
      <c r="C2247" s="30" t="n"/>
      <c r="D2247" s="30" t="n"/>
      <c r="E2247" s="30" t="n"/>
      <c r="F2247" s="30" t="n"/>
      <c r="G2247" s="30" t="n"/>
      <c r="H2247" s="30" t="n"/>
      <c r="I2247" s="31" t="n"/>
      <c r="J2247" s="30" t="n"/>
      <c r="K2247" s="30" t="n"/>
      <c r="L2247" s="30" t="n"/>
      <c r="M2247" s="30" t="n"/>
      <c r="N2247" s="32" t="n"/>
      <c r="O2247" s="30" t="n"/>
      <c r="P2247" s="32" t="n"/>
      <c r="Q2247" s="30" t="n"/>
      <c r="R2247" s="32" t="n"/>
      <c r="S2247" s="30" t="n"/>
      <c r="T2247" s="30" t="n"/>
      <c r="U2247" s="30" t="n"/>
      <c r="V2247" s="30" t="n"/>
      <c r="W2247" s="29">
        <f>IF(H2247="","",IF(H2247="Kenya","Yes","No"))</f>
        <v/>
      </c>
      <c r="X2247" s="29">
        <f>IF(B2247="","",IF(COUNTIF($B$5:$B$3004,B2247)&gt;1,"DUPLICATE","OK"))</f>
        <v/>
      </c>
      <c r="Y2247" s="29">
        <f>IF(OR(U2247="",V2247="",V2247="Excluded"),"",IF(COUNTIFS($U$5:$U$3004,U2247,$V$5:$V$3004,"&lt;&gt;"&amp;V2247,$V$5:$V$3004,"&lt;&gt;",$V$5:$V$3004,"&lt;&gt;Excluded")&gt;0,"LEAK RISK","OK"))</f>
        <v/>
      </c>
      <c r="Z2247" s="30" t="n"/>
    </row>
    <row r="2248">
      <c r="A2248" s="30" t="n"/>
      <c r="B2248" s="30" t="n"/>
      <c r="C2248" s="30" t="n"/>
      <c r="D2248" s="30" t="n"/>
      <c r="E2248" s="30" t="n"/>
      <c r="F2248" s="30" t="n"/>
      <c r="G2248" s="30" t="n"/>
      <c r="H2248" s="30" t="n"/>
      <c r="I2248" s="31" t="n"/>
      <c r="J2248" s="30" t="n"/>
      <c r="K2248" s="30" t="n"/>
      <c r="L2248" s="30" t="n"/>
      <c r="M2248" s="30" t="n"/>
      <c r="N2248" s="32" t="n"/>
      <c r="O2248" s="30" t="n"/>
      <c r="P2248" s="32" t="n"/>
      <c r="Q2248" s="30" t="n"/>
      <c r="R2248" s="32" t="n"/>
      <c r="S2248" s="30" t="n"/>
      <c r="T2248" s="30" t="n"/>
      <c r="U2248" s="30" t="n"/>
      <c r="V2248" s="30" t="n"/>
      <c r="W2248" s="29">
        <f>IF(H2248="","",IF(H2248="Kenya","Yes","No"))</f>
        <v/>
      </c>
      <c r="X2248" s="29">
        <f>IF(B2248="","",IF(COUNTIF($B$5:$B$3004,B2248)&gt;1,"DUPLICATE","OK"))</f>
        <v/>
      </c>
      <c r="Y2248" s="29">
        <f>IF(OR(U2248="",V2248="",V2248="Excluded"),"",IF(COUNTIFS($U$5:$U$3004,U2248,$V$5:$V$3004,"&lt;&gt;"&amp;V2248,$V$5:$V$3004,"&lt;&gt;",$V$5:$V$3004,"&lt;&gt;Excluded")&gt;0,"LEAK RISK","OK"))</f>
        <v/>
      </c>
      <c r="Z2248" s="30" t="n"/>
    </row>
    <row r="2249">
      <c r="A2249" s="30" t="n"/>
      <c r="B2249" s="30" t="n"/>
      <c r="C2249" s="30" t="n"/>
      <c r="D2249" s="30" t="n"/>
      <c r="E2249" s="30" t="n"/>
      <c r="F2249" s="30" t="n"/>
      <c r="G2249" s="30" t="n"/>
      <c r="H2249" s="30" t="n"/>
      <c r="I2249" s="31" t="n"/>
      <c r="J2249" s="30" t="n"/>
      <c r="K2249" s="30" t="n"/>
      <c r="L2249" s="30" t="n"/>
      <c r="M2249" s="30" t="n"/>
      <c r="N2249" s="32" t="n"/>
      <c r="O2249" s="30" t="n"/>
      <c r="P2249" s="32" t="n"/>
      <c r="Q2249" s="30" t="n"/>
      <c r="R2249" s="32" t="n"/>
      <c r="S2249" s="30" t="n"/>
      <c r="T2249" s="30" t="n"/>
      <c r="U2249" s="30" t="n"/>
      <c r="V2249" s="30" t="n"/>
      <c r="W2249" s="29">
        <f>IF(H2249="","",IF(H2249="Kenya","Yes","No"))</f>
        <v/>
      </c>
      <c r="X2249" s="29">
        <f>IF(B2249="","",IF(COUNTIF($B$5:$B$3004,B2249)&gt;1,"DUPLICATE","OK"))</f>
        <v/>
      </c>
      <c r="Y2249" s="29">
        <f>IF(OR(U2249="",V2249="",V2249="Excluded"),"",IF(COUNTIFS($U$5:$U$3004,U2249,$V$5:$V$3004,"&lt;&gt;"&amp;V2249,$V$5:$V$3004,"&lt;&gt;",$V$5:$V$3004,"&lt;&gt;Excluded")&gt;0,"LEAK RISK","OK"))</f>
        <v/>
      </c>
      <c r="Z2249" s="30" t="n"/>
    </row>
    <row r="2250">
      <c r="A2250" s="30" t="n"/>
      <c r="B2250" s="30" t="n"/>
      <c r="C2250" s="30" t="n"/>
      <c r="D2250" s="30" t="n"/>
      <c r="E2250" s="30" t="n"/>
      <c r="F2250" s="30" t="n"/>
      <c r="G2250" s="30" t="n"/>
      <c r="H2250" s="30" t="n"/>
      <c r="I2250" s="31" t="n"/>
      <c r="J2250" s="30" t="n"/>
      <c r="K2250" s="30" t="n"/>
      <c r="L2250" s="30" t="n"/>
      <c r="M2250" s="30" t="n"/>
      <c r="N2250" s="32" t="n"/>
      <c r="O2250" s="30" t="n"/>
      <c r="P2250" s="32" t="n"/>
      <c r="Q2250" s="30" t="n"/>
      <c r="R2250" s="32" t="n"/>
      <c r="S2250" s="30" t="n"/>
      <c r="T2250" s="30" t="n"/>
      <c r="U2250" s="30" t="n"/>
      <c r="V2250" s="30" t="n"/>
      <c r="W2250" s="29">
        <f>IF(H2250="","",IF(H2250="Kenya","Yes","No"))</f>
        <v/>
      </c>
      <c r="X2250" s="29">
        <f>IF(B2250="","",IF(COUNTIF($B$5:$B$3004,B2250)&gt;1,"DUPLICATE","OK"))</f>
        <v/>
      </c>
      <c r="Y2250" s="29">
        <f>IF(OR(U2250="",V2250="",V2250="Excluded"),"",IF(COUNTIFS($U$5:$U$3004,U2250,$V$5:$V$3004,"&lt;&gt;"&amp;V2250,$V$5:$V$3004,"&lt;&gt;",$V$5:$V$3004,"&lt;&gt;Excluded")&gt;0,"LEAK RISK","OK"))</f>
        <v/>
      </c>
      <c r="Z2250" s="30" t="n"/>
    </row>
    <row r="2251">
      <c r="A2251" s="30" t="n"/>
      <c r="B2251" s="30" t="n"/>
      <c r="C2251" s="30" t="n"/>
      <c r="D2251" s="30" t="n"/>
      <c r="E2251" s="30" t="n"/>
      <c r="F2251" s="30" t="n"/>
      <c r="G2251" s="30" t="n"/>
      <c r="H2251" s="30" t="n"/>
      <c r="I2251" s="31" t="n"/>
      <c r="J2251" s="30" t="n"/>
      <c r="K2251" s="30" t="n"/>
      <c r="L2251" s="30" t="n"/>
      <c r="M2251" s="30" t="n"/>
      <c r="N2251" s="32" t="n"/>
      <c r="O2251" s="30" t="n"/>
      <c r="P2251" s="32" t="n"/>
      <c r="Q2251" s="30" t="n"/>
      <c r="R2251" s="32" t="n"/>
      <c r="S2251" s="30" t="n"/>
      <c r="T2251" s="30" t="n"/>
      <c r="U2251" s="30" t="n"/>
      <c r="V2251" s="30" t="n"/>
      <c r="W2251" s="29">
        <f>IF(H2251="","",IF(H2251="Kenya","Yes","No"))</f>
        <v/>
      </c>
      <c r="X2251" s="29">
        <f>IF(B2251="","",IF(COUNTIF($B$5:$B$3004,B2251)&gt;1,"DUPLICATE","OK"))</f>
        <v/>
      </c>
      <c r="Y2251" s="29">
        <f>IF(OR(U2251="",V2251="",V2251="Excluded"),"",IF(COUNTIFS($U$5:$U$3004,U2251,$V$5:$V$3004,"&lt;&gt;"&amp;V2251,$V$5:$V$3004,"&lt;&gt;",$V$5:$V$3004,"&lt;&gt;Excluded")&gt;0,"LEAK RISK","OK"))</f>
        <v/>
      </c>
      <c r="Z2251" s="30" t="n"/>
    </row>
    <row r="2252">
      <c r="A2252" s="30" t="n"/>
      <c r="B2252" s="30" t="n"/>
      <c r="C2252" s="30" t="n"/>
      <c r="D2252" s="30" t="n"/>
      <c r="E2252" s="30" t="n"/>
      <c r="F2252" s="30" t="n"/>
      <c r="G2252" s="30" t="n"/>
      <c r="H2252" s="30" t="n"/>
      <c r="I2252" s="31" t="n"/>
      <c r="J2252" s="30" t="n"/>
      <c r="K2252" s="30" t="n"/>
      <c r="L2252" s="30" t="n"/>
      <c r="M2252" s="30" t="n"/>
      <c r="N2252" s="32" t="n"/>
      <c r="O2252" s="30" t="n"/>
      <c r="P2252" s="32" t="n"/>
      <c r="Q2252" s="30" t="n"/>
      <c r="R2252" s="32" t="n"/>
      <c r="S2252" s="30" t="n"/>
      <c r="T2252" s="30" t="n"/>
      <c r="U2252" s="30" t="n"/>
      <c r="V2252" s="30" t="n"/>
      <c r="W2252" s="29">
        <f>IF(H2252="","",IF(H2252="Kenya","Yes","No"))</f>
        <v/>
      </c>
      <c r="X2252" s="29">
        <f>IF(B2252="","",IF(COUNTIF($B$5:$B$3004,B2252)&gt;1,"DUPLICATE","OK"))</f>
        <v/>
      </c>
      <c r="Y2252" s="29">
        <f>IF(OR(U2252="",V2252="",V2252="Excluded"),"",IF(COUNTIFS($U$5:$U$3004,U2252,$V$5:$V$3004,"&lt;&gt;"&amp;V2252,$V$5:$V$3004,"&lt;&gt;",$V$5:$V$3004,"&lt;&gt;Excluded")&gt;0,"LEAK RISK","OK"))</f>
        <v/>
      </c>
      <c r="Z2252" s="30" t="n"/>
    </row>
    <row r="2253">
      <c r="A2253" s="30" t="n"/>
      <c r="B2253" s="30" t="n"/>
      <c r="C2253" s="30" t="n"/>
      <c r="D2253" s="30" t="n"/>
      <c r="E2253" s="30" t="n"/>
      <c r="F2253" s="30" t="n"/>
      <c r="G2253" s="30" t="n"/>
      <c r="H2253" s="30" t="n"/>
      <c r="I2253" s="31" t="n"/>
      <c r="J2253" s="30" t="n"/>
      <c r="K2253" s="30" t="n"/>
      <c r="L2253" s="30" t="n"/>
      <c r="M2253" s="30" t="n"/>
      <c r="N2253" s="32" t="n"/>
      <c r="O2253" s="30" t="n"/>
      <c r="P2253" s="32" t="n"/>
      <c r="Q2253" s="30" t="n"/>
      <c r="R2253" s="32" t="n"/>
      <c r="S2253" s="30" t="n"/>
      <c r="T2253" s="30" t="n"/>
      <c r="U2253" s="30" t="n"/>
      <c r="V2253" s="30" t="n"/>
      <c r="W2253" s="29">
        <f>IF(H2253="","",IF(H2253="Kenya","Yes","No"))</f>
        <v/>
      </c>
      <c r="X2253" s="29">
        <f>IF(B2253="","",IF(COUNTIF($B$5:$B$3004,B2253)&gt;1,"DUPLICATE","OK"))</f>
        <v/>
      </c>
      <c r="Y2253" s="29">
        <f>IF(OR(U2253="",V2253="",V2253="Excluded"),"",IF(COUNTIFS($U$5:$U$3004,U2253,$V$5:$V$3004,"&lt;&gt;"&amp;V2253,$V$5:$V$3004,"&lt;&gt;",$V$5:$V$3004,"&lt;&gt;Excluded")&gt;0,"LEAK RISK","OK"))</f>
        <v/>
      </c>
      <c r="Z2253" s="30" t="n"/>
    </row>
    <row r="2254">
      <c r="A2254" s="30" t="n"/>
      <c r="B2254" s="30" t="n"/>
      <c r="C2254" s="30" t="n"/>
      <c r="D2254" s="30" t="n"/>
      <c r="E2254" s="30" t="n"/>
      <c r="F2254" s="30" t="n"/>
      <c r="G2254" s="30" t="n"/>
      <c r="H2254" s="30" t="n"/>
      <c r="I2254" s="31" t="n"/>
      <c r="J2254" s="30" t="n"/>
      <c r="K2254" s="30" t="n"/>
      <c r="L2254" s="30" t="n"/>
      <c r="M2254" s="30" t="n"/>
      <c r="N2254" s="32" t="n"/>
      <c r="O2254" s="30" t="n"/>
      <c r="P2254" s="32" t="n"/>
      <c r="Q2254" s="30" t="n"/>
      <c r="R2254" s="32" t="n"/>
      <c r="S2254" s="30" t="n"/>
      <c r="T2254" s="30" t="n"/>
      <c r="U2254" s="30" t="n"/>
      <c r="V2254" s="30" t="n"/>
      <c r="W2254" s="29">
        <f>IF(H2254="","",IF(H2254="Kenya","Yes","No"))</f>
        <v/>
      </c>
      <c r="X2254" s="29">
        <f>IF(B2254="","",IF(COUNTIF($B$5:$B$3004,B2254)&gt;1,"DUPLICATE","OK"))</f>
        <v/>
      </c>
      <c r="Y2254" s="29">
        <f>IF(OR(U2254="",V2254="",V2254="Excluded"),"",IF(COUNTIFS($U$5:$U$3004,U2254,$V$5:$V$3004,"&lt;&gt;"&amp;V2254,$V$5:$V$3004,"&lt;&gt;",$V$5:$V$3004,"&lt;&gt;Excluded")&gt;0,"LEAK RISK","OK"))</f>
        <v/>
      </c>
      <c r="Z2254" s="30" t="n"/>
    </row>
    <row r="2255">
      <c r="A2255" s="30" t="n"/>
      <c r="B2255" s="30" t="n"/>
      <c r="C2255" s="30" t="n"/>
      <c r="D2255" s="30" t="n"/>
      <c r="E2255" s="30" t="n"/>
      <c r="F2255" s="30" t="n"/>
      <c r="G2255" s="30" t="n"/>
      <c r="H2255" s="30" t="n"/>
      <c r="I2255" s="31" t="n"/>
      <c r="J2255" s="30" t="n"/>
      <c r="K2255" s="30" t="n"/>
      <c r="L2255" s="30" t="n"/>
      <c r="M2255" s="30" t="n"/>
      <c r="N2255" s="32" t="n"/>
      <c r="O2255" s="30" t="n"/>
      <c r="P2255" s="32" t="n"/>
      <c r="Q2255" s="30" t="n"/>
      <c r="R2255" s="32" t="n"/>
      <c r="S2255" s="30" t="n"/>
      <c r="T2255" s="30" t="n"/>
      <c r="U2255" s="30" t="n"/>
      <c r="V2255" s="30" t="n"/>
      <c r="W2255" s="29">
        <f>IF(H2255="","",IF(H2255="Kenya","Yes","No"))</f>
        <v/>
      </c>
      <c r="X2255" s="29">
        <f>IF(B2255="","",IF(COUNTIF($B$5:$B$3004,B2255)&gt;1,"DUPLICATE","OK"))</f>
        <v/>
      </c>
      <c r="Y2255" s="29">
        <f>IF(OR(U2255="",V2255="",V2255="Excluded"),"",IF(COUNTIFS($U$5:$U$3004,U2255,$V$5:$V$3004,"&lt;&gt;"&amp;V2255,$V$5:$V$3004,"&lt;&gt;",$V$5:$V$3004,"&lt;&gt;Excluded")&gt;0,"LEAK RISK","OK"))</f>
        <v/>
      </c>
      <c r="Z2255" s="30" t="n"/>
    </row>
    <row r="2256">
      <c r="A2256" s="30" t="n"/>
      <c r="B2256" s="30" t="n"/>
      <c r="C2256" s="30" t="n"/>
      <c r="D2256" s="30" t="n"/>
      <c r="E2256" s="30" t="n"/>
      <c r="F2256" s="30" t="n"/>
      <c r="G2256" s="30" t="n"/>
      <c r="H2256" s="30" t="n"/>
      <c r="I2256" s="31" t="n"/>
      <c r="J2256" s="30" t="n"/>
      <c r="K2256" s="30" t="n"/>
      <c r="L2256" s="30" t="n"/>
      <c r="M2256" s="30" t="n"/>
      <c r="N2256" s="32" t="n"/>
      <c r="O2256" s="30" t="n"/>
      <c r="P2256" s="32" t="n"/>
      <c r="Q2256" s="30" t="n"/>
      <c r="R2256" s="32" t="n"/>
      <c r="S2256" s="30" t="n"/>
      <c r="T2256" s="30" t="n"/>
      <c r="U2256" s="30" t="n"/>
      <c r="V2256" s="30" t="n"/>
      <c r="W2256" s="29">
        <f>IF(H2256="","",IF(H2256="Kenya","Yes","No"))</f>
        <v/>
      </c>
      <c r="X2256" s="29">
        <f>IF(B2256="","",IF(COUNTIF($B$5:$B$3004,B2256)&gt;1,"DUPLICATE","OK"))</f>
        <v/>
      </c>
      <c r="Y2256" s="29">
        <f>IF(OR(U2256="",V2256="",V2256="Excluded"),"",IF(COUNTIFS($U$5:$U$3004,U2256,$V$5:$V$3004,"&lt;&gt;"&amp;V2256,$V$5:$V$3004,"&lt;&gt;",$V$5:$V$3004,"&lt;&gt;Excluded")&gt;0,"LEAK RISK","OK"))</f>
        <v/>
      </c>
      <c r="Z2256" s="30" t="n"/>
    </row>
    <row r="2257">
      <c r="A2257" s="30" t="n"/>
      <c r="B2257" s="30" t="n"/>
      <c r="C2257" s="30" t="n"/>
      <c r="D2257" s="30" t="n"/>
      <c r="E2257" s="30" t="n"/>
      <c r="F2257" s="30" t="n"/>
      <c r="G2257" s="30" t="n"/>
      <c r="H2257" s="30" t="n"/>
      <c r="I2257" s="31" t="n"/>
      <c r="J2257" s="30" t="n"/>
      <c r="K2257" s="30" t="n"/>
      <c r="L2257" s="30" t="n"/>
      <c r="M2257" s="30" t="n"/>
      <c r="N2257" s="32" t="n"/>
      <c r="O2257" s="30" t="n"/>
      <c r="P2257" s="32" t="n"/>
      <c r="Q2257" s="30" t="n"/>
      <c r="R2257" s="32" t="n"/>
      <c r="S2257" s="30" t="n"/>
      <c r="T2257" s="30" t="n"/>
      <c r="U2257" s="30" t="n"/>
      <c r="V2257" s="30" t="n"/>
      <c r="W2257" s="29">
        <f>IF(H2257="","",IF(H2257="Kenya","Yes","No"))</f>
        <v/>
      </c>
      <c r="X2257" s="29">
        <f>IF(B2257="","",IF(COUNTIF($B$5:$B$3004,B2257)&gt;1,"DUPLICATE","OK"))</f>
        <v/>
      </c>
      <c r="Y2257" s="29">
        <f>IF(OR(U2257="",V2257="",V2257="Excluded"),"",IF(COUNTIFS($U$5:$U$3004,U2257,$V$5:$V$3004,"&lt;&gt;"&amp;V2257,$V$5:$V$3004,"&lt;&gt;",$V$5:$V$3004,"&lt;&gt;Excluded")&gt;0,"LEAK RISK","OK"))</f>
        <v/>
      </c>
      <c r="Z2257" s="30" t="n"/>
    </row>
    <row r="2258">
      <c r="A2258" s="30" t="n"/>
      <c r="B2258" s="30" t="n"/>
      <c r="C2258" s="30" t="n"/>
      <c r="D2258" s="30" t="n"/>
      <c r="E2258" s="30" t="n"/>
      <c r="F2258" s="30" t="n"/>
      <c r="G2258" s="30" t="n"/>
      <c r="H2258" s="30" t="n"/>
      <c r="I2258" s="31" t="n"/>
      <c r="J2258" s="30" t="n"/>
      <c r="K2258" s="30" t="n"/>
      <c r="L2258" s="30" t="n"/>
      <c r="M2258" s="30" t="n"/>
      <c r="N2258" s="32" t="n"/>
      <c r="O2258" s="30" t="n"/>
      <c r="P2258" s="32" t="n"/>
      <c r="Q2258" s="30" t="n"/>
      <c r="R2258" s="32" t="n"/>
      <c r="S2258" s="30" t="n"/>
      <c r="T2258" s="30" t="n"/>
      <c r="U2258" s="30" t="n"/>
      <c r="V2258" s="30" t="n"/>
      <c r="W2258" s="29">
        <f>IF(H2258="","",IF(H2258="Kenya","Yes","No"))</f>
        <v/>
      </c>
      <c r="X2258" s="29">
        <f>IF(B2258="","",IF(COUNTIF($B$5:$B$3004,B2258)&gt;1,"DUPLICATE","OK"))</f>
        <v/>
      </c>
      <c r="Y2258" s="29">
        <f>IF(OR(U2258="",V2258="",V2258="Excluded"),"",IF(COUNTIFS($U$5:$U$3004,U2258,$V$5:$V$3004,"&lt;&gt;"&amp;V2258,$V$5:$V$3004,"&lt;&gt;",$V$5:$V$3004,"&lt;&gt;Excluded")&gt;0,"LEAK RISK","OK"))</f>
        <v/>
      </c>
      <c r="Z2258" s="30" t="n"/>
    </row>
    <row r="2259">
      <c r="A2259" s="30" t="n"/>
      <c r="B2259" s="30" t="n"/>
      <c r="C2259" s="30" t="n"/>
      <c r="D2259" s="30" t="n"/>
      <c r="E2259" s="30" t="n"/>
      <c r="F2259" s="30" t="n"/>
      <c r="G2259" s="30" t="n"/>
      <c r="H2259" s="30" t="n"/>
      <c r="I2259" s="31" t="n"/>
      <c r="J2259" s="30" t="n"/>
      <c r="K2259" s="30" t="n"/>
      <c r="L2259" s="30" t="n"/>
      <c r="M2259" s="30" t="n"/>
      <c r="N2259" s="32" t="n"/>
      <c r="O2259" s="30" t="n"/>
      <c r="P2259" s="32" t="n"/>
      <c r="Q2259" s="30" t="n"/>
      <c r="R2259" s="32" t="n"/>
      <c r="S2259" s="30" t="n"/>
      <c r="T2259" s="30" t="n"/>
      <c r="U2259" s="30" t="n"/>
      <c r="V2259" s="30" t="n"/>
      <c r="W2259" s="29">
        <f>IF(H2259="","",IF(H2259="Kenya","Yes","No"))</f>
        <v/>
      </c>
      <c r="X2259" s="29">
        <f>IF(B2259="","",IF(COUNTIF($B$5:$B$3004,B2259)&gt;1,"DUPLICATE","OK"))</f>
        <v/>
      </c>
      <c r="Y2259" s="29">
        <f>IF(OR(U2259="",V2259="",V2259="Excluded"),"",IF(COUNTIFS($U$5:$U$3004,U2259,$V$5:$V$3004,"&lt;&gt;"&amp;V2259,$V$5:$V$3004,"&lt;&gt;",$V$5:$V$3004,"&lt;&gt;Excluded")&gt;0,"LEAK RISK","OK"))</f>
        <v/>
      </c>
      <c r="Z2259" s="30" t="n"/>
    </row>
    <row r="2260">
      <c r="A2260" s="30" t="n"/>
      <c r="B2260" s="30" t="n"/>
      <c r="C2260" s="30" t="n"/>
      <c r="D2260" s="30" t="n"/>
      <c r="E2260" s="30" t="n"/>
      <c r="F2260" s="30" t="n"/>
      <c r="G2260" s="30" t="n"/>
      <c r="H2260" s="30" t="n"/>
      <c r="I2260" s="31" t="n"/>
      <c r="J2260" s="30" t="n"/>
      <c r="K2260" s="30" t="n"/>
      <c r="L2260" s="30" t="n"/>
      <c r="M2260" s="30" t="n"/>
      <c r="N2260" s="32" t="n"/>
      <c r="O2260" s="30" t="n"/>
      <c r="P2260" s="32" t="n"/>
      <c r="Q2260" s="30" t="n"/>
      <c r="R2260" s="32" t="n"/>
      <c r="S2260" s="30" t="n"/>
      <c r="T2260" s="30" t="n"/>
      <c r="U2260" s="30" t="n"/>
      <c r="V2260" s="30" t="n"/>
      <c r="W2260" s="29">
        <f>IF(H2260="","",IF(H2260="Kenya","Yes","No"))</f>
        <v/>
      </c>
      <c r="X2260" s="29">
        <f>IF(B2260="","",IF(COUNTIF($B$5:$B$3004,B2260)&gt;1,"DUPLICATE","OK"))</f>
        <v/>
      </c>
      <c r="Y2260" s="29">
        <f>IF(OR(U2260="",V2260="",V2260="Excluded"),"",IF(COUNTIFS($U$5:$U$3004,U2260,$V$5:$V$3004,"&lt;&gt;"&amp;V2260,$V$5:$V$3004,"&lt;&gt;",$V$5:$V$3004,"&lt;&gt;Excluded")&gt;0,"LEAK RISK","OK"))</f>
        <v/>
      </c>
      <c r="Z2260" s="30" t="n"/>
    </row>
    <row r="2261">
      <c r="A2261" s="30" t="n"/>
      <c r="B2261" s="30" t="n"/>
      <c r="C2261" s="30" t="n"/>
      <c r="D2261" s="30" t="n"/>
      <c r="E2261" s="30" t="n"/>
      <c r="F2261" s="30" t="n"/>
      <c r="G2261" s="30" t="n"/>
      <c r="H2261" s="30" t="n"/>
      <c r="I2261" s="31" t="n"/>
      <c r="J2261" s="30" t="n"/>
      <c r="K2261" s="30" t="n"/>
      <c r="L2261" s="30" t="n"/>
      <c r="M2261" s="30" t="n"/>
      <c r="N2261" s="32" t="n"/>
      <c r="O2261" s="30" t="n"/>
      <c r="P2261" s="32" t="n"/>
      <c r="Q2261" s="30" t="n"/>
      <c r="R2261" s="32" t="n"/>
      <c r="S2261" s="30" t="n"/>
      <c r="T2261" s="30" t="n"/>
      <c r="U2261" s="30" t="n"/>
      <c r="V2261" s="30" t="n"/>
      <c r="W2261" s="29">
        <f>IF(H2261="","",IF(H2261="Kenya","Yes","No"))</f>
        <v/>
      </c>
      <c r="X2261" s="29">
        <f>IF(B2261="","",IF(COUNTIF($B$5:$B$3004,B2261)&gt;1,"DUPLICATE","OK"))</f>
        <v/>
      </c>
      <c r="Y2261" s="29">
        <f>IF(OR(U2261="",V2261="",V2261="Excluded"),"",IF(COUNTIFS($U$5:$U$3004,U2261,$V$5:$V$3004,"&lt;&gt;"&amp;V2261,$V$5:$V$3004,"&lt;&gt;",$V$5:$V$3004,"&lt;&gt;Excluded")&gt;0,"LEAK RISK","OK"))</f>
        <v/>
      </c>
      <c r="Z2261" s="30" t="n"/>
    </row>
    <row r="2262">
      <c r="A2262" s="30" t="n"/>
      <c r="B2262" s="30" t="n"/>
      <c r="C2262" s="30" t="n"/>
      <c r="D2262" s="30" t="n"/>
      <c r="E2262" s="30" t="n"/>
      <c r="F2262" s="30" t="n"/>
      <c r="G2262" s="30" t="n"/>
      <c r="H2262" s="30" t="n"/>
      <c r="I2262" s="31" t="n"/>
      <c r="J2262" s="30" t="n"/>
      <c r="K2262" s="30" t="n"/>
      <c r="L2262" s="30" t="n"/>
      <c r="M2262" s="30" t="n"/>
      <c r="N2262" s="32" t="n"/>
      <c r="O2262" s="30" t="n"/>
      <c r="P2262" s="32" t="n"/>
      <c r="Q2262" s="30" t="n"/>
      <c r="R2262" s="32" t="n"/>
      <c r="S2262" s="30" t="n"/>
      <c r="T2262" s="30" t="n"/>
      <c r="U2262" s="30" t="n"/>
      <c r="V2262" s="30" t="n"/>
      <c r="W2262" s="29">
        <f>IF(H2262="","",IF(H2262="Kenya","Yes","No"))</f>
        <v/>
      </c>
      <c r="X2262" s="29">
        <f>IF(B2262="","",IF(COUNTIF($B$5:$B$3004,B2262)&gt;1,"DUPLICATE","OK"))</f>
        <v/>
      </c>
      <c r="Y2262" s="29">
        <f>IF(OR(U2262="",V2262="",V2262="Excluded"),"",IF(COUNTIFS($U$5:$U$3004,U2262,$V$5:$V$3004,"&lt;&gt;"&amp;V2262,$V$5:$V$3004,"&lt;&gt;",$V$5:$V$3004,"&lt;&gt;Excluded")&gt;0,"LEAK RISK","OK"))</f>
        <v/>
      </c>
      <c r="Z2262" s="30" t="n"/>
    </row>
    <row r="2263">
      <c r="A2263" s="30" t="n"/>
      <c r="B2263" s="30" t="n"/>
      <c r="C2263" s="30" t="n"/>
      <c r="D2263" s="30" t="n"/>
      <c r="E2263" s="30" t="n"/>
      <c r="F2263" s="30" t="n"/>
      <c r="G2263" s="30" t="n"/>
      <c r="H2263" s="30" t="n"/>
      <c r="I2263" s="31" t="n"/>
      <c r="J2263" s="30" t="n"/>
      <c r="K2263" s="30" t="n"/>
      <c r="L2263" s="30" t="n"/>
      <c r="M2263" s="30" t="n"/>
      <c r="N2263" s="32" t="n"/>
      <c r="O2263" s="30" t="n"/>
      <c r="P2263" s="32" t="n"/>
      <c r="Q2263" s="30" t="n"/>
      <c r="R2263" s="32" t="n"/>
      <c r="S2263" s="30" t="n"/>
      <c r="T2263" s="30" t="n"/>
      <c r="U2263" s="30" t="n"/>
      <c r="V2263" s="30" t="n"/>
      <c r="W2263" s="29">
        <f>IF(H2263="","",IF(H2263="Kenya","Yes","No"))</f>
        <v/>
      </c>
      <c r="X2263" s="29">
        <f>IF(B2263="","",IF(COUNTIF($B$5:$B$3004,B2263)&gt;1,"DUPLICATE","OK"))</f>
        <v/>
      </c>
      <c r="Y2263" s="29">
        <f>IF(OR(U2263="",V2263="",V2263="Excluded"),"",IF(COUNTIFS($U$5:$U$3004,U2263,$V$5:$V$3004,"&lt;&gt;"&amp;V2263,$V$5:$V$3004,"&lt;&gt;",$V$5:$V$3004,"&lt;&gt;Excluded")&gt;0,"LEAK RISK","OK"))</f>
        <v/>
      </c>
      <c r="Z2263" s="30" t="n"/>
    </row>
    <row r="2264">
      <c r="A2264" s="30" t="n"/>
      <c r="B2264" s="30" t="n"/>
      <c r="C2264" s="30" t="n"/>
      <c r="D2264" s="30" t="n"/>
      <c r="E2264" s="30" t="n"/>
      <c r="F2264" s="30" t="n"/>
      <c r="G2264" s="30" t="n"/>
      <c r="H2264" s="30" t="n"/>
      <c r="I2264" s="31" t="n"/>
      <c r="J2264" s="30" t="n"/>
      <c r="K2264" s="30" t="n"/>
      <c r="L2264" s="30" t="n"/>
      <c r="M2264" s="30" t="n"/>
      <c r="N2264" s="32" t="n"/>
      <c r="O2264" s="30" t="n"/>
      <c r="P2264" s="32" t="n"/>
      <c r="Q2264" s="30" t="n"/>
      <c r="R2264" s="32" t="n"/>
      <c r="S2264" s="30" t="n"/>
      <c r="T2264" s="30" t="n"/>
      <c r="U2264" s="30" t="n"/>
      <c r="V2264" s="30" t="n"/>
      <c r="W2264" s="29">
        <f>IF(H2264="","",IF(H2264="Kenya","Yes","No"))</f>
        <v/>
      </c>
      <c r="X2264" s="29">
        <f>IF(B2264="","",IF(COUNTIF($B$5:$B$3004,B2264)&gt;1,"DUPLICATE","OK"))</f>
        <v/>
      </c>
      <c r="Y2264" s="29">
        <f>IF(OR(U2264="",V2264="",V2264="Excluded"),"",IF(COUNTIFS($U$5:$U$3004,U2264,$V$5:$V$3004,"&lt;&gt;"&amp;V2264,$V$5:$V$3004,"&lt;&gt;",$V$5:$V$3004,"&lt;&gt;Excluded")&gt;0,"LEAK RISK","OK"))</f>
        <v/>
      </c>
      <c r="Z2264" s="30" t="n"/>
    </row>
    <row r="2265">
      <c r="A2265" s="30" t="n"/>
      <c r="B2265" s="30" t="n"/>
      <c r="C2265" s="30" t="n"/>
      <c r="D2265" s="30" t="n"/>
      <c r="E2265" s="30" t="n"/>
      <c r="F2265" s="30" t="n"/>
      <c r="G2265" s="30" t="n"/>
      <c r="H2265" s="30" t="n"/>
      <c r="I2265" s="31" t="n"/>
      <c r="J2265" s="30" t="n"/>
      <c r="K2265" s="30" t="n"/>
      <c r="L2265" s="30" t="n"/>
      <c r="M2265" s="30" t="n"/>
      <c r="N2265" s="32" t="n"/>
      <c r="O2265" s="30" t="n"/>
      <c r="P2265" s="32" t="n"/>
      <c r="Q2265" s="30" t="n"/>
      <c r="R2265" s="32" t="n"/>
      <c r="S2265" s="30" t="n"/>
      <c r="T2265" s="30" t="n"/>
      <c r="U2265" s="30" t="n"/>
      <c r="V2265" s="30" t="n"/>
      <c r="W2265" s="29">
        <f>IF(H2265="","",IF(H2265="Kenya","Yes","No"))</f>
        <v/>
      </c>
      <c r="X2265" s="29">
        <f>IF(B2265="","",IF(COUNTIF($B$5:$B$3004,B2265)&gt;1,"DUPLICATE","OK"))</f>
        <v/>
      </c>
      <c r="Y2265" s="29">
        <f>IF(OR(U2265="",V2265="",V2265="Excluded"),"",IF(COUNTIFS($U$5:$U$3004,U2265,$V$5:$V$3004,"&lt;&gt;"&amp;V2265,$V$5:$V$3004,"&lt;&gt;",$V$5:$V$3004,"&lt;&gt;Excluded")&gt;0,"LEAK RISK","OK"))</f>
        <v/>
      </c>
      <c r="Z2265" s="30" t="n"/>
    </row>
    <row r="2266">
      <c r="A2266" s="30" t="n"/>
      <c r="B2266" s="30" t="n"/>
      <c r="C2266" s="30" t="n"/>
      <c r="D2266" s="30" t="n"/>
      <c r="E2266" s="30" t="n"/>
      <c r="F2266" s="30" t="n"/>
      <c r="G2266" s="30" t="n"/>
      <c r="H2266" s="30" t="n"/>
      <c r="I2266" s="31" t="n"/>
      <c r="J2266" s="30" t="n"/>
      <c r="K2266" s="30" t="n"/>
      <c r="L2266" s="30" t="n"/>
      <c r="M2266" s="30" t="n"/>
      <c r="N2266" s="32" t="n"/>
      <c r="O2266" s="30" t="n"/>
      <c r="P2266" s="32" t="n"/>
      <c r="Q2266" s="30" t="n"/>
      <c r="R2266" s="32" t="n"/>
      <c r="S2266" s="30" t="n"/>
      <c r="T2266" s="30" t="n"/>
      <c r="U2266" s="30" t="n"/>
      <c r="V2266" s="30" t="n"/>
      <c r="W2266" s="29">
        <f>IF(H2266="","",IF(H2266="Kenya","Yes","No"))</f>
        <v/>
      </c>
      <c r="X2266" s="29">
        <f>IF(B2266="","",IF(COUNTIF($B$5:$B$3004,B2266)&gt;1,"DUPLICATE","OK"))</f>
        <v/>
      </c>
      <c r="Y2266" s="29">
        <f>IF(OR(U2266="",V2266="",V2266="Excluded"),"",IF(COUNTIFS($U$5:$U$3004,U2266,$V$5:$V$3004,"&lt;&gt;"&amp;V2266,$V$5:$V$3004,"&lt;&gt;",$V$5:$V$3004,"&lt;&gt;Excluded")&gt;0,"LEAK RISK","OK"))</f>
        <v/>
      </c>
      <c r="Z2266" s="30" t="n"/>
    </row>
    <row r="2267">
      <c r="A2267" s="30" t="n"/>
      <c r="B2267" s="30" t="n"/>
      <c r="C2267" s="30" t="n"/>
      <c r="D2267" s="30" t="n"/>
      <c r="E2267" s="30" t="n"/>
      <c r="F2267" s="30" t="n"/>
      <c r="G2267" s="30" t="n"/>
      <c r="H2267" s="30" t="n"/>
      <c r="I2267" s="31" t="n"/>
      <c r="J2267" s="30" t="n"/>
      <c r="K2267" s="30" t="n"/>
      <c r="L2267" s="30" t="n"/>
      <c r="M2267" s="30" t="n"/>
      <c r="N2267" s="32" t="n"/>
      <c r="O2267" s="30" t="n"/>
      <c r="P2267" s="32" t="n"/>
      <c r="Q2267" s="30" t="n"/>
      <c r="R2267" s="32" t="n"/>
      <c r="S2267" s="30" t="n"/>
      <c r="T2267" s="30" t="n"/>
      <c r="U2267" s="30" t="n"/>
      <c r="V2267" s="30" t="n"/>
      <c r="W2267" s="29">
        <f>IF(H2267="","",IF(H2267="Kenya","Yes","No"))</f>
        <v/>
      </c>
      <c r="X2267" s="29">
        <f>IF(B2267="","",IF(COUNTIF($B$5:$B$3004,B2267)&gt;1,"DUPLICATE","OK"))</f>
        <v/>
      </c>
      <c r="Y2267" s="29">
        <f>IF(OR(U2267="",V2267="",V2267="Excluded"),"",IF(COUNTIFS($U$5:$U$3004,U2267,$V$5:$V$3004,"&lt;&gt;"&amp;V2267,$V$5:$V$3004,"&lt;&gt;",$V$5:$V$3004,"&lt;&gt;Excluded")&gt;0,"LEAK RISK","OK"))</f>
        <v/>
      </c>
      <c r="Z2267" s="30" t="n"/>
    </row>
    <row r="2268">
      <c r="A2268" s="30" t="n"/>
      <c r="B2268" s="30" t="n"/>
      <c r="C2268" s="30" t="n"/>
      <c r="D2268" s="30" t="n"/>
      <c r="E2268" s="30" t="n"/>
      <c r="F2268" s="30" t="n"/>
      <c r="G2268" s="30" t="n"/>
      <c r="H2268" s="30" t="n"/>
      <c r="I2268" s="31" t="n"/>
      <c r="J2268" s="30" t="n"/>
      <c r="K2268" s="30" t="n"/>
      <c r="L2268" s="30" t="n"/>
      <c r="M2268" s="30" t="n"/>
      <c r="N2268" s="32" t="n"/>
      <c r="O2268" s="30" t="n"/>
      <c r="P2268" s="32" t="n"/>
      <c r="Q2268" s="30" t="n"/>
      <c r="R2268" s="32" t="n"/>
      <c r="S2268" s="30" t="n"/>
      <c r="T2268" s="30" t="n"/>
      <c r="U2268" s="30" t="n"/>
      <c r="V2268" s="30" t="n"/>
      <c r="W2268" s="29">
        <f>IF(H2268="","",IF(H2268="Kenya","Yes","No"))</f>
        <v/>
      </c>
      <c r="X2268" s="29">
        <f>IF(B2268="","",IF(COUNTIF($B$5:$B$3004,B2268)&gt;1,"DUPLICATE","OK"))</f>
        <v/>
      </c>
      <c r="Y2268" s="29">
        <f>IF(OR(U2268="",V2268="",V2268="Excluded"),"",IF(COUNTIFS($U$5:$U$3004,U2268,$V$5:$V$3004,"&lt;&gt;"&amp;V2268,$V$5:$V$3004,"&lt;&gt;",$V$5:$V$3004,"&lt;&gt;Excluded")&gt;0,"LEAK RISK","OK"))</f>
        <v/>
      </c>
      <c r="Z2268" s="30" t="n"/>
    </row>
    <row r="2269">
      <c r="A2269" s="30" t="n"/>
      <c r="B2269" s="30" t="n"/>
      <c r="C2269" s="30" t="n"/>
      <c r="D2269" s="30" t="n"/>
      <c r="E2269" s="30" t="n"/>
      <c r="F2269" s="30" t="n"/>
      <c r="G2269" s="30" t="n"/>
      <c r="H2269" s="30" t="n"/>
      <c r="I2269" s="31" t="n"/>
      <c r="J2269" s="30" t="n"/>
      <c r="K2269" s="30" t="n"/>
      <c r="L2269" s="30" t="n"/>
      <c r="M2269" s="30" t="n"/>
      <c r="N2269" s="32" t="n"/>
      <c r="O2269" s="30" t="n"/>
      <c r="P2269" s="32" t="n"/>
      <c r="Q2269" s="30" t="n"/>
      <c r="R2269" s="32" t="n"/>
      <c r="S2269" s="30" t="n"/>
      <c r="T2269" s="30" t="n"/>
      <c r="U2269" s="30" t="n"/>
      <c r="V2269" s="30" t="n"/>
      <c r="W2269" s="29">
        <f>IF(H2269="","",IF(H2269="Kenya","Yes","No"))</f>
        <v/>
      </c>
      <c r="X2269" s="29">
        <f>IF(B2269="","",IF(COUNTIF($B$5:$B$3004,B2269)&gt;1,"DUPLICATE","OK"))</f>
        <v/>
      </c>
      <c r="Y2269" s="29">
        <f>IF(OR(U2269="",V2269="",V2269="Excluded"),"",IF(COUNTIFS($U$5:$U$3004,U2269,$V$5:$V$3004,"&lt;&gt;"&amp;V2269,$V$5:$V$3004,"&lt;&gt;",$V$5:$V$3004,"&lt;&gt;Excluded")&gt;0,"LEAK RISK","OK"))</f>
        <v/>
      </c>
      <c r="Z2269" s="30" t="n"/>
    </row>
    <row r="2270">
      <c r="A2270" s="30" t="n"/>
      <c r="B2270" s="30" t="n"/>
      <c r="C2270" s="30" t="n"/>
      <c r="D2270" s="30" t="n"/>
      <c r="E2270" s="30" t="n"/>
      <c r="F2270" s="30" t="n"/>
      <c r="G2270" s="30" t="n"/>
      <c r="H2270" s="30" t="n"/>
      <c r="I2270" s="31" t="n"/>
      <c r="J2270" s="30" t="n"/>
      <c r="K2270" s="30" t="n"/>
      <c r="L2270" s="30" t="n"/>
      <c r="M2270" s="30" t="n"/>
      <c r="N2270" s="32" t="n"/>
      <c r="O2270" s="30" t="n"/>
      <c r="P2270" s="32" t="n"/>
      <c r="Q2270" s="30" t="n"/>
      <c r="R2270" s="32" t="n"/>
      <c r="S2270" s="30" t="n"/>
      <c r="T2270" s="30" t="n"/>
      <c r="U2270" s="30" t="n"/>
      <c r="V2270" s="30" t="n"/>
      <c r="W2270" s="29">
        <f>IF(H2270="","",IF(H2270="Kenya","Yes","No"))</f>
        <v/>
      </c>
      <c r="X2270" s="29">
        <f>IF(B2270="","",IF(COUNTIF($B$5:$B$3004,B2270)&gt;1,"DUPLICATE","OK"))</f>
        <v/>
      </c>
      <c r="Y2270" s="29">
        <f>IF(OR(U2270="",V2270="",V2270="Excluded"),"",IF(COUNTIFS($U$5:$U$3004,U2270,$V$5:$V$3004,"&lt;&gt;"&amp;V2270,$V$5:$V$3004,"&lt;&gt;",$V$5:$V$3004,"&lt;&gt;Excluded")&gt;0,"LEAK RISK","OK"))</f>
        <v/>
      </c>
      <c r="Z2270" s="30" t="n"/>
    </row>
    <row r="2271">
      <c r="A2271" s="30" t="n"/>
      <c r="B2271" s="30" t="n"/>
      <c r="C2271" s="30" t="n"/>
      <c r="D2271" s="30" t="n"/>
      <c r="E2271" s="30" t="n"/>
      <c r="F2271" s="30" t="n"/>
      <c r="G2271" s="30" t="n"/>
      <c r="H2271" s="30" t="n"/>
      <c r="I2271" s="31" t="n"/>
      <c r="J2271" s="30" t="n"/>
      <c r="K2271" s="30" t="n"/>
      <c r="L2271" s="30" t="n"/>
      <c r="M2271" s="30" t="n"/>
      <c r="N2271" s="32" t="n"/>
      <c r="O2271" s="30" t="n"/>
      <c r="P2271" s="32" t="n"/>
      <c r="Q2271" s="30" t="n"/>
      <c r="R2271" s="32" t="n"/>
      <c r="S2271" s="30" t="n"/>
      <c r="T2271" s="30" t="n"/>
      <c r="U2271" s="30" t="n"/>
      <c r="V2271" s="30" t="n"/>
      <c r="W2271" s="29">
        <f>IF(H2271="","",IF(H2271="Kenya","Yes","No"))</f>
        <v/>
      </c>
      <c r="X2271" s="29">
        <f>IF(B2271="","",IF(COUNTIF($B$5:$B$3004,B2271)&gt;1,"DUPLICATE","OK"))</f>
        <v/>
      </c>
      <c r="Y2271" s="29">
        <f>IF(OR(U2271="",V2271="",V2271="Excluded"),"",IF(COUNTIFS($U$5:$U$3004,U2271,$V$5:$V$3004,"&lt;&gt;"&amp;V2271,$V$5:$V$3004,"&lt;&gt;",$V$5:$V$3004,"&lt;&gt;Excluded")&gt;0,"LEAK RISK","OK"))</f>
        <v/>
      </c>
      <c r="Z2271" s="30" t="n"/>
    </row>
    <row r="2272">
      <c r="A2272" s="30" t="n"/>
      <c r="B2272" s="30" t="n"/>
      <c r="C2272" s="30" t="n"/>
      <c r="D2272" s="30" t="n"/>
      <c r="E2272" s="30" t="n"/>
      <c r="F2272" s="30" t="n"/>
      <c r="G2272" s="30" t="n"/>
      <c r="H2272" s="30" t="n"/>
      <c r="I2272" s="31" t="n"/>
      <c r="J2272" s="30" t="n"/>
      <c r="K2272" s="30" t="n"/>
      <c r="L2272" s="30" t="n"/>
      <c r="M2272" s="30" t="n"/>
      <c r="N2272" s="32" t="n"/>
      <c r="O2272" s="30" t="n"/>
      <c r="P2272" s="32" t="n"/>
      <c r="Q2272" s="30" t="n"/>
      <c r="R2272" s="32" t="n"/>
      <c r="S2272" s="30" t="n"/>
      <c r="T2272" s="30" t="n"/>
      <c r="U2272" s="30" t="n"/>
      <c r="V2272" s="30" t="n"/>
      <c r="W2272" s="29">
        <f>IF(H2272="","",IF(H2272="Kenya","Yes","No"))</f>
        <v/>
      </c>
      <c r="X2272" s="29">
        <f>IF(B2272="","",IF(COUNTIF($B$5:$B$3004,B2272)&gt;1,"DUPLICATE","OK"))</f>
        <v/>
      </c>
      <c r="Y2272" s="29">
        <f>IF(OR(U2272="",V2272="",V2272="Excluded"),"",IF(COUNTIFS($U$5:$U$3004,U2272,$V$5:$V$3004,"&lt;&gt;"&amp;V2272,$V$5:$V$3004,"&lt;&gt;",$V$5:$V$3004,"&lt;&gt;Excluded")&gt;0,"LEAK RISK","OK"))</f>
        <v/>
      </c>
      <c r="Z2272" s="30" t="n"/>
    </row>
    <row r="2273">
      <c r="A2273" s="30" t="n"/>
      <c r="B2273" s="30" t="n"/>
      <c r="C2273" s="30" t="n"/>
      <c r="D2273" s="30" t="n"/>
      <c r="E2273" s="30" t="n"/>
      <c r="F2273" s="30" t="n"/>
      <c r="G2273" s="30" t="n"/>
      <c r="H2273" s="30" t="n"/>
      <c r="I2273" s="31" t="n"/>
      <c r="J2273" s="30" t="n"/>
      <c r="K2273" s="30" t="n"/>
      <c r="L2273" s="30" t="n"/>
      <c r="M2273" s="30" t="n"/>
      <c r="N2273" s="32" t="n"/>
      <c r="O2273" s="30" t="n"/>
      <c r="P2273" s="32" t="n"/>
      <c r="Q2273" s="30" t="n"/>
      <c r="R2273" s="32" t="n"/>
      <c r="S2273" s="30" t="n"/>
      <c r="T2273" s="30" t="n"/>
      <c r="U2273" s="30" t="n"/>
      <c r="V2273" s="30" t="n"/>
      <c r="W2273" s="29">
        <f>IF(H2273="","",IF(H2273="Kenya","Yes","No"))</f>
        <v/>
      </c>
      <c r="X2273" s="29">
        <f>IF(B2273="","",IF(COUNTIF($B$5:$B$3004,B2273)&gt;1,"DUPLICATE","OK"))</f>
        <v/>
      </c>
      <c r="Y2273" s="29">
        <f>IF(OR(U2273="",V2273="",V2273="Excluded"),"",IF(COUNTIFS($U$5:$U$3004,U2273,$V$5:$V$3004,"&lt;&gt;"&amp;V2273,$V$5:$V$3004,"&lt;&gt;",$V$5:$V$3004,"&lt;&gt;Excluded")&gt;0,"LEAK RISK","OK"))</f>
        <v/>
      </c>
      <c r="Z2273" s="30" t="n"/>
    </row>
    <row r="2274">
      <c r="A2274" s="30" t="n"/>
      <c r="B2274" s="30" t="n"/>
      <c r="C2274" s="30" t="n"/>
      <c r="D2274" s="30" t="n"/>
      <c r="E2274" s="30" t="n"/>
      <c r="F2274" s="30" t="n"/>
      <c r="G2274" s="30" t="n"/>
      <c r="H2274" s="30" t="n"/>
      <c r="I2274" s="31" t="n"/>
      <c r="J2274" s="30" t="n"/>
      <c r="K2274" s="30" t="n"/>
      <c r="L2274" s="30" t="n"/>
      <c r="M2274" s="30" t="n"/>
      <c r="N2274" s="32" t="n"/>
      <c r="O2274" s="30" t="n"/>
      <c r="P2274" s="32" t="n"/>
      <c r="Q2274" s="30" t="n"/>
      <c r="R2274" s="32" t="n"/>
      <c r="S2274" s="30" t="n"/>
      <c r="T2274" s="30" t="n"/>
      <c r="U2274" s="30" t="n"/>
      <c r="V2274" s="30" t="n"/>
      <c r="W2274" s="29">
        <f>IF(H2274="","",IF(H2274="Kenya","Yes","No"))</f>
        <v/>
      </c>
      <c r="X2274" s="29">
        <f>IF(B2274="","",IF(COUNTIF($B$5:$B$3004,B2274)&gt;1,"DUPLICATE","OK"))</f>
        <v/>
      </c>
      <c r="Y2274" s="29">
        <f>IF(OR(U2274="",V2274="",V2274="Excluded"),"",IF(COUNTIFS($U$5:$U$3004,U2274,$V$5:$V$3004,"&lt;&gt;"&amp;V2274,$V$5:$V$3004,"&lt;&gt;",$V$5:$V$3004,"&lt;&gt;Excluded")&gt;0,"LEAK RISK","OK"))</f>
        <v/>
      </c>
      <c r="Z2274" s="30" t="n"/>
    </row>
    <row r="2275">
      <c r="A2275" s="30" t="n"/>
      <c r="B2275" s="30" t="n"/>
      <c r="C2275" s="30" t="n"/>
      <c r="D2275" s="30" t="n"/>
      <c r="E2275" s="30" t="n"/>
      <c r="F2275" s="30" t="n"/>
      <c r="G2275" s="30" t="n"/>
      <c r="H2275" s="30" t="n"/>
      <c r="I2275" s="31" t="n"/>
      <c r="J2275" s="30" t="n"/>
      <c r="K2275" s="30" t="n"/>
      <c r="L2275" s="30" t="n"/>
      <c r="M2275" s="30" t="n"/>
      <c r="N2275" s="32" t="n"/>
      <c r="O2275" s="30" t="n"/>
      <c r="P2275" s="32" t="n"/>
      <c r="Q2275" s="30" t="n"/>
      <c r="R2275" s="32" t="n"/>
      <c r="S2275" s="30" t="n"/>
      <c r="T2275" s="30" t="n"/>
      <c r="U2275" s="30" t="n"/>
      <c r="V2275" s="30" t="n"/>
      <c r="W2275" s="29">
        <f>IF(H2275="","",IF(H2275="Kenya","Yes","No"))</f>
        <v/>
      </c>
      <c r="X2275" s="29">
        <f>IF(B2275="","",IF(COUNTIF($B$5:$B$3004,B2275)&gt;1,"DUPLICATE","OK"))</f>
        <v/>
      </c>
      <c r="Y2275" s="29">
        <f>IF(OR(U2275="",V2275="",V2275="Excluded"),"",IF(COUNTIFS($U$5:$U$3004,U2275,$V$5:$V$3004,"&lt;&gt;"&amp;V2275,$V$5:$V$3004,"&lt;&gt;",$V$5:$V$3004,"&lt;&gt;Excluded")&gt;0,"LEAK RISK","OK"))</f>
        <v/>
      </c>
      <c r="Z2275" s="30" t="n"/>
    </row>
    <row r="2276">
      <c r="A2276" s="30" t="n"/>
      <c r="B2276" s="30" t="n"/>
      <c r="C2276" s="30" t="n"/>
      <c r="D2276" s="30" t="n"/>
      <c r="E2276" s="30" t="n"/>
      <c r="F2276" s="30" t="n"/>
      <c r="G2276" s="30" t="n"/>
      <c r="H2276" s="30" t="n"/>
      <c r="I2276" s="31" t="n"/>
      <c r="J2276" s="30" t="n"/>
      <c r="K2276" s="30" t="n"/>
      <c r="L2276" s="30" t="n"/>
      <c r="M2276" s="30" t="n"/>
      <c r="N2276" s="32" t="n"/>
      <c r="O2276" s="30" t="n"/>
      <c r="P2276" s="32" t="n"/>
      <c r="Q2276" s="30" t="n"/>
      <c r="R2276" s="32" t="n"/>
      <c r="S2276" s="30" t="n"/>
      <c r="T2276" s="30" t="n"/>
      <c r="U2276" s="30" t="n"/>
      <c r="V2276" s="30" t="n"/>
      <c r="W2276" s="29">
        <f>IF(H2276="","",IF(H2276="Kenya","Yes","No"))</f>
        <v/>
      </c>
      <c r="X2276" s="29">
        <f>IF(B2276="","",IF(COUNTIF($B$5:$B$3004,B2276)&gt;1,"DUPLICATE","OK"))</f>
        <v/>
      </c>
      <c r="Y2276" s="29">
        <f>IF(OR(U2276="",V2276="",V2276="Excluded"),"",IF(COUNTIFS($U$5:$U$3004,U2276,$V$5:$V$3004,"&lt;&gt;"&amp;V2276,$V$5:$V$3004,"&lt;&gt;",$V$5:$V$3004,"&lt;&gt;Excluded")&gt;0,"LEAK RISK","OK"))</f>
        <v/>
      </c>
      <c r="Z2276" s="30" t="n"/>
    </row>
    <row r="2277">
      <c r="A2277" s="30" t="n"/>
      <c r="B2277" s="30" t="n"/>
      <c r="C2277" s="30" t="n"/>
      <c r="D2277" s="30" t="n"/>
      <c r="E2277" s="30" t="n"/>
      <c r="F2277" s="30" t="n"/>
      <c r="G2277" s="30" t="n"/>
      <c r="H2277" s="30" t="n"/>
      <c r="I2277" s="31" t="n"/>
      <c r="J2277" s="30" t="n"/>
      <c r="K2277" s="30" t="n"/>
      <c r="L2277" s="30" t="n"/>
      <c r="M2277" s="30" t="n"/>
      <c r="N2277" s="32" t="n"/>
      <c r="O2277" s="30" t="n"/>
      <c r="P2277" s="32" t="n"/>
      <c r="Q2277" s="30" t="n"/>
      <c r="R2277" s="32" t="n"/>
      <c r="S2277" s="30" t="n"/>
      <c r="T2277" s="30" t="n"/>
      <c r="U2277" s="30" t="n"/>
      <c r="V2277" s="30" t="n"/>
      <c r="W2277" s="29">
        <f>IF(H2277="","",IF(H2277="Kenya","Yes","No"))</f>
        <v/>
      </c>
      <c r="X2277" s="29">
        <f>IF(B2277="","",IF(COUNTIF($B$5:$B$3004,B2277)&gt;1,"DUPLICATE","OK"))</f>
        <v/>
      </c>
      <c r="Y2277" s="29">
        <f>IF(OR(U2277="",V2277="",V2277="Excluded"),"",IF(COUNTIFS($U$5:$U$3004,U2277,$V$5:$V$3004,"&lt;&gt;"&amp;V2277,$V$5:$V$3004,"&lt;&gt;",$V$5:$V$3004,"&lt;&gt;Excluded")&gt;0,"LEAK RISK","OK"))</f>
        <v/>
      </c>
      <c r="Z2277" s="30" t="n"/>
    </row>
    <row r="2278">
      <c r="A2278" s="30" t="n"/>
      <c r="B2278" s="30" t="n"/>
      <c r="C2278" s="30" t="n"/>
      <c r="D2278" s="30" t="n"/>
      <c r="E2278" s="30" t="n"/>
      <c r="F2278" s="30" t="n"/>
      <c r="G2278" s="30" t="n"/>
      <c r="H2278" s="30" t="n"/>
      <c r="I2278" s="31" t="n"/>
      <c r="J2278" s="30" t="n"/>
      <c r="K2278" s="30" t="n"/>
      <c r="L2278" s="30" t="n"/>
      <c r="M2278" s="30" t="n"/>
      <c r="N2278" s="32" t="n"/>
      <c r="O2278" s="30" t="n"/>
      <c r="P2278" s="32" t="n"/>
      <c r="Q2278" s="30" t="n"/>
      <c r="R2278" s="32" t="n"/>
      <c r="S2278" s="30" t="n"/>
      <c r="T2278" s="30" t="n"/>
      <c r="U2278" s="30" t="n"/>
      <c r="V2278" s="30" t="n"/>
      <c r="W2278" s="29">
        <f>IF(H2278="","",IF(H2278="Kenya","Yes","No"))</f>
        <v/>
      </c>
      <c r="X2278" s="29">
        <f>IF(B2278="","",IF(COUNTIF($B$5:$B$3004,B2278)&gt;1,"DUPLICATE","OK"))</f>
        <v/>
      </c>
      <c r="Y2278" s="29">
        <f>IF(OR(U2278="",V2278="",V2278="Excluded"),"",IF(COUNTIFS($U$5:$U$3004,U2278,$V$5:$V$3004,"&lt;&gt;"&amp;V2278,$V$5:$V$3004,"&lt;&gt;",$V$5:$V$3004,"&lt;&gt;Excluded")&gt;0,"LEAK RISK","OK"))</f>
        <v/>
      </c>
      <c r="Z2278" s="30" t="n"/>
    </row>
    <row r="2279">
      <c r="A2279" s="30" t="n"/>
      <c r="B2279" s="30" t="n"/>
      <c r="C2279" s="30" t="n"/>
      <c r="D2279" s="30" t="n"/>
      <c r="E2279" s="30" t="n"/>
      <c r="F2279" s="30" t="n"/>
      <c r="G2279" s="30" t="n"/>
      <c r="H2279" s="30" t="n"/>
      <c r="I2279" s="31" t="n"/>
      <c r="J2279" s="30" t="n"/>
      <c r="K2279" s="30" t="n"/>
      <c r="L2279" s="30" t="n"/>
      <c r="M2279" s="30" t="n"/>
      <c r="N2279" s="32" t="n"/>
      <c r="O2279" s="30" t="n"/>
      <c r="P2279" s="32" t="n"/>
      <c r="Q2279" s="30" t="n"/>
      <c r="R2279" s="32" t="n"/>
      <c r="S2279" s="30" t="n"/>
      <c r="T2279" s="30" t="n"/>
      <c r="U2279" s="30" t="n"/>
      <c r="V2279" s="30" t="n"/>
      <c r="W2279" s="29">
        <f>IF(H2279="","",IF(H2279="Kenya","Yes","No"))</f>
        <v/>
      </c>
      <c r="X2279" s="29">
        <f>IF(B2279="","",IF(COUNTIF($B$5:$B$3004,B2279)&gt;1,"DUPLICATE","OK"))</f>
        <v/>
      </c>
      <c r="Y2279" s="29">
        <f>IF(OR(U2279="",V2279="",V2279="Excluded"),"",IF(COUNTIFS($U$5:$U$3004,U2279,$V$5:$V$3004,"&lt;&gt;"&amp;V2279,$V$5:$V$3004,"&lt;&gt;",$V$5:$V$3004,"&lt;&gt;Excluded")&gt;0,"LEAK RISK","OK"))</f>
        <v/>
      </c>
      <c r="Z2279" s="30" t="n"/>
    </row>
    <row r="2280">
      <c r="A2280" s="30" t="n"/>
      <c r="B2280" s="30" t="n"/>
      <c r="C2280" s="30" t="n"/>
      <c r="D2280" s="30" t="n"/>
      <c r="E2280" s="30" t="n"/>
      <c r="F2280" s="30" t="n"/>
      <c r="G2280" s="30" t="n"/>
      <c r="H2280" s="30" t="n"/>
      <c r="I2280" s="31" t="n"/>
      <c r="J2280" s="30" t="n"/>
      <c r="K2280" s="30" t="n"/>
      <c r="L2280" s="30" t="n"/>
      <c r="M2280" s="30" t="n"/>
      <c r="N2280" s="32" t="n"/>
      <c r="O2280" s="30" t="n"/>
      <c r="P2280" s="32" t="n"/>
      <c r="Q2280" s="30" t="n"/>
      <c r="R2280" s="32" t="n"/>
      <c r="S2280" s="30" t="n"/>
      <c r="T2280" s="30" t="n"/>
      <c r="U2280" s="30" t="n"/>
      <c r="V2280" s="30" t="n"/>
      <c r="W2280" s="29">
        <f>IF(H2280="","",IF(H2280="Kenya","Yes","No"))</f>
        <v/>
      </c>
      <c r="X2280" s="29">
        <f>IF(B2280="","",IF(COUNTIF($B$5:$B$3004,B2280)&gt;1,"DUPLICATE","OK"))</f>
        <v/>
      </c>
      <c r="Y2280" s="29">
        <f>IF(OR(U2280="",V2280="",V2280="Excluded"),"",IF(COUNTIFS($U$5:$U$3004,U2280,$V$5:$V$3004,"&lt;&gt;"&amp;V2280,$V$5:$V$3004,"&lt;&gt;",$V$5:$V$3004,"&lt;&gt;Excluded")&gt;0,"LEAK RISK","OK"))</f>
        <v/>
      </c>
      <c r="Z2280" s="30" t="n"/>
    </row>
    <row r="2281">
      <c r="A2281" s="30" t="n"/>
      <c r="B2281" s="30" t="n"/>
      <c r="C2281" s="30" t="n"/>
      <c r="D2281" s="30" t="n"/>
      <c r="E2281" s="30" t="n"/>
      <c r="F2281" s="30" t="n"/>
      <c r="G2281" s="30" t="n"/>
      <c r="H2281" s="30" t="n"/>
      <c r="I2281" s="31" t="n"/>
      <c r="J2281" s="30" t="n"/>
      <c r="K2281" s="30" t="n"/>
      <c r="L2281" s="30" t="n"/>
      <c r="M2281" s="30" t="n"/>
      <c r="N2281" s="32" t="n"/>
      <c r="O2281" s="30" t="n"/>
      <c r="P2281" s="32" t="n"/>
      <c r="Q2281" s="30" t="n"/>
      <c r="R2281" s="32" t="n"/>
      <c r="S2281" s="30" t="n"/>
      <c r="T2281" s="30" t="n"/>
      <c r="U2281" s="30" t="n"/>
      <c r="V2281" s="30" t="n"/>
      <c r="W2281" s="29">
        <f>IF(H2281="","",IF(H2281="Kenya","Yes","No"))</f>
        <v/>
      </c>
      <c r="X2281" s="29">
        <f>IF(B2281="","",IF(COUNTIF($B$5:$B$3004,B2281)&gt;1,"DUPLICATE","OK"))</f>
        <v/>
      </c>
      <c r="Y2281" s="29">
        <f>IF(OR(U2281="",V2281="",V2281="Excluded"),"",IF(COUNTIFS($U$5:$U$3004,U2281,$V$5:$V$3004,"&lt;&gt;"&amp;V2281,$V$5:$V$3004,"&lt;&gt;",$V$5:$V$3004,"&lt;&gt;Excluded")&gt;0,"LEAK RISK","OK"))</f>
        <v/>
      </c>
      <c r="Z2281" s="30" t="n"/>
    </row>
    <row r="2282">
      <c r="A2282" s="30" t="n"/>
      <c r="B2282" s="30" t="n"/>
      <c r="C2282" s="30" t="n"/>
      <c r="D2282" s="30" t="n"/>
      <c r="E2282" s="30" t="n"/>
      <c r="F2282" s="30" t="n"/>
      <c r="G2282" s="30" t="n"/>
      <c r="H2282" s="30" t="n"/>
      <c r="I2282" s="31" t="n"/>
      <c r="J2282" s="30" t="n"/>
      <c r="K2282" s="30" t="n"/>
      <c r="L2282" s="30" t="n"/>
      <c r="M2282" s="30" t="n"/>
      <c r="N2282" s="32" t="n"/>
      <c r="O2282" s="30" t="n"/>
      <c r="P2282" s="32" t="n"/>
      <c r="Q2282" s="30" t="n"/>
      <c r="R2282" s="32" t="n"/>
      <c r="S2282" s="30" t="n"/>
      <c r="T2282" s="30" t="n"/>
      <c r="U2282" s="30" t="n"/>
      <c r="V2282" s="30" t="n"/>
      <c r="W2282" s="29">
        <f>IF(H2282="","",IF(H2282="Kenya","Yes","No"))</f>
        <v/>
      </c>
      <c r="X2282" s="29">
        <f>IF(B2282="","",IF(COUNTIF($B$5:$B$3004,B2282)&gt;1,"DUPLICATE","OK"))</f>
        <v/>
      </c>
      <c r="Y2282" s="29">
        <f>IF(OR(U2282="",V2282="",V2282="Excluded"),"",IF(COUNTIFS($U$5:$U$3004,U2282,$V$5:$V$3004,"&lt;&gt;"&amp;V2282,$V$5:$V$3004,"&lt;&gt;",$V$5:$V$3004,"&lt;&gt;Excluded")&gt;0,"LEAK RISK","OK"))</f>
        <v/>
      </c>
      <c r="Z2282" s="30" t="n"/>
    </row>
    <row r="2283">
      <c r="A2283" s="30" t="n"/>
      <c r="B2283" s="30" t="n"/>
      <c r="C2283" s="30" t="n"/>
      <c r="D2283" s="30" t="n"/>
      <c r="E2283" s="30" t="n"/>
      <c r="F2283" s="30" t="n"/>
      <c r="G2283" s="30" t="n"/>
      <c r="H2283" s="30" t="n"/>
      <c r="I2283" s="31" t="n"/>
      <c r="J2283" s="30" t="n"/>
      <c r="K2283" s="30" t="n"/>
      <c r="L2283" s="30" t="n"/>
      <c r="M2283" s="30" t="n"/>
      <c r="N2283" s="32" t="n"/>
      <c r="O2283" s="30" t="n"/>
      <c r="P2283" s="32" t="n"/>
      <c r="Q2283" s="30" t="n"/>
      <c r="R2283" s="32" t="n"/>
      <c r="S2283" s="30" t="n"/>
      <c r="T2283" s="30" t="n"/>
      <c r="U2283" s="30" t="n"/>
      <c r="V2283" s="30" t="n"/>
      <c r="W2283" s="29">
        <f>IF(H2283="","",IF(H2283="Kenya","Yes","No"))</f>
        <v/>
      </c>
      <c r="X2283" s="29">
        <f>IF(B2283="","",IF(COUNTIF($B$5:$B$3004,B2283)&gt;1,"DUPLICATE","OK"))</f>
        <v/>
      </c>
      <c r="Y2283" s="29">
        <f>IF(OR(U2283="",V2283="",V2283="Excluded"),"",IF(COUNTIFS($U$5:$U$3004,U2283,$V$5:$V$3004,"&lt;&gt;"&amp;V2283,$V$5:$V$3004,"&lt;&gt;",$V$5:$V$3004,"&lt;&gt;Excluded")&gt;0,"LEAK RISK","OK"))</f>
        <v/>
      </c>
      <c r="Z2283" s="30" t="n"/>
    </row>
    <row r="2284">
      <c r="A2284" s="30" t="n"/>
      <c r="B2284" s="30" t="n"/>
      <c r="C2284" s="30" t="n"/>
      <c r="D2284" s="30" t="n"/>
      <c r="E2284" s="30" t="n"/>
      <c r="F2284" s="30" t="n"/>
      <c r="G2284" s="30" t="n"/>
      <c r="H2284" s="30" t="n"/>
      <c r="I2284" s="31" t="n"/>
      <c r="J2284" s="30" t="n"/>
      <c r="K2284" s="30" t="n"/>
      <c r="L2284" s="30" t="n"/>
      <c r="M2284" s="30" t="n"/>
      <c r="N2284" s="32" t="n"/>
      <c r="O2284" s="30" t="n"/>
      <c r="P2284" s="32" t="n"/>
      <c r="Q2284" s="30" t="n"/>
      <c r="R2284" s="32" t="n"/>
      <c r="S2284" s="30" t="n"/>
      <c r="T2284" s="30" t="n"/>
      <c r="U2284" s="30" t="n"/>
      <c r="V2284" s="30" t="n"/>
      <c r="W2284" s="29">
        <f>IF(H2284="","",IF(H2284="Kenya","Yes","No"))</f>
        <v/>
      </c>
      <c r="X2284" s="29">
        <f>IF(B2284="","",IF(COUNTIF($B$5:$B$3004,B2284)&gt;1,"DUPLICATE","OK"))</f>
        <v/>
      </c>
      <c r="Y2284" s="29">
        <f>IF(OR(U2284="",V2284="",V2284="Excluded"),"",IF(COUNTIFS($U$5:$U$3004,U2284,$V$5:$V$3004,"&lt;&gt;"&amp;V2284,$V$5:$V$3004,"&lt;&gt;",$V$5:$V$3004,"&lt;&gt;Excluded")&gt;0,"LEAK RISK","OK"))</f>
        <v/>
      </c>
      <c r="Z2284" s="30" t="n"/>
    </row>
    <row r="2285">
      <c r="A2285" s="30" t="n"/>
      <c r="B2285" s="30" t="n"/>
      <c r="C2285" s="30" t="n"/>
      <c r="D2285" s="30" t="n"/>
      <c r="E2285" s="30" t="n"/>
      <c r="F2285" s="30" t="n"/>
      <c r="G2285" s="30" t="n"/>
      <c r="H2285" s="30" t="n"/>
      <c r="I2285" s="31" t="n"/>
      <c r="J2285" s="30" t="n"/>
      <c r="K2285" s="30" t="n"/>
      <c r="L2285" s="30" t="n"/>
      <c r="M2285" s="30" t="n"/>
      <c r="N2285" s="32" t="n"/>
      <c r="O2285" s="30" t="n"/>
      <c r="P2285" s="32" t="n"/>
      <c r="Q2285" s="30" t="n"/>
      <c r="R2285" s="32" t="n"/>
      <c r="S2285" s="30" t="n"/>
      <c r="T2285" s="30" t="n"/>
      <c r="U2285" s="30" t="n"/>
      <c r="V2285" s="30" t="n"/>
      <c r="W2285" s="29">
        <f>IF(H2285="","",IF(H2285="Kenya","Yes","No"))</f>
        <v/>
      </c>
      <c r="X2285" s="29">
        <f>IF(B2285="","",IF(COUNTIF($B$5:$B$3004,B2285)&gt;1,"DUPLICATE","OK"))</f>
        <v/>
      </c>
      <c r="Y2285" s="29">
        <f>IF(OR(U2285="",V2285="",V2285="Excluded"),"",IF(COUNTIFS($U$5:$U$3004,U2285,$V$5:$V$3004,"&lt;&gt;"&amp;V2285,$V$5:$V$3004,"&lt;&gt;",$V$5:$V$3004,"&lt;&gt;Excluded")&gt;0,"LEAK RISK","OK"))</f>
        <v/>
      </c>
      <c r="Z2285" s="30" t="n"/>
    </row>
    <row r="2286">
      <c r="A2286" s="30" t="n"/>
      <c r="B2286" s="30" t="n"/>
      <c r="C2286" s="30" t="n"/>
      <c r="D2286" s="30" t="n"/>
      <c r="E2286" s="30" t="n"/>
      <c r="F2286" s="30" t="n"/>
      <c r="G2286" s="30" t="n"/>
      <c r="H2286" s="30" t="n"/>
      <c r="I2286" s="31" t="n"/>
      <c r="J2286" s="30" t="n"/>
      <c r="K2286" s="30" t="n"/>
      <c r="L2286" s="30" t="n"/>
      <c r="M2286" s="30" t="n"/>
      <c r="N2286" s="32" t="n"/>
      <c r="O2286" s="30" t="n"/>
      <c r="P2286" s="32" t="n"/>
      <c r="Q2286" s="30" t="n"/>
      <c r="R2286" s="32" t="n"/>
      <c r="S2286" s="30" t="n"/>
      <c r="T2286" s="30" t="n"/>
      <c r="U2286" s="30" t="n"/>
      <c r="V2286" s="30" t="n"/>
      <c r="W2286" s="29">
        <f>IF(H2286="","",IF(H2286="Kenya","Yes","No"))</f>
        <v/>
      </c>
      <c r="X2286" s="29">
        <f>IF(B2286="","",IF(COUNTIF($B$5:$B$3004,B2286)&gt;1,"DUPLICATE","OK"))</f>
        <v/>
      </c>
      <c r="Y2286" s="29">
        <f>IF(OR(U2286="",V2286="",V2286="Excluded"),"",IF(COUNTIFS($U$5:$U$3004,U2286,$V$5:$V$3004,"&lt;&gt;"&amp;V2286,$V$5:$V$3004,"&lt;&gt;",$V$5:$V$3004,"&lt;&gt;Excluded")&gt;0,"LEAK RISK","OK"))</f>
        <v/>
      </c>
      <c r="Z2286" s="30" t="n"/>
    </row>
    <row r="2287">
      <c r="A2287" s="30" t="n"/>
      <c r="B2287" s="30" t="n"/>
      <c r="C2287" s="30" t="n"/>
      <c r="D2287" s="30" t="n"/>
      <c r="E2287" s="30" t="n"/>
      <c r="F2287" s="30" t="n"/>
      <c r="G2287" s="30" t="n"/>
      <c r="H2287" s="30" t="n"/>
      <c r="I2287" s="31" t="n"/>
      <c r="J2287" s="30" t="n"/>
      <c r="K2287" s="30" t="n"/>
      <c r="L2287" s="30" t="n"/>
      <c r="M2287" s="30" t="n"/>
      <c r="N2287" s="32" t="n"/>
      <c r="O2287" s="30" t="n"/>
      <c r="P2287" s="32" t="n"/>
      <c r="Q2287" s="30" t="n"/>
      <c r="R2287" s="32" t="n"/>
      <c r="S2287" s="30" t="n"/>
      <c r="T2287" s="30" t="n"/>
      <c r="U2287" s="30" t="n"/>
      <c r="V2287" s="30" t="n"/>
      <c r="W2287" s="29">
        <f>IF(H2287="","",IF(H2287="Kenya","Yes","No"))</f>
        <v/>
      </c>
      <c r="X2287" s="29">
        <f>IF(B2287="","",IF(COUNTIF($B$5:$B$3004,B2287)&gt;1,"DUPLICATE","OK"))</f>
        <v/>
      </c>
      <c r="Y2287" s="29">
        <f>IF(OR(U2287="",V2287="",V2287="Excluded"),"",IF(COUNTIFS($U$5:$U$3004,U2287,$V$5:$V$3004,"&lt;&gt;"&amp;V2287,$V$5:$V$3004,"&lt;&gt;",$V$5:$V$3004,"&lt;&gt;Excluded")&gt;0,"LEAK RISK","OK"))</f>
        <v/>
      </c>
      <c r="Z2287" s="30" t="n"/>
    </row>
    <row r="2288">
      <c r="A2288" s="30" t="n"/>
      <c r="B2288" s="30" t="n"/>
      <c r="C2288" s="30" t="n"/>
      <c r="D2288" s="30" t="n"/>
      <c r="E2288" s="30" t="n"/>
      <c r="F2288" s="30" t="n"/>
      <c r="G2288" s="30" t="n"/>
      <c r="H2288" s="30" t="n"/>
      <c r="I2288" s="31" t="n"/>
      <c r="J2288" s="30" t="n"/>
      <c r="K2288" s="30" t="n"/>
      <c r="L2288" s="30" t="n"/>
      <c r="M2288" s="30" t="n"/>
      <c r="N2288" s="32" t="n"/>
      <c r="O2288" s="30" t="n"/>
      <c r="P2288" s="32" t="n"/>
      <c r="Q2288" s="30" t="n"/>
      <c r="R2288" s="32" t="n"/>
      <c r="S2288" s="30" t="n"/>
      <c r="T2288" s="30" t="n"/>
      <c r="U2288" s="30" t="n"/>
      <c r="V2288" s="30" t="n"/>
      <c r="W2288" s="29">
        <f>IF(H2288="","",IF(H2288="Kenya","Yes","No"))</f>
        <v/>
      </c>
      <c r="X2288" s="29">
        <f>IF(B2288="","",IF(COUNTIF($B$5:$B$3004,B2288)&gt;1,"DUPLICATE","OK"))</f>
        <v/>
      </c>
      <c r="Y2288" s="29">
        <f>IF(OR(U2288="",V2288="",V2288="Excluded"),"",IF(COUNTIFS($U$5:$U$3004,U2288,$V$5:$V$3004,"&lt;&gt;"&amp;V2288,$V$5:$V$3004,"&lt;&gt;",$V$5:$V$3004,"&lt;&gt;Excluded")&gt;0,"LEAK RISK","OK"))</f>
        <v/>
      </c>
      <c r="Z2288" s="30" t="n"/>
    </row>
    <row r="2289">
      <c r="A2289" s="30" t="n"/>
      <c r="B2289" s="30" t="n"/>
      <c r="C2289" s="30" t="n"/>
      <c r="D2289" s="30" t="n"/>
      <c r="E2289" s="30" t="n"/>
      <c r="F2289" s="30" t="n"/>
      <c r="G2289" s="30" t="n"/>
      <c r="H2289" s="30" t="n"/>
      <c r="I2289" s="31" t="n"/>
      <c r="J2289" s="30" t="n"/>
      <c r="K2289" s="30" t="n"/>
      <c r="L2289" s="30" t="n"/>
      <c r="M2289" s="30" t="n"/>
      <c r="N2289" s="32" t="n"/>
      <c r="O2289" s="30" t="n"/>
      <c r="P2289" s="32" t="n"/>
      <c r="Q2289" s="30" t="n"/>
      <c r="R2289" s="32" t="n"/>
      <c r="S2289" s="30" t="n"/>
      <c r="T2289" s="30" t="n"/>
      <c r="U2289" s="30" t="n"/>
      <c r="V2289" s="30" t="n"/>
      <c r="W2289" s="29">
        <f>IF(H2289="","",IF(H2289="Kenya","Yes","No"))</f>
        <v/>
      </c>
      <c r="X2289" s="29">
        <f>IF(B2289="","",IF(COUNTIF($B$5:$B$3004,B2289)&gt;1,"DUPLICATE","OK"))</f>
        <v/>
      </c>
      <c r="Y2289" s="29">
        <f>IF(OR(U2289="",V2289="",V2289="Excluded"),"",IF(COUNTIFS($U$5:$U$3004,U2289,$V$5:$V$3004,"&lt;&gt;"&amp;V2289,$V$5:$V$3004,"&lt;&gt;",$V$5:$V$3004,"&lt;&gt;Excluded")&gt;0,"LEAK RISK","OK"))</f>
        <v/>
      </c>
      <c r="Z2289" s="30" t="n"/>
    </row>
    <row r="2290">
      <c r="A2290" s="30" t="n"/>
      <c r="B2290" s="30" t="n"/>
      <c r="C2290" s="30" t="n"/>
      <c r="D2290" s="30" t="n"/>
      <c r="E2290" s="30" t="n"/>
      <c r="F2290" s="30" t="n"/>
      <c r="G2290" s="30" t="n"/>
      <c r="H2290" s="30" t="n"/>
      <c r="I2290" s="31" t="n"/>
      <c r="J2290" s="30" t="n"/>
      <c r="K2290" s="30" t="n"/>
      <c r="L2290" s="30" t="n"/>
      <c r="M2290" s="30" t="n"/>
      <c r="N2290" s="32" t="n"/>
      <c r="O2290" s="30" t="n"/>
      <c r="P2290" s="32" t="n"/>
      <c r="Q2290" s="30" t="n"/>
      <c r="R2290" s="32" t="n"/>
      <c r="S2290" s="30" t="n"/>
      <c r="T2290" s="30" t="n"/>
      <c r="U2290" s="30" t="n"/>
      <c r="V2290" s="30" t="n"/>
      <c r="W2290" s="29">
        <f>IF(H2290="","",IF(H2290="Kenya","Yes","No"))</f>
        <v/>
      </c>
      <c r="X2290" s="29">
        <f>IF(B2290="","",IF(COUNTIF($B$5:$B$3004,B2290)&gt;1,"DUPLICATE","OK"))</f>
        <v/>
      </c>
      <c r="Y2290" s="29">
        <f>IF(OR(U2290="",V2290="",V2290="Excluded"),"",IF(COUNTIFS($U$5:$U$3004,U2290,$V$5:$V$3004,"&lt;&gt;"&amp;V2290,$V$5:$V$3004,"&lt;&gt;",$V$5:$V$3004,"&lt;&gt;Excluded")&gt;0,"LEAK RISK","OK"))</f>
        <v/>
      </c>
      <c r="Z2290" s="30" t="n"/>
    </row>
    <row r="2291">
      <c r="A2291" s="30" t="n"/>
      <c r="B2291" s="30" t="n"/>
      <c r="C2291" s="30" t="n"/>
      <c r="D2291" s="30" t="n"/>
      <c r="E2291" s="30" t="n"/>
      <c r="F2291" s="30" t="n"/>
      <c r="G2291" s="30" t="n"/>
      <c r="H2291" s="30" t="n"/>
      <c r="I2291" s="31" t="n"/>
      <c r="J2291" s="30" t="n"/>
      <c r="K2291" s="30" t="n"/>
      <c r="L2291" s="30" t="n"/>
      <c r="M2291" s="30" t="n"/>
      <c r="N2291" s="32" t="n"/>
      <c r="O2291" s="30" t="n"/>
      <c r="P2291" s="32" t="n"/>
      <c r="Q2291" s="30" t="n"/>
      <c r="R2291" s="32" t="n"/>
      <c r="S2291" s="30" t="n"/>
      <c r="T2291" s="30" t="n"/>
      <c r="U2291" s="30" t="n"/>
      <c r="V2291" s="30" t="n"/>
      <c r="W2291" s="29">
        <f>IF(H2291="","",IF(H2291="Kenya","Yes","No"))</f>
        <v/>
      </c>
      <c r="X2291" s="29">
        <f>IF(B2291="","",IF(COUNTIF($B$5:$B$3004,B2291)&gt;1,"DUPLICATE","OK"))</f>
        <v/>
      </c>
      <c r="Y2291" s="29">
        <f>IF(OR(U2291="",V2291="",V2291="Excluded"),"",IF(COUNTIFS($U$5:$U$3004,U2291,$V$5:$V$3004,"&lt;&gt;"&amp;V2291,$V$5:$V$3004,"&lt;&gt;",$V$5:$V$3004,"&lt;&gt;Excluded")&gt;0,"LEAK RISK","OK"))</f>
        <v/>
      </c>
      <c r="Z2291" s="30" t="n"/>
    </row>
    <row r="2292">
      <c r="A2292" s="30" t="n"/>
      <c r="B2292" s="30" t="n"/>
      <c r="C2292" s="30" t="n"/>
      <c r="D2292" s="30" t="n"/>
      <c r="E2292" s="30" t="n"/>
      <c r="F2292" s="30" t="n"/>
      <c r="G2292" s="30" t="n"/>
      <c r="H2292" s="30" t="n"/>
      <c r="I2292" s="31" t="n"/>
      <c r="J2292" s="30" t="n"/>
      <c r="K2292" s="30" t="n"/>
      <c r="L2292" s="30" t="n"/>
      <c r="M2292" s="30" t="n"/>
      <c r="N2292" s="32" t="n"/>
      <c r="O2292" s="30" t="n"/>
      <c r="P2292" s="32" t="n"/>
      <c r="Q2292" s="30" t="n"/>
      <c r="R2292" s="32" t="n"/>
      <c r="S2292" s="30" t="n"/>
      <c r="T2292" s="30" t="n"/>
      <c r="U2292" s="30" t="n"/>
      <c r="V2292" s="30" t="n"/>
      <c r="W2292" s="29">
        <f>IF(H2292="","",IF(H2292="Kenya","Yes","No"))</f>
        <v/>
      </c>
      <c r="X2292" s="29">
        <f>IF(B2292="","",IF(COUNTIF($B$5:$B$3004,B2292)&gt;1,"DUPLICATE","OK"))</f>
        <v/>
      </c>
      <c r="Y2292" s="29">
        <f>IF(OR(U2292="",V2292="",V2292="Excluded"),"",IF(COUNTIFS($U$5:$U$3004,U2292,$V$5:$V$3004,"&lt;&gt;"&amp;V2292,$V$5:$V$3004,"&lt;&gt;",$V$5:$V$3004,"&lt;&gt;Excluded")&gt;0,"LEAK RISK","OK"))</f>
        <v/>
      </c>
      <c r="Z2292" s="30" t="n"/>
    </row>
    <row r="2293">
      <c r="A2293" s="30" t="n"/>
      <c r="B2293" s="30" t="n"/>
      <c r="C2293" s="30" t="n"/>
      <c r="D2293" s="30" t="n"/>
      <c r="E2293" s="30" t="n"/>
      <c r="F2293" s="30" t="n"/>
      <c r="G2293" s="30" t="n"/>
      <c r="H2293" s="30" t="n"/>
      <c r="I2293" s="31" t="n"/>
      <c r="J2293" s="30" t="n"/>
      <c r="K2293" s="30" t="n"/>
      <c r="L2293" s="30" t="n"/>
      <c r="M2293" s="30" t="n"/>
      <c r="N2293" s="32" t="n"/>
      <c r="O2293" s="30" t="n"/>
      <c r="P2293" s="32" t="n"/>
      <c r="Q2293" s="30" t="n"/>
      <c r="R2293" s="32" t="n"/>
      <c r="S2293" s="30" t="n"/>
      <c r="T2293" s="30" t="n"/>
      <c r="U2293" s="30" t="n"/>
      <c r="V2293" s="30" t="n"/>
      <c r="W2293" s="29">
        <f>IF(H2293="","",IF(H2293="Kenya","Yes","No"))</f>
        <v/>
      </c>
      <c r="X2293" s="29">
        <f>IF(B2293="","",IF(COUNTIF($B$5:$B$3004,B2293)&gt;1,"DUPLICATE","OK"))</f>
        <v/>
      </c>
      <c r="Y2293" s="29">
        <f>IF(OR(U2293="",V2293="",V2293="Excluded"),"",IF(COUNTIFS($U$5:$U$3004,U2293,$V$5:$V$3004,"&lt;&gt;"&amp;V2293,$V$5:$V$3004,"&lt;&gt;",$V$5:$V$3004,"&lt;&gt;Excluded")&gt;0,"LEAK RISK","OK"))</f>
        <v/>
      </c>
      <c r="Z2293" s="30" t="n"/>
    </row>
    <row r="2294">
      <c r="A2294" s="30" t="n"/>
      <c r="B2294" s="30" t="n"/>
      <c r="C2294" s="30" t="n"/>
      <c r="D2294" s="30" t="n"/>
      <c r="E2294" s="30" t="n"/>
      <c r="F2294" s="30" t="n"/>
      <c r="G2294" s="30" t="n"/>
      <c r="H2294" s="30" t="n"/>
      <c r="I2294" s="31" t="n"/>
      <c r="J2294" s="30" t="n"/>
      <c r="K2294" s="30" t="n"/>
      <c r="L2294" s="30" t="n"/>
      <c r="M2294" s="30" t="n"/>
      <c r="N2294" s="32" t="n"/>
      <c r="O2294" s="30" t="n"/>
      <c r="P2294" s="32" t="n"/>
      <c r="Q2294" s="30" t="n"/>
      <c r="R2294" s="32" t="n"/>
      <c r="S2294" s="30" t="n"/>
      <c r="T2294" s="30" t="n"/>
      <c r="U2294" s="30" t="n"/>
      <c r="V2294" s="30" t="n"/>
      <c r="W2294" s="29">
        <f>IF(H2294="","",IF(H2294="Kenya","Yes","No"))</f>
        <v/>
      </c>
      <c r="X2294" s="29">
        <f>IF(B2294="","",IF(COUNTIF($B$5:$B$3004,B2294)&gt;1,"DUPLICATE","OK"))</f>
        <v/>
      </c>
      <c r="Y2294" s="29">
        <f>IF(OR(U2294="",V2294="",V2294="Excluded"),"",IF(COUNTIFS($U$5:$U$3004,U2294,$V$5:$V$3004,"&lt;&gt;"&amp;V2294,$V$5:$V$3004,"&lt;&gt;",$V$5:$V$3004,"&lt;&gt;Excluded")&gt;0,"LEAK RISK","OK"))</f>
        <v/>
      </c>
      <c r="Z2294" s="30" t="n"/>
    </row>
    <row r="2295">
      <c r="A2295" s="30" t="n"/>
      <c r="B2295" s="30" t="n"/>
      <c r="C2295" s="30" t="n"/>
      <c r="D2295" s="30" t="n"/>
      <c r="E2295" s="30" t="n"/>
      <c r="F2295" s="30" t="n"/>
      <c r="G2295" s="30" t="n"/>
      <c r="H2295" s="30" t="n"/>
      <c r="I2295" s="31" t="n"/>
      <c r="J2295" s="30" t="n"/>
      <c r="K2295" s="30" t="n"/>
      <c r="L2295" s="30" t="n"/>
      <c r="M2295" s="30" t="n"/>
      <c r="N2295" s="32" t="n"/>
      <c r="O2295" s="30" t="n"/>
      <c r="P2295" s="32" t="n"/>
      <c r="Q2295" s="30" t="n"/>
      <c r="R2295" s="32" t="n"/>
      <c r="S2295" s="30" t="n"/>
      <c r="T2295" s="30" t="n"/>
      <c r="U2295" s="30" t="n"/>
      <c r="V2295" s="30" t="n"/>
      <c r="W2295" s="29">
        <f>IF(H2295="","",IF(H2295="Kenya","Yes","No"))</f>
        <v/>
      </c>
      <c r="X2295" s="29">
        <f>IF(B2295="","",IF(COUNTIF($B$5:$B$3004,B2295)&gt;1,"DUPLICATE","OK"))</f>
        <v/>
      </c>
      <c r="Y2295" s="29">
        <f>IF(OR(U2295="",V2295="",V2295="Excluded"),"",IF(COUNTIFS($U$5:$U$3004,U2295,$V$5:$V$3004,"&lt;&gt;"&amp;V2295,$V$5:$V$3004,"&lt;&gt;",$V$5:$V$3004,"&lt;&gt;Excluded")&gt;0,"LEAK RISK","OK"))</f>
        <v/>
      </c>
      <c r="Z2295" s="30" t="n"/>
    </row>
    <row r="2296">
      <c r="A2296" s="30" t="n"/>
      <c r="B2296" s="30" t="n"/>
      <c r="C2296" s="30" t="n"/>
      <c r="D2296" s="30" t="n"/>
      <c r="E2296" s="30" t="n"/>
      <c r="F2296" s="30" t="n"/>
      <c r="G2296" s="30" t="n"/>
      <c r="H2296" s="30" t="n"/>
      <c r="I2296" s="31" t="n"/>
      <c r="J2296" s="30" t="n"/>
      <c r="K2296" s="30" t="n"/>
      <c r="L2296" s="30" t="n"/>
      <c r="M2296" s="30" t="n"/>
      <c r="N2296" s="32" t="n"/>
      <c r="O2296" s="30" t="n"/>
      <c r="P2296" s="32" t="n"/>
      <c r="Q2296" s="30" t="n"/>
      <c r="R2296" s="32" t="n"/>
      <c r="S2296" s="30" t="n"/>
      <c r="T2296" s="30" t="n"/>
      <c r="U2296" s="30" t="n"/>
      <c r="V2296" s="30" t="n"/>
      <c r="W2296" s="29">
        <f>IF(H2296="","",IF(H2296="Kenya","Yes","No"))</f>
        <v/>
      </c>
      <c r="X2296" s="29">
        <f>IF(B2296="","",IF(COUNTIF($B$5:$B$3004,B2296)&gt;1,"DUPLICATE","OK"))</f>
        <v/>
      </c>
      <c r="Y2296" s="29">
        <f>IF(OR(U2296="",V2296="",V2296="Excluded"),"",IF(COUNTIFS($U$5:$U$3004,U2296,$V$5:$V$3004,"&lt;&gt;"&amp;V2296,$V$5:$V$3004,"&lt;&gt;",$V$5:$V$3004,"&lt;&gt;Excluded")&gt;0,"LEAK RISK","OK"))</f>
        <v/>
      </c>
      <c r="Z2296" s="30" t="n"/>
    </row>
    <row r="2297">
      <c r="A2297" s="30" t="n"/>
      <c r="B2297" s="30" t="n"/>
      <c r="C2297" s="30" t="n"/>
      <c r="D2297" s="30" t="n"/>
      <c r="E2297" s="30" t="n"/>
      <c r="F2297" s="30" t="n"/>
      <c r="G2297" s="30" t="n"/>
      <c r="H2297" s="30" t="n"/>
      <c r="I2297" s="31" t="n"/>
      <c r="J2297" s="30" t="n"/>
      <c r="K2297" s="30" t="n"/>
      <c r="L2297" s="30" t="n"/>
      <c r="M2297" s="30" t="n"/>
      <c r="N2297" s="32" t="n"/>
      <c r="O2297" s="30" t="n"/>
      <c r="P2297" s="32" t="n"/>
      <c r="Q2297" s="30" t="n"/>
      <c r="R2297" s="32" t="n"/>
      <c r="S2297" s="30" t="n"/>
      <c r="T2297" s="30" t="n"/>
      <c r="U2297" s="30" t="n"/>
      <c r="V2297" s="30" t="n"/>
      <c r="W2297" s="29">
        <f>IF(H2297="","",IF(H2297="Kenya","Yes","No"))</f>
        <v/>
      </c>
      <c r="X2297" s="29">
        <f>IF(B2297="","",IF(COUNTIF($B$5:$B$3004,B2297)&gt;1,"DUPLICATE","OK"))</f>
        <v/>
      </c>
      <c r="Y2297" s="29">
        <f>IF(OR(U2297="",V2297="",V2297="Excluded"),"",IF(COUNTIFS($U$5:$U$3004,U2297,$V$5:$V$3004,"&lt;&gt;"&amp;V2297,$V$5:$V$3004,"&lt;&gt;",$V$5:$V$3004,"&lt;&gt;Excluded")&gt;0,"LEAK RISK","OK"))</f>
        <v/>
      </c>
      <c r="Z2297" s="30" t="n"/>
    </row>
    <row r="2298">
      <c r="A2298" s="30" t="n"/>
      <c r="B2298" s="30" t="n"/>
      <c r="C2298" s="30" t="n"/>
      <c r="D2298" s="30" t="n"/>
      <c r="E2298" s="30" t="n"/>
      <c r="F2298" s="30" t="n"/>
      <c r="G2298" s="30" t="n"/>
      <c r="H2298" s="30" t="n"/>
      <c r="I2298" s="31" t="n"/>
      <c r="J2298" s="30" t="n"/>
      <c r="K2298" s="30" t="n"/>
      <c r="L2298" s="30" t="n"/>
      <c r="M2298" s="30" t="n"/>
      <c r="N2298" s="32" t="n"/>
      <c r="O2298" s="30" t="n"/>
      <c r="P2298" s="32" t="n"/>
      <c r="Q2298" s="30" t="n"/>
      <c r="R2298" s="32" t="n"/>
      <c r="S2298" s="30" t="n"/>
      <c r="T2298" s="30" t="n"/>
      <c r="U2298" s="30" t="n"/>
      <c r="V2298" s="30" t="n"/>
      <c r="W2298" s="29">
        <f>IF(H2298="","",IF(H2298="Kenya","Yes","No"))</f>
        <v/>
      </c>
      <c r="X2298" s="29">
        <f>IF(B2298="","",IF(COUNTIF($B$5:$B$3004,B2298)&gt;1,"DUPLICATE","OK"))</f>
        <v/>
      </c>
      <c r="Y2298" s="29">
        <f>IF(OR(U2298="",V2298="",V2298="Excluded"),"",IF(COUNTIFS($U$5:$U$3004,U2298,$V$5:$V$3004,"&lt;&gt;"&amp;V2298,$V$5:$V$3004,"&lt;&gt;",$V$5:$V$3004,"&lt;&gt;Excluded")&gt;0,"LEAK RISK","OK"))</f>
        <v/>
      </c>
      <c r="Z2298" s="30" t="n"/>
    </row>
    <row r="2299">
      <c r="A2299" s="30" t="n"/>
      <c r="B2299" s="30" t="n"/>
      <c r="C2299" s="30" t="n"/>
      <c r="D2299" s="30" t="n"/>
      <c r="E2299" s="30" t="n"/>
      <c r="F2299" s="30" t="n"/>
      <c r="G2299" s="30" t="n"/>
      <c r="H2299" s="30" t="n"/>
      <c r="I2299" s="31" t="n"/>
      <c r="J2299" s="30" t="n"/>
      <c r="K2299" s="30" t="n"/>
      <c r="L2299" s="30" t="n"/>
      <c r="M2299" s="30" t="n"/>
      <c r="N2299" s="32" t="n"/>
      <c r="O2299" s="30" t="n"/>
      <c r="P2299" s="32" t="n"/>
      <c r="Q2299" s="30" t="n"/>
      <c r="R2299" s="32" t="n"/>
      <c r="S2299" s="30" t="n"/>
      <c r="T2299" s="30" t="n"/>
      <c r="U2299" s="30" t="n"/>
      <c r="V2299" s="30" t="n"/>
      <c r="W2299" s="29">
        <f>IF(H2299="","",IF(H2299="Kenya","Yes","No"))</f>
        <v/>
      </c>
      <c r="X2299" s="29">
        <f>IF(B2299="","",IF(COUNTIF($B$5:$B$3004,B2299)&gt;1,"DUPLICATE","OK"))</f>
        <v/>
      </c>
      <c r="Y2299" s="29">
        <f>IF(OR(U2299="",V2299="",V2299="Excluded"),"",IF(COUNTIFS($U$5:$U$3004,U2299,$V$5:$V$3004,"&lt;&gt;"&amp;V2299,$V$5:$V$3004,"&lt;&gt;",$V$5:$V$3004,"&lt;&gt;Excluded")&gt;0,"LEAK RISK","OK"))</f>
        <v/>
      </c>
      <c r="Z2299" s="30" t="n"/>
    </row>
    <row r="2300">
      <c r="A2300" s="30" t="n"/>
      <c r="B2300" s="30" t="n"/>
      <c r="C2300" s="30" t="n"/>
      <c r="D2300" s="30" t="n"/>
      <c r="E2300" s="30" t="n"/>
      <c r="F2300" s="30" t="n"/>
      <c r="G2300" s="30" t="n"/>
      <c r="H2300" s="30" t="n"/>
      <c r="I2300" s="31" t="n"/>
      <c r="J2300" s="30" t="n"/>
      <c r="K2300" s="30" t="n"/>
      <c r="L2300" s="30" t="n"/>
      <c r="M2300" s="30" t="n"/>
      <c r="N2300" s="32" t="n"/>
      <c r="O2300" s="30" t="n"/>
      <c r="P2300" s="32" t="n"/>
      <c r="Q2300" s="30" t="n"/>
      <c r="R2300" s="32" t="n"/>
      <c r="S2300" s="30" t="n"/>
      <c r="T2300" s="30" t="n"/>
      <c r="U2300" s="30" t="n"/>
      <c r="V2300" s="30" t="n"/>
      <c r="W2300" s="29">
        <f>IF(H2300="","",IF(H2300="Kenya","Yes","No"))</f>
        <v/>
      </c>
      <c r="X2300" s="29">
        <f>IF(B2300="","",IF(COUNTIF($B$5:$B$3004,B2300)&gt;1,"DUPLICATE","OK"))</f>
        <v/>
      </c>
      <c r="Y2300" s="29">
        <f>IF(OR(U2300="",V2300="",V2300="Excluded"),"",IF(COUNTIFS($U$5:$U$3004,U2300,$V$5:$V$3004,"&lt;&gt;"&amp;V2300,$V$5:$V$3004,"&lt;&gt;",$V$5:$V$3004,"&lt;&gt;Excluded")&gt;0,"LEAK RISK","OK"))</f>
        <v/>
      </c>
      <c r="Z2300" s="30" t="n"/>
    </row>
    <row r="2301">
      <c r="A2301" s="30" t="n"/>
      <c r="B2301" s="30" t="n"/>
      <c r="C2301" s="30" t="n"/>
      <c r="D2301" s="30" t="n"/>
      <c r="E2301" s="30" t="n"/>
      <c r="F2301" s="30" t="n"/>
      <c r="G2301" s="30" t="n"/>
      <c r="H2301" s="30" t="n"/>
      <c r="I2301" s="31" t="n"/>
      <c r="J2301" s="30" t="n"/>
      <c r="K2301" s="30" t="n"/>
      <c r="L2301" s="30" t="n"/>
      <c r="M2301" s="30" t="n"/>
      <c r="N2301" s="32" t="n"/>
      <c r="O2301" s="30" t="n"/>
      <c r="P2301" s="32" t="n"/>
      <c r="Q2301" s="30" t="n"/>
      <c r="R2301" s="32" t="n"/>
      <c r="S2301" s="30" t="n"/>
      <c r="T2301" s="30" t="n"/>
      <c r="U2301" s="30" t="n"/>
      <c r="V2301" s="30" t="n"/>
      <c r="W2301" s="29">
        <f>IF(H2301="","",IF(H2301="Kenya","Yes","No"))</f>
        <v/>
      </c>
      <c r="X2301" s="29">
        <f>IF(B2301="","",IF(COUNTIF($B$5:$B$3004,B2301)&gt;1,"DUPLICATE","OK"))</f>
        <v/>
      </c>
      <c r="Y2301" s="29">
        <f>IF(OR(U2301="",V2301="",V2301="Excluded"),"",IF(COUNTIFS($U$5:$U$3004,U2301,$V$5:$V$3004,"&lt;&gt;"&amp;V2301,$V$5:$V$3004,"&lt;&gt;",$V$5:$V$3004,"&lt;&gt;Excluded")&gt;0,"LEAK RISK","OK"))</f>
        <v/>
      </c>
      <c r="Z2301" s="30" t="n"/>
    </row>
    <row r="2302">
      <c r="A2302" s="30" t="n"/>
      <c r="B2302" s="30" t="n"/>
      <c r="C2302" s="30" t="n"/>
      <c r="D2302" s="30" t="n"/>
      <c r="E2302" s="30" t="n"/>
      <c r="F2302" s="30" t="n"/>
      <c r="G2302" s="30" t="n"/>
      <c r="H2302" s="30" t="n"/>
      <c r="I2302" s="31" t="n"/>
      <c r="J2302" s="30" t="n"/>
      <c r="K2302" s="30" t="n"/>
      <c r="L2302" s="30" t="n"/>
      <c r="M2302" s="30" t="n"/>
      <c r="N2302" s="32" t="n"/>
      <c r="O2302" s="30" t="n"/>
      <c r="P2302" s="32" t="n"/>
      <c r="Q2302" s="30" t="n"/>
      <c r="R2302" s="32" t="n"/>
      <c r="S2302" s="30" t="n"/>
      <c r="T2302" s="30" t="n"/>
      <c r="U2302" s="30" t="n"/>
      <c r="V2302" s="30" t="n"/>
      <c r="W2302" s="29">
        <f>IF(H2302="","",IF(H2302="Kenya","Yes","No"))</f>
        <v/>
      </c>
      <c r="X2302" s="29">
        <f>IF(B2302="","",IF(COUNTIF($B$5:$B$3004,B2302)&gt;1,"DUPLICATE","OK"))</f>
        <v/>
      </c>
      <c r="Y2302" s="29">
        <f>IF(OR(U2302="",V2302="",V2302="Excluded"),"",IF(COUNTIFS($U$5:$U$3004,U2302,$V$5:$V$3004,"&lt;&gt;"&amp;V2302,$V$5:$V$3004,"&lt;&gt;",$V$5:$V$3004,"&lt;&gt;Excluded")&gt;0,"LEAK RISK","OK"))</f>
        <v/>
      </c>
      <c r="Z2302" s="30" t="n"/>
    </row>
    <row r="2303">
      <c r="A2303" s="30" t="n"/>
      <c r="B2303" s="30" t="n"/>
      <c r="C2303" s="30" t="n"/>
      <c r="D2303" s="30" t="n"/>
      <c r="E2303" s="30" t="n"/>
      <c r="F2303" s="30" t="n"/>
      <c r="G2303" s="30" t="n"/>
      <c r="H2303" s="30" t="n"/>
      <c r="I2303" s="31" t="n"/>
      <c r="J2303" s="30" t="n"/>
      <c r="K2303" s="30" t="n"/>
      <c r="L2303" s="30" t="n"/>
      <c r="M2303" s="30" t="n"/>
      <c r="N2303" s="32" t="n"/>
      <c r="O2303" s="30" t="n"/>
      <c r="P2303" s="32" t="n"/>
      <c r="Q2303" s="30" t="n"/>
      <c r="R2303" s="32" t="n"/>
      <c r="S2303" s="30" t="n"/>
      <c r="T2303" s="30" t="n"/>
      <c r="U2303" s="30" t="n"/>
      <c r="V2303" s="30" t="n"/>
      <c r="W2303" s="29">
        <f>IF(H2303="","",IF(H2303="Kenya","Yes","No"))</f>
        <v/>
      </c>
      <c r="X2303" s="29">
        <f>IF(B2303="","",IF(COUNTIF($B$5:$B$3004,B2303)&gt;1,"DUPLICATE","OK"))</f>
        <v/>
      </c>
      <c r="Y2303" s="29">
        <f>IF(OR(U2303="",V2303="",V2303="Excluded"),"",IF(COUNTIFS($U$5:$U$3004,U2303,$V$5:$V$3004,"&lt;&gt;"&amp;V2303,$V$5:$V$3004,"&lt;&gt;",$V$5:$V$3004,"&lt;&gt;Excluded")&gt;0,"LEAK RISK","OK"))</f>
        <v/>
      </c>
      <c r="Z2303" s="30" t="n"/>
    </row>
    <row r="2304">
      <c r="A2304" s="30" t="n"/>
      <c r="B2304" s="30" t="n"/>
      <c r="C2304" s="30" t="n"/>
      <c r="D2304" s="30" t="n"/>
      <c r="E2304" s="30" t="n"/>
      <c r="F2304" s="30" t="n"/>
      <c r="G2304" s="30" t="n"/>
      <c r="H2304" s="30" t="n"/>
      <c r="I2304" s="31" t="n"/>
      <c r="J2304" s="30" t="n"/>
      <c r="K2304" s="30" t="n"/>
      <c r="L2304" s="30" t="n"/>
      <c r="M2304" s="30" t="n"/>
      <c r="N2304" s="32" t="n"/>
      <c r="O2304" s="30" t="n"/>
      <c r="P2304" s="32" t="n"/>
      <c r="Q2304" s="30" t="n"/>
      <c r="R2304" s="32" t="n"/>
      <c r="S2304" s="30" t="n"/>
      <c r="T2304" s="30" t="n"/>
      <c r="U2304" s="30" t="n"/>
      <c r="V2304" s="30" t="n"/>
      <c r="W2304" s="29">
        <f>IF(H2304="","",IF(H2304="Kenya","Yes","No"))</f>
        <v/>
      </c>
      <c r="X2304" s="29">
        <f>IF(B2304="","",IF(COUNTIF($B$5:$B$3004,B2304)&gt;1,"DUPLICATE","OK"))</f>
        <v/>
      </c>
      <c r="Y2304" s="29">
        <f>IF(OR(U2304="",V2304="",V2304="Excluded"),"",IF(COUNTIFS($U$5:$U$3004,U2304,$V$5:$V$3004,"&lt;&gt;"&amp;V2304,$V$5:$V$3004,"&lt;&gt;",$V$5:$V$3004,"&lt;&gt;Excluded")&gt;0,"LEAK RISK","OK"))</f>
        <v/>
      </c>
      <c r="Z2304" s="30" t="n"/>
    </row>
    <row r="2305">
      <c r="A2305" s="30" t="n"/>
      <c r="B2305" s="30" t="n"/>
      <c r="C2305" s="30" t="n"/>
      <c r="D2305" s="30" t="n"/>
      <c r="E2305" s="30" t="n"/>
      <c r="F2305" s="30" t="n"/>
      <c r="G2305" s="30" t="n"/>
      <c r="H2305" s="30" t="n"/>
      <c r="I2305" s="31" t="n"/>
      <c r="J2305" s="30" t="n"/>
      <c r="K2305" s="30" t="n"/>
      <c r="L2305" s="30" t="n"/>
      <c r="M2305" s="30" t="n"/>
      <c r="N2305" s="32" t="n"/>
      <c r="O2305" s="30" t="n"/>
      <c r="P2305" s="32" t="n"/>
      <c r="Q2305" s="30" t="n"/>
      <c r="R2305" s="32" t="n"/>
      <c r="S2305" s="30" t="n"/>
      <c r="T2305" s="30" t="n"/>
      <c r="U2305" s="30" t="n"/>
      <c r="V2305" s="30" t="n"/>
      <c r="W2305" s="29">
        <f>IF(H2305="","",IF(H2305="Kenya","Yes","No"))</f>
        <v/>
      </c>
      <c r="X2305" s="29">
        <f>IF(B2305="","",IF(COUNTIF($B$5:$B$3004,B2305)&gt;1,"DUPLICATE","OK"))</f>
        <v/>
      </c>
      <c r="Y2305" s="29">
        <f>IF(OR(U2305="",V2305="",V2305="Excluded"),"",IF(COUNTIFS($U$5:$U$3004,U2305,$V$5:$V$3004,"&lt;&gt;"&amp;V2305,$V$5:$V$3004,"&lt;&gt;",$V$5:$V$3004,"&lt;&gt;Excluded")&gt;0,"LEAK RISK","OK"))</f>
        <v/>
      </c>
      <c r="Z2305" s="30" t="n"/>
    </row>
    <row r="2306">
      <c r="A2306" s="30" t="n"/>
      <c r="B2306" s="30" t="n"/>
      <c r="C2306" s="30" t="n"/>
      <c r="D2306" s="30" t="n"/>
      <c r="E2306" s="30" t="n"/>
      <c r="F2306" s="30" t="n"/>
      <c r="G2306" s="30" t="n"/>
      <c r="H2306" s="30" t="n"/>
      <c r="I2306" s="31" t="n"/>
      <c r="J2306" s="30" t="n"/>
      <c r="K2306" s="30" t="n"/>
      <c r="L2306" s="30" t="n"/>
      <c r="M2306" s="30" t="n"/>
      <c r="N2306" s="32" t="n"/>
      <c r="O2306" s="30" t="n"/>
      <c r="P2306" s="32" t="n"/>
      <c r="Q2306" s="30" t="n"/>
      <c r="R2306" s="32" t="n"/>
      <c r="S2306" s="30" t="n"/>
      <c r="T2306" s="30" t="n"/>
      <c r="U2306" s="30" t="n"/>
      <c r="V2306" s="30" t="n"/>
      <c r="W2306" s="29">
        <f>IF(H2306="","",IF(H2306="Kenya","Yes","No"))</f>
        <v/>
      </c>
      <c r="X2306" s="29">
        <f>IF(B2306="","",IF(COUNTIF($B$5:$B$3004,B2306)&gt;1,"DUPLICATE","OK"))</f>
        <v/>
      </c>
      <c r="Y2306" s="29">
        <f>IF(OR(U2306="",V2306="",V2306="Excluded"),"",IF(COUNTIFS($U$5:$U$3004,U2306,$V$5:$V$3004,"&lt;&gt;"&amp;V2306,$V$5:$V$3004,"&lt;&gt;",$V$5:$V$3004,"&lt;&gt;Excluded")&gt;0,"LEAK RISK","OK"))</f>
        <v/>
      </c>
      <c r="Z2306" s="30" t="n"/>
    </row>
    <row r="2307">
      <c r="A2307" s="30" t="n"/>
      <c r="B2307" s="30" t="n"/>
      <c r="C2307" s="30" t="n"/>
      <c r="D2307" s="30" t="n"/>
      <c r="E2307" s="30" t="n"/>
      <c r="F2307" s="30" t="n"/>
      <c r="G2307" s="30" t="n"/>
      <c r="H2307" s="30" t="n"/>
      <c r="I2307" s="31" t="n"/>
      <c r="J2307" s="30" t="n"/>
      <c r="K2307" s="30" t="n"/>
      <c r="L2307" s="30" t="n"/>
      <c r="M2307" s="30" t="n"/>
      <c r="N2307" s="32" t="n"/>
      <c r="O2307" s="30" t="n"/>
      <c r="P2307" s="32" t="n"/>
      <c r="Q2307" s="30" t="n"/>
      <c r="R2307" s="32" t="n"/>
      <c r="S2307" s="30" t="n"/>
      <c r="T2307" s="30" t="n"/>
      <c r="U2307" s="30" t="n"/>
      <c r="V2307" s="30" t="n"/>
      <c r="W2307" s="29">
        <f>IF(H2307="","",IF(H2307="Kenya","Yes","No"))</f>
        <v/>
      </c>
      <c r="X2307" s="29">
        <f>IF(B2307="","",IF(COUNTIF($B$5:$B$3004,B2307)&gt;1,"DUPLICATE","OK"))</f>
        <v/>
      </c>
      <c r="Y2307" s="29">
        <f>IF(OR(U2307="",V2307="",V2307="Excluded"),"",IF(COUNTIFS($U$5:$U$3004,U2307,$V$5:$V$3004,"&lt;&gt;"&amp;V2307,$V$5:$V$3004,"&lt;&gt;",$V$5:$V$3004,"&lt;&gt;Excluded")&gt;0,"LEAK RISK","OK"))</f>
        <v/>
      </c>
      <c r="Z2307" s="30" t="n"/>
    </row>
    <row r="2308">
      <c r="A2308" s="30" t="n"/>
      <c r="B2308" s="30" t="n"/>
      <c r="C2308" s="30" t="n"/>
      <c r="D2308" s="30" t="n"/>
      <c r="E2308" s="30" t="n"/>
      <c r="F2308" s="30" t="n"/>
      <c r="G2308" s="30" t="n"/>
      <c r="H2308" s="30" t="n"/>
      <c r="I2308" s="31" t="n"/>
      <c r="J2308" s="30" t="n"/>
      <c r="K2308" s="30" t="n"/>
      <c r="L2308" s="30" t="n"/>
      <c r="M2308" s="30" t="n"/>
      <c r="N2308" s="32" t="n"/>
      <c r="O2308" s="30" t="n"/>
      <c r="P2308" s="32" t="n"/>
      <c r="Q2308" s="30" t="n"/>
      <c r="R2308" s="32" t="n"/>
      <c r="S2308" s="30" t="n"/>
      <c r="T2308" s="30" t="n"/>
      <c r="U2308" s="30" t="n"/>
      <c r="V2308" s="30" t="n"/>
      <c r="W2308" s="29">
        <f>IF(H2308="","",IF(H2308="Kenya","Yes","No"))</f>
        <v/>
      </c>
      <c r="X2308" s="29">
        <f>IF(B2308="","",IF(COUNTIF($B$5:$B$3004,B2308)&gt;1,"DUPLICATE","OK"))</f>
        <v/>
      </c>
      <c r="Y2308" s="29">
        <f>IF(OR(U2308="",V2308="",V2308="Excluded"),"",IF(COUNTIFS($U$5:$U$3004,U2308,$V$5:$V$3004,"&lt;&gt;"&amp;V2308,$V$5:$V$3004,"&lt;&gt;",$V$5:$V$3004,"&lt;&gt;Excluded")&gt;0,"LEAK RISK","OK"))</f>
        <v/>
      </c>
      <c r="Z2308" s="30" t="n"/>
    </row>
    <row r="2309">
      <c r="A2309" s="30" t="n"/>
      <c r="B2309" s="30" t="n"/>
      <c r="C2309" s="30" t="n"/>
      <c r="D2309" s="30" t="n"/>
      <c r="E2309" s="30" t="n"/>
      <c r="F2309" s="30" t="n"/>
      <c r="G2309" s="30" t="n"/>
      <c r="H2309" s="30" t="n"/>
      <c r="I2309" s="31" t="n"/>
      <c r="J2309" s="30" t="n"/>
      <c r="K2309" s="30" t="n"/>
      <c r="L2309" s="30" t="n"/>
      <c r="M2309" s="30" t="n"/>
      <c r="N2309" s="32" t="n"/>
      <c r="O2309" s="30" t="n"/>
      <c r="P2309" s="32" t="n"/>
      <c r="Q2309" s="30" t="n"/>
      <c r="R2309" s="32" t="n"/>
      <c r="S2309" s="30" t="n"/>
      <c r="T2309" s="30" t="n"/>
      <c r="U2309" s="30" t="n"/>
      <c r="V2309" s="30" t="n"/>
      <c r="W2309" s="29">
        <f>IF(H2309="","",IF(H2309="Kenya","Yes","No"))</f>
        <v/>
      </c>
      <c r="X2309" s="29">
        <f>IF(B2309="","",IF(COUNTIF($B$5:$B$3004,B2309)&gt;1,"DUPLICATE","OK"))</f>
        <v/>
      </c>
      <c r="Y2309" s="29">
        <f>IF(OR(U2309="",V2309="",V2309="Excluded"),"",IF(COUNTIFS($U$5:$U$3004,U2309,$V$5:$V$3004,"&lt;&gt;"&amp;V2309,$V$5:$V$3004,"&lt;&gt;",$V$5:$V$3004,"&lt;&gt;Excluded")&gt;0,"LEAK RISK","OK"))</f>
        <v/>
      </c>
      <c r="Z2309" s="30" t="n"/>
    </row>
    <row r="2310">
      <c r="A2310" s="30" t="n"/>
      <c r="B2310" s="30" t="n"/>
      <c r="C2310" s="30" t="n"/>
      <c r="D2310" s="30" t="n"/>
      <c r="E2310" s="30" t="n"/>
      <c r="F2310" s="30" t="n"/>
      <c r="G2310" s="30" t="n"/>
      <c r="H2310" s="30" t="n"/>
      <c r="I2310" s="31" t="n"/>
      <c r="J2310" s="30" t="n"/>
      <c r="K2310" s="30" t="n"/>
      <c r="L2310" s="30" t="n"/>
      <c r="M2310" s="30" t="n"/>
      <c r="N2310" s="32" t="n"/>
      <c r="O2310" s="30" t="n"/>
      <c r="P2310" s="32" t="n"/>
      <c r="Q2310" s="30" t="n"/>
      <c r="R2310" s="32" t="n"/>
      <c r="S2310" s="30" t="n"/>
      <c r="T2310" s="30" t="n"/>
      <c r="U2310" s="30" t="n"/>
      <c r="V2310" s="30" t="n"/>
      <c r="W2310" s="29">
        <f>IF(H2310="","",IF(H2310="Kenya","Yes","No"))</f>
        <v/>
      </c>
      <c r="X2310" s="29">
        <f>IF(B2310="","",IF(COUNTIF($B$5:$B$3004,B2310)&gt;1,"DUPLICATE","OK"))</f>
        <v/>
      </c>
      <c r="Y2310" s="29">
        <f>IF(OR(U2310="",V2310="",V2310="Excluded"),"",IF(COUNTIFS($U$5:$U$3004,U2310,$V$5:$V$3004,"&lt;&gt;"&amp;V2310,$V$5:$V$3004,"&lt;&gt;",$V$5:$V$3004,"&lt;&gt;Excluded")&gt;0,"LEAK RISK","OK"))</f>
        <v/>
      </c>
      <c r="Z2310" s="30" t="n"/>
    </row>
    <row r="2311">
      <c r="A2311" s="30" t="n"/>
      <c r="B2311" s="30" t="n"/>
      <c r="C2311" s="30" t="n"/>
      <c r="D2311" s="30" t="n"/>
      <c r="E2311" s="30" t="n"/>
      <c r="F2311" s="30" t="n"/>
      <c r="G2311" s="30" t="n"/>
      <c r="H2311" s="30" t="n"/>
      <c r="I2311" s="31" t="n"/>
      <c r="J2311" s="30" t="n"/>
      <c r="K2311" s="30" t="n"/>
      <c r="L2311" s="30" t="n"/>
      <c r="M2311" s="30" t="n"/>
      <c r="N2311" s="32" t="n"/>
      <c r="O2311" s="30" t="n"/>
      <c r="P2311" s="32" t="n"/>
      <c r="Q2311" s="30" t="n"/>
      <c r="R2311" s="32" t="n"/>
      <c r="S2311" s="30" t="n"/>
      <c r="T2311" s="30" t="n"/>
      <c r="U2311" s="30" t="n"/>
      <c r="V2311" s="30" t="n"/>
      <c r="W2311" s="29">
        <f>IF(H2311="","",IF(H2311="Kenya","Yes","No"))</f>
        <v/>
      </c>
      <c r="X2311" s="29">
        <f>IF(B2311="","",IF(COUNTIF($B$5:$B$3004,B2311)&gt;1,"DUPLICATE","OK"))</f>
        <v/>
      </c>
      <c r="Y2311" s="29">
        <f>IF(OR(U2311="",V2311="",V2311="Excluded"),"",IF(COUNTIFS($U$5:$U$3004,U2311,$V$5:$V$3004,"&lt;&gt;"&amp;V2311,$V$5:$V$3004,"&lt;&gt;",$V$5:$V$3004,"&lt;&gt;Excluded")&gt;0,"LEAK RISK","OK"))</f>
        <v/>
      </c>
      <c r="Z2311" s="30" t="n"/>
    </row>
    <row r="2312">
      <c r="A2312" s="30" t="n"/>
      <c r="B2312" s="30" t="n"/>
      <c r="C2312" s="30" t="n"/>
      <c r="D2312" s="30" t="n"/>
      <c r="E2312" s="30" t="n"/>
      <c r="F2312" s="30" t="n"/>
      <c r="G2312" s="30" t="n"/>
      <c r="H2312" s="30" t="n"/>
      <c r="I2312" s="31" t="n"/>
      <c r="J2312" s="30" t="n"/>
      <c r="K2312" s="30" t="n"/>
      <c r="L2312" s="30" t="n"/>
      <c r="M2312" s="30" t="n"/>
      <c r="N2312" s="32" t="n"/>
      <c r="O2312" s="30" t="n"/>
      <c r="P2312" s="32" t="n"/>
      <c r="Q2312" s="30" t="n"/>
      <c r="R2312" s="32" t="n"/>
      <c r="S2312" s="30" t="n"/>
      <c r="T2312" s="30" t="n"/>
      <c r="U2312" s="30" t="n"/>
      <c r="V2312" s="30" t="n"/>
      <c r="W2312" s="29">
        <f>IF(H2312="","",IF(H2312="Kenya","Yes","No"))</f>
        <v/>
      </c>
      <c r="X2312" s="29">
        <f>IF(B2312="","",IF(COUNTIF($B$5:$B$3004,B2312)&gt;1,"DUPLICATE","OK"))</f>
        <v/>
      </c>
      <c r="Y2312" s="29">
        <f>IF(OR(U2312="",V2312="",V2312="Excluded"),"",IF(COUNTIFS($U$5:$U$3004,U2312,$V$5:$V$3004,"&lt;&gt;"&amp;V2312,$V$5:$V$3004,"&lt;&gt;",$V$5:$V$3004,"&lt;&gt;Excluded")&gt;0,"LEAK RISK","OK"))</f>
        <v/>
      </c>
      <c r="Z2312" s="30" t="n"/>
    </row>
    <row r="2313">
      <c r="A2313" s="30" t="n"/>
      <c r="B2313" s="30" t="n"/>
      <c r="C2313" s="30" t="n"/>
      <c r="D2313" s="30" t="n"/>
      <c r="E2313" s="30" t="n"/>
      <c r="F2313" s="30" t="n"/>
      <c r="G2313" s="30" t="n"/>
      <c r="H2313" s="30" t="n"/>
      <c r="I2313" s="31" t="n"/>
      <c r="J2313" s="30" t="n"/>
      <c r="K2313" s="30" t="n"/>
      <c r="L2313" s="30" t="n"/>
      <c r="M2313" s="30" t="n"/>
      <c r="N2313" s="32" t="n"/>
      <c r="O2313" s="30" t="n"/>
      <c r="P2313" s="32" t="n"/>
      <c r="Q2313" s="30" t="n"/>
      <c r="R2313" s="32" t="n"/>
      <c r="S2313" s="30" t="n"/>
      <c r="T2313" s="30" t="n"/>
      <c r="U2313" s="30" t="n"/>
      <c r="V2313" s="30" t="n"/>
      <c r="W2313" s="29">
        <f>IF(H2313="","",IF(H2313="Kenya","Yes","No"))</f>
        <v/>
      </c>
      <c r="X2313" s="29">
        <f>IF(B2313="","",IF(COUNTIF($B$5:$B$3004,B2313)&gt;1,"DUPLICATE","OK"))</f>
        <v/>
      </c>
      <c r="Y2313" s="29">
        <f>IF(OR(U2313="",V2313="",V2313="Excluded"),"",IF(COUNTIFS($U$5:$U$3004,U2313,$V$5:$V$3004,"&lt;&gt;"&amp;V2313,$V$5:$V$3004,"&lt;&gt;",$V$5:$V$3004,"&lt;&gt;Excluded")&gt;0,"LEAK RISK","OK"))</f>
        <v/>
      </c>
      <c r="Z2313" s="30" t="n"/>
    </row>
    <row r="2314">
      <c r="A2314" s="30" t="n"/>
      <c r="B2314" s="30" t="n"/>
      <c r="C2314" s="30" t="n"/>
      <c r="D2314" s="30" t="n"/>
      <c r="E2314" s="30" t="n"/>
      <c r="F2314" s="30" t="n"/>
      <c r="G2314" s="30" t="n"/>
      <c r="H2314" s="30" t="n"/>
      <c r="I2314" s="31" t="n"/>
      <c r="J2314" s="30" t="n"/>
      <c r="K2314" s="30" t="n"/>
      <c r="L2314" s="30" t="n"/>
      <c r="M2314" s="30" t="n"/>
      <c r="N2314" s="32" t="n"/>
      <c r="O2314" s="30" t="n"/>
      <c r="P2314" s="32" t="n"/>
      <c r="Q2314" s="30" t="n"/>
      <c r="R2314" s="32" t="n"/>
      <c r="S2314" s="30" t="n"/>
      <c r="T2314" s="30" t="n"/>
      <c r="U2314" s="30" t="n"/>
      <c r="V2314" s="30" t="n"/>
      <c r="W2314" s="29">
        <f>IF(H2314="","",IF(H2314="Kenya","Yes","No"))</f>
        <v/>
      </c>
      <c r="X2314" s="29">
        <f>IF(B2314="","",IF(COUNTIF($B$5:$B$3004,B2314)&gt;1,"DUPLICATE","OK"))</f>
        <v/>
      </c>
      <c r="Y2314" s="29">
        <f>IF(OR(U2314="",V2314="",V2314="Excluded"),"",IF(COUNTIFS($U$5:$U$3004,U2314,$V$5:$V$3004,"&lt;&gt;"&amp;V2314,$V$5:$V$3004,"&lt;&gt;",$V$5:$V$3004,"&lt;&gt;Excluded")&gt;0,"LEAK RISK","OK"))</f>
        <v/>
      </c>
      <c r="Z2314" s="30" t="n"/>
    </row>
    <row r="2315">
      <c r="A2315" s="30" t="n"/>
      <c r="B2315" s="30" t="n"/>
      <c r="C2315" s="30" t="n"/>
      <c r="D2315" s="30" t="n"/>
      <c r="E2315" s="30" t="n"/>
      <c r="F2315" s="30" t="n"/>
      <c r="G2315" s="30" t="n"/>
      <c r="H2315" s="30" t="n"/>
      <c r="I2315" s="31" t="n"/>
      <c r="J2315" s="30" t="n"/>
      <c r="K2315" s="30" t="n"/>
      <c r="L2315" s="30" t="n"/>
      <c r="M2315" s="30" t="n"/>
      <c r="N2315" s="32" t="n"/>
      <c r="O2315" s="30" t="n"/>
      <c r="P2315" s="32" t="n"/>
      <c r="Q2315" s="30" t="n"/>
      <c r="R2315" s="32" t="n"/>
      <c r="S2315" s="30" t="n"/>
      <c r="T2315" s="30" t="n"/>
      <c r="U2315" s="30" t="n"/>
      <c r="V2315" s="30" t="n"/>
      <c r="W2315" s="29">
        <f>IF(H2315="","",IF(H2315="Kenya","Yes","No"))</f>
        <v/>
      </c>
      <c r="X2315" s="29">
        <f>IF(B2315="","",IF(COUNTIF($B$5:$B$3004,B2315)&gt;1,"DUPLICATE","OK"))</f>
        <v/>
      </c>
      <c r="Y2315" s="29">
        <f>IF(OR(U2315="",V2315="",V2315="Excluded"),"",IF(COUNTIFS($U$5:$U$3004,U2315,$V$5:$V$3004,"&lt;&gt;"&amp;V2315,$V$5:$V$3004,"&lt;&gt;",$V$5:$V$3004,"&lt;&gt;Excluded")&gt;0,"LEAK RISK","OK"))</f>
        <v/>
      </c>
      <c r="Z2315" s="30" t="n"/>
    </row>
    <row r="2316">
      <c r="A2316" s="30" t="n"/>
      <c r="B2316" s="30" t="n"/>
      <c r="C2316" s="30" t="n"/>
      <c r="D2316" s="30" t="n"/>
      <c r="E2316" s="30" t="n"/>
      <c r="F2316" s="30" t="n"/>
      <c r="G2316" s="30" t="n"/>
      <c r="H2316" s="30" t="n"/>
      <c r="I2316" s="31" t="n"/>
      <c r="J2316" s="30" t="n"/>
      <c r="K2316" s="30" t="n"/>
      <c r="L2316" s="30" t="n"/>
      <c r="M2316" s="30" t="n"/>
      <c r="N2316" s="32" t="n"/>
      <c r="O2316" s="30" t="n"/>
      <c r="P2316" s="32" t="n"/>
      <c r="Q2316" s="30" t="n"/>
      <c r="R2316" s="32" t="n"/>
      <c r="S2316" s="30" t="n"/>
      <c r="T2316" s="30" t="n"/>
      <c r="U2316" s="30" t="n"/>
      <c r="V2316" s="30" t="n"/>
      <c r="W2316" s="29">
        <f>IF(H2316="","",IF(H2316="Kenya","Yes","No"))</f>
        <v/>
      </c>
      <c r="X2316" s="29">
        <f>IF(B2316="","",IF(COUNTIF($B$5:$B$3004,B2316)&gt;1,"DUPLICATE","OK"))</f>
        <v/>
      </c>
      <c r="Y2316" s="29">
        <f>IF(OR(U2316="",V2316="",V2316="Excluded"),"",IF(COUNTIFS($U$5:$U$3004,U2316,$V$5:$V$3004,"&lt;&gt;"&amp;V2316,$V$5:$V$3004,"&lt;&gt;",$V$5:$V$3004,"&lt;&gt;Excluded")&gt;0,"LEAK RISK","OK"))</f>
        <v/>
      </c>
      <c r="Z2316" s="30" t="n"/>
    </row>
    <row r="2317">
      <c r="A2317" s="30" t="n"/>
      <c r="B2317" s="30" t="n"/>
      <c r="C2317" s="30" t="n"/>
      <c r="D2317" s="30" t="n"/>
      <c r="E2317" s="30" t="n"/>
      <c r="F2317" s="30" t="n"/>
      <c r="G2317" s="30" t="n"/>
      <c r="H2317" s="30" t="n"/>
      <c r="I2317" s="31" t="n"/>
      <c r="J2317" s="30" t="n"/>
      <c r="K2317" s="30" t="n"/>
      <c r="L2317" s="30" t="n"/>
      <c r="M2317" s="30" t="n"/>
      <c r="N2317" s="32" t="n"/>
      <c r="O2317" s="30" t="n"/>
      <c r="P2317" s="32" t="n"/>
      <c r="Q2317" s="30" t="n"/>
      <c r="R2317" s="32" t="n"/>
      <c r="S2317" s="30" t="n"/>
      <c r="T2317" s="30" t="n"/>
      <c r="U2317" s="30" t="n"/>
      <c r="V2317" s="30" t="n"/>
      <c r="W2317" s="29">
        <f>IF(H2317="","",IF(H2317="Kenya","Yes","No"))</f>
        <v/>
      </c>
      <c r="X2317" s="29">
        <f>IF(B2317="","",IF(COUNTIF($B$5:$B$3004,B2317)&gt;1,"DUPLICATE","OK"))</f>
        <v/>
      </c>
      <c r="Y2317" s="29">
        <f>IF(OR(U2317="",V2317="",V2317="Excluded"),"",IF(COUNTIFS($U$5:$U$3004,U2317,$V$5:$V$3004,"&lt;&gt;"&amp;V2317,$V$5:$V$3004,"&lt;&gt;",$V$5:$V$3004,"&lt;&gt;Excluded")&gt;0,"LEAK RISK","OK"))</f>
        <v/>
      </c>
      <c r="Z2317" s="30" t="n"/>
    </row>
    <row r="2318">
      <c r="A2318" s="30" t="n"/>
      <c r="B2318" s="30" t="n"/>
      <c r="C2318" s="30" t="n"/>
      <c r="D2318" s="30" t="n"/>
      <c r="E2318" s="30" t="n"/>
      <c r="F2318" s="30" t="n"/>
      <c r="G2318" s="30" t="n"/>
      <c r="H2318" s="30" t="n"/>
      <c r="I2318" s="31" t="n"/>
      <c r="J2318" s="30" t="n"/>
      <c r="K2318" s="30" t="n"/>
      <c r="L2318" s="30" t="n"/>
      <c r="M2318" s="30" t="n"/>
      <c r="N2318" s="32" t="n"/>
      <c r="O2318" s="30" t="n"/>
      <c r="P2318" s="32" t="n"/>
      <c r="Q2318" s="30" t="n"/>
      <c r="R2318" s="32" t="n"/>
      <c r="S2318" s="30" t="n"/>
      <c r="T2318" s="30" t="n"/>
      <c r="U2318" s="30" t="n"/>
      <c r="V2318" s="30" t="n"/>
      <c r="W2318" s="29">
        <f>IF(H2318="","",IF(H2318="Kenya","Yes","No"))</f>
        <v/>
      </c>
      <c r="X2318" s="29">
        <f>IF(B2318="","",IF(COUNTIF($B$5:$B$3004,B2318)&gt;1,"DUPLICATE","OK"))</f>
        <v/>
      </c>
      <c r="Y2318" s="29">
        <f>IF(OR(U2318="",V2318="",V2318="Excluded"),"",IF(COUNTIFS($U$5:$U$3004,U2318,$V$5:$V$3004,"&lt;&gt;"&amp;V2318,$V$5:$V$3004,"&lt;&gt;",$V$5:$V$3004,"&lt;&gt;Excluded")&gt;0,"LEAK RISK","OK"))</f>
        <v/>
      </c>
      <c r="Z2318" s="30" t="n"/>
    </row>
    <row r="2319">
      <c r="A2319" s="30" t="n"/>
      <c r="B2319" s="30" t="n"/>
      <c r="C2319" s="30" t="n"/>
      <c r="D2319" s="30" t="n"/>
      <c r="E2319" s="30" t="n"/>
      <c r="F2319" s="30" t="n"/>
      <c r="G2319" s="30" t="n"/>
      <c r="H2319" s="30" t="n"/>
      <c r="I2319" s="31" t="n"/>
      <c r="J2319" s="30" t="n"/>
      <c r="K2319" s="30" t="n"/>
      <c r="L2319" s="30" t="n"/>
      <c r="M2319" s="30" t="n"/>
      <c r="N2319" s="32" t="n"/>
      <c r="O2319" s="30" t="n"/>
      <c r="P2319" s="32" t="n"/>
      <c r="Q2319" s="30" t="n"/>
      <c r="R2319" s="32" t="n"/>
      <c r="S2319" s="30" t="n"/>
      <c r="T2319" s="30" t="n"/>
      <c r="U2319" s="30" t="n"/>
      <c r="V2319" s="30" t="n"/>
      <c r="W2319" s="29">
        <f>IF(H2319="","",IF(H2319="Kenya","Yes","No"))</f>
        <v/>
      </c>
      <c r="X2319" s="29">
        <f>IF(B2319="","",IF(COUNTIF($B$5:$B$3004,B2319)&gt;1,"DUPLICATE","OK"))</f>
        <v/>
      </c>
      <c r="Y2319" s="29">
        <f>IF(OR(U2319="",V2319="",V2319="Excluded"),"",IF(COUNTIFS($U$5:$U$3004,U2319,$V$5:$V$3004,"&lt;&gt;"&amp;V2319,$V$5:$V$3004,"&lt;&gt;",$V$5:$V$3004,"&lt;&gt;Excluded")&gt;0,"LEAK RISK","OK"))</f>
        <v/>
      </c>
      <c r="Z2319" s="30" t="n"/>
    </row>
    <row r="2320">
      <c r="A2320" s="30" t="n"/>
      <c r="B2320" s="30" t="n"/>
      <c r="C2320" s="30" t="n"/>
      <c r="D2320" s="30" t="n"/>
      <c r="E2320" s="30" t="n"/>
      <c r="F2320" s="30" t="n"/>
      <c r="G2320" s="30" t="n"/>
      <c r="H2320" s="30" t="n"/>
      <c r="I2320" s="31" t="n"/>
      <c r="J2320" s="30" t="n"/>
      <c r="K2320" s="30" t="n"/>
      <c r="L2320" s="30" t="n"/>
      <c r="M2320" s="30" t="n"/>
      <c r="N2320" s="32" t="n"/>
      <c r="O2320" s="30" t="n"/>
      <c r="P2320" s="32" t="n"/>
      <c r="Q2320" s="30" t="n"/>
      <c r="R2320" s="32" t="n"/>
      <c r="S2320" s="30" t="n"/>
      <c r="T2320" s="30" t="n"/>
      <c r="U2320" s="30" t="n"/>
      <c r="V2320" s="30" t="n"/>
      <c r="W2320" s="29">
        <f>IF(H2320="","",IF(H2320="Kenya","Yes","No"))</f>
        <v/>
      </c>
      <c r="X2320" s="29">
        <f>IF(B2320="","",IF(COUNTIF($B$5:$B$3004,B2320)&gt;1,"DUPLICATE","OK"))</f>
        <v/>
      </c>
      <c r="Y2320" s="29">
        <f>IF(OR(U2320="",V2320="",V2320="Excluded"),"",IF(COUNTIFS($U$5:$U$3004,U2320,$V$5:$V$3004,"&lt;&gt;"&amp;V2320,$V$5:$V$3004,"&lt;&gt;",$V$5:$V$3004,"&lt;&gt;Excluded")&gt;0,"LEAK RISK","OK"))</f>
        <v/>
      </c>
      <c r="Z2320" s="30" t="n"/>
    </row>
    <row r="2321">
      <c r="A2321" s="30" t="n"/>
      <c r="B2321" s="30" t="n"/>
      <c r="C2321" s="30" t="n"/>
      <c r="D2321" s="30" t="n"/>
      <c r="E2321" s="30" t="n"/>
      <c r="F2321" s="30" t="n"/>
      <c r="G2321" s="30" t="n"/>
      <c r="H2321" s="30" t="n"/>
      <c r="I2321" s="31" t="n"/>
      <c r="J2321" s="30" t="n"/>
      <c r="K2321" s="30" t="n"/>
      <c r="L2321" s="30" t="n"/>
      <c r="M2321" s="30" t="n"/>
      <c r="N2321" s="32" t="n"/>
      <c r="O2321" s="30" t="n"/>
      <c r="P2321" s="32" t="n"/>
      <c r="Q2321" s="30" t="n"/>
      <c r="R2321" s="32" t="n"/>
      <c r="S2321" s="30" t="n"/>
      <c r="T2321" s="30" t="n"/>
      <c r="U2321" s="30" t="n"/>
      <c r="V2321" s="30" t="n"/>
      <c r="W2321" s="29">
        <f>IF(H2321="","",IF(H2321="Kenya","Yes","No"))</f>
        <v/>
      </c>
      <c r="X2321" s="29">
        <f>IF(B2321="","",IF(COUNTIF($B$5:$B$3004,B2321)&gt;1,"DUPLICATE","OK"))</f>
        <v/>
      </c>
      <c r="Y2321" s="29">
        <f>IF(OR(U2321="",V2321="",V2321="Excluded"),"",IF(COUNTIFS($U$5:$U$3004,U2321,$V$5:$V$3004,"&lt;&gt;"&amp;V2321,$V$5:$V$3004,"&lt;&gt;",$V$5:$V$3004,"&lt;&gt;Excluded")&gt;0,"LEAK RISK","OK"))</f>
        <v/>
      </c>
      <c r="Z2321" s="30" t="n"/>
    </row>
    <row r="2322">
      <c r="A2322" s="30" t="n"/>
      <c r="B2322" s="30" t="n"/>
      <c r="C2322" s="30" t="n"/>
      <c r="D2322" s="30" t="n"/>
      <c r="E2322" s="30" t="n"/>
      <c r="F2322" s="30" t="n"/>
      <c r="G2322" s="30" t="n"/>
      <c r="H2322" s="30" t="n"/>
      <c r="I2322" s="31" t="n"/>
      <c r="J2322" s="30" t="n"/>
      <c r="K2322" s="30" t="n"/>
      <c r="L2322" s="30" t="n"/>
      <c r="M2322" s="30" t="n"/>
      <c r="N2322" s="32" t="n"/>
      <c r="O2322" s="30" t="n"/>
      <c r="P2322" s="32" t="n"/>
      <c r="Q2322" s="30" t="n"/>
      <c r="R2322" s="32" t="n"/>
      <c r="S2322" s="30" t="n"/>
      <c r="T2322" s="30" t="n"/>
      <c r="U2322" s="30" t="n"/>
      <c r="V2322" s="30" t="n"/>
      <c r="W2322" s="29">
        <f>IF(H2322="","",IF(H2322="Kenya","Yes","No"))</f>
        <v/>
      </c>
      <c r="X2322" s="29">
        <f>IF(B2322="","",IF(COUNTIF($B$5:$B$3004,B2322)&gt;1,"DUPLICATE","OK"))</f>
        <v/>
      </c>
      <c r="Y2322" s="29">
        <f>IF(OR(U2322="",V2322="",V2322="Excluded"),"",IF(COUNTIFS($U$5:$U$3004,U2322,$V$5:$V$3004,"&lt;&gt;"&amp;V2322,$V$5:$V$3004,"&lt;&gt;",$V$5:$V$3004,"&lt;&gt;Excluded")&gt;0,"LEAK RISK","OK"))</f>
        <v/>
      </c>
      <c r="Z2322" s="30" t="n"/>
    </row>
    <row r="2323">
      <c r="A2323" s="30" t="n"/>
      <c r="B2323" s="30" t="n"/>
      <c r="C2323" s="30" t="n"/>
      <c r="D2323" s="30" t="n"/>
      <c r="E2323" s="30" t="n"/>
      <c r="F2323" s="30" t="n"/>
      <c r="G2323" s="30" t="n"/>
      <c r="H2323" s="30" t="n"/>
      <c r="I2323" s="31" t="n"/>
      <c r="J2323" s="30" t="n"/>
      <c r="K2323" s="30" t="n"/>
      <c r="L2323" s="30" t="n"/>
      <c r="M2323" s="30" t="n"/>
      <c r="N2323" s="32" t="n"/>
      <c r="O2323" s="30" t="n"/>
      <c r="P2323" s="32" t="n"/>
      <c r="Q2323" s="30" t="n"/>
      <c r="R2323" s="32" t="n"/>
      <c r="S2323" s="30" t="n"/>
      <c r="T2323" s="30" t="n"/>
      <c r="U2323" s="30" t="n"/>
      <c r="V2323" s="30" t="n"/>
      <c r="W2323" s="29">
        <f>IF(H2323="","",IF(H2323="Kenya","Yes","No"))</f>
        <v/>
      </c>
      <c r="X2323" s="29">
        <f>IF(B2323="","",IF(COUNTIF($B$5:$B$3004,B2323)&gt;1,"DUPLICATE","OK"))</f>
        <v/>
      </c>
      <c r="Y2323" s="29">
        <f>IF(OR(U2323="",V2323="",V2323="Excluded"),"",IF(COUNTIFS($U$5:$U$3004,U2323,$V$5:$V$3004,"&lt;&gt;"&amp;V2323,$V$5:$V$3004,"&lt;&gt;",$V$5:$V$3004,"&lt;&gt;Excluded")&gt;0,"LEAK RISK","OK"))</f>
        <v/>
      </c>
      <c r="Z2323" s="30" t="n"/>
    </row>
    <row r="2324">
      <c r="A2324" s="30" t="n"/>
      <c r="B2324" s="30" t="n"/>
      <c r="C2324" s="30" t="n"/>
      <c r="D2324" s="30" t="n"/>
      <c r="E2324" s="30" t="n"/>
      <c r="F2324" s="30" t="n"/>
      <c r="G2324" s="30" t="n"/>
      <c r="H2324" s="30" t="n"/>
      <c r="I2324" s="31" t="n"/>
      <c r="J2324" s="30" t="n"/>
      <c r="K2324" s="30" t="n"/>
      <c r="L2324" s="30" t="n"/>
      <c r="M2324" s="30" t="n"/>
      <c r="N2324" s="32" t="n"/>
      <c r="O2324" s="30" t="n"/>
      <c r="P2324" s="32" t="n"/>
      <c r="Q2324" s="30" t="n"/>
      <c r="R2324" s="32" t="n"/>
      <c r="S2324" s="30" t="n"/>
      <c r="T2324" s="30" t="n"/>
      <c r="U2324" s="30" t="n"/>
      <c r="V2324" s="30" t="n"/>
      <c r="W2324" s="29">
        <f>IF(H2324="","",IF(H2324="Kenya","Yes","No"))</f>
        <v/>
      </c>
      <c r="X2324" s="29">
        <f>IF(B2324="","",IF(COUNTIF($B$5:$B$3004,B2324)&gt;1,"DUPLICATE","OK"))</f>
        <v/>
      </c>
      <c r="Y2324" s="29">
        <f>IF(OR(U2324="",V2324="",V2324="Excluded"),"",IF(COUNTIFS($U$5:$U$3004,U2324,$V$5:$V$3004,"&lt;&gt;"&amp;V2324,$V$5:$V$3004,"&lt;&gt;",$V$5:$V$3004,"&lt;&gt;Excluded")&gt;0,"LEAK RISK","OK"))</f>
        <v/>
      </c>
      <c r="Z2324" s="30" t="n"/>
    </row>
    <row r="2325">
      <c r="A2325" s="30" t="n"/>
      <c r="B2325" s="30" t="n"/>
      <c r="C2325" s="30" t="n"/>
      <c r="D2325" s="30" t="n"/>
      <c r="E2325" s="30" t="n"/>
      <c r="F2325" s="30" t="n"/>
      <c r="G2325" s="30" t="n"/>
      <c r="H2325" s="30" t="n"/>
      <c r="I2325" s="31" t="n"/>
      <c r="J2325" s="30" t="n"/>
      <c r="K2325" s="30" t="n"/>
      <c r="L2325" s="30" t="n"/>
      <c r="M2325" s="30" t="n"/>
      <c r="N2325" s="32" t="n"/>
      <c r="O2325" s="30" t="n"/>
      <c r="P2325" s="32" t="n"/>
      <c r="Q2325" s="30" t="n"/>
      <c r="R2325" s="32" t="n"/>
      <c r="S2325" s="30" t="n"/>
      <c r="T2325" s="30" t="n"/>
      <c r="U2325" s="30" t="n"/>
      <c r="V2325" s="30" t="n"/>
      <c r="W2325" s="29">
        <f>IF(H2325="","",IF(H2325="Kenya","Yes","No"))</f>
        <v/>
      </c>
      <c r="X2325" s="29">
        <f>IF(B2325="","",IF(COUNTIF($B$5:$B$3004,B2325)&gt;1,"DUPLICATE","OK"))</f>
        <v/>
      </c>
      <c r="Y2325" s="29">
        <f>IF(OR(U2325="",V2325="",V2325="Excluded"),"",IF(COUNTIFS($U$5:$U$3004,U2325,$V$5:$V$3004,"&lt;&gt;"&amp;V2325,$V$5:$V$3004,"&lt;&gt;",$V$5:$V$3004,"&lt;&gt;Excluded")&gt;0,"LEAK RISK","OK"))</f>
        <v/>
      </c>
      <c r="Z2325" s="30" t="n"/>
    </row>
    <row r="2326">
      <c r="A2326" s="30" t="n"/>
      <c r="B2326" s="30" t="n"/>
      <c r="C2326" s="30" t="n"/>
      <c r="D2326" s="30" t="n"/>
      <c r="E2326" s="30" t="n"/>
      <c r="F2326" s="30" t="n"/>
      <c r="G2326" s="30" t="n"/>
      <c r="H2326" s="30" t="n"/>
      <c r="I2326" s="31" t="n"/>
      <c r="J2326" s="30" t="n"/>
      <c r="K2326" s="30" t="n"/>
      <c r="L2326" s="30" t="n"/>
      <c r="M2326" s="30" t="n"/>
      <c r="N2326" s="32" t="n"/>
      <c r="O2326" s="30" t="n"/>
      <c r="P2326" s="32" t="n"/>
      <c r="Q2326" s="30" t="n"/>
      <c r="R2326" s="32" t="n"/>
      <c r="S2326" s="30" t="n"/>
      <c r="T2326" s="30" t="n"/>
      <c r="U2326" s="30" t="n"/>
      <c r="V2326" s="30" t="n"/>
      <c r="W2326" s="29">
        <f>IF(H2326="","",IF(H2326="Kenya","Yes","No"))</f>
        <v/>
      </c>
      <c r="X2326" s="29">
        <f>IF(B2326="","",IF(COUNTIF($B$5:$B$3004,B2326)&gt;1,"DUPLICATE","OK"))</f>
        <v/>
      </c>
      <c r="Y2326" s="29">
        <f>IF(OR(U2326="",V2326="",V2326="Excluded"),"",IF(COUNTIFS($U$5:$U$3004,U2326,$V$5:$V$3004,"&lt;&gt;"&amp;V2326,$V$5:$V$3004,"&lt;&gt;",$V$5:$V$3004,"&lt;&gt;Excluded")&gt;0,"LEAK RISK","OK"))</f>
        <v/>
      </c>
      <c r="Z2326" s="30" t="n"/>
    </row>
    <row r="2327">
      <c r="A2327" s="30" t="n"/>
      <c r="B2327" s="30" t="n"/>
      <c r="C2327" s="30" t="n"/>
      <c r="D2327" s="30" t="n"/>
      <c r="E2327" s="30" t="n"/>
      <c r="F2327" s="30" t="n"/>
      <c r="G2327" s="30" t="n"/>
      <c r="H2327" s="30" t="n"/>
      <c r="I2327" s="31" t="n"/>
      <c r="J2327" s="30" t="n"/>
      <c r="K2327" s="30" t="n"/>
      <c r="L2327" s="30" t="n"/>
      <c r="M2327" s="30" t="n"/>
      <c r="N2327" s="32" t="n"/>
      <c r="O2327" s="30" t="n"/>
      <c r="P2327" s="32" t="n"/>
      <c r="Q2327" s="30" t="n"/>
      <c r="R2327" s="32" t="n"/>
      <c r="S2327" s="30" t="n"/>
      <c r="T2327" s="30" t="n"/>
      <c r="U2327" s="30" t="n"/>
      <c r="V2327" s="30" t="n"/>
      <c r="W2327" s="29">
        <f>IF(H2327="","",IF(H2327="Kenya","Yes","No"))</f>
        <v/>
      </c>
      <c r="X2327" s="29">
        <f>IF(B2327="","",IF(COUNTIF($B$5:$B$3004,B2327)&gt;1,"DUPLICATE","OK"))</f>
        <v/>
      </c>
      <c r="Y2327" s="29">
        <f>IF(OR(U2327="",V2327="",V2327="Excluded"),"",IF(COUNTIFS($U$5:$U$3004,U2327,$V$5:$V$3004,"&lt;&gt;"&amp;V2327,$V$5:$V$3004,"&lt;&gt;",$V$5:$V$3004,"&lt;&gt;Excluded")&gt;0,"LEAK RISK","OK"))</f>
        <v/>
      </c>
      <c r="Z2327" s="30" t="n"/>
    </row>
    <row r="2328">
      <c r="A2328" s="30" t="n"/>
      <c r="B2328" s="30" t="n"/>
      <c r="C2328" s="30" t="n"/>
      <c r="D2328" s="30" t="n"/>
      <c r="E2328" s="30" t="n"/>
      <c r="F2328" s="30" t="n"/>
      <c r="G2328" s="30" t="n"/>
      <c r="H2328" s="30" t="n"/>
      <c r="I2328" s="31" t="n"/>
      <c r="J2328" s="30" t="n"/>
      <c r="K2328" s="30" t="n"/>
      <c r="L2328" s="30" t="n"/>
      <c r="M2328" s="30" t="n"/>
      <c r="N2328" s="32" t="n"/>
      <c r="O2328" s="30" t="n"/>
      <c r="P2328" s="32" t="n"/>
      <c r="Q2328" s="30" t="n"/>
      <c r="R2328" s="32" t="n"/>
      <c r="S2328" s="30" t="n"/>
      <c r="T2328" s="30" t="n"/>
      <c r="U2328" s="30" t="n"/>
      <c r="V2328" s="30" t="n"/>
      <c r="W2328" s="29">
        <f>IF(H2328="","",IF(H2328="Kenya","Yes","No"))</f>
        <v/>
      </c>
      <c r="X2328" s="29">
        <f>IF(B2328="","",IF(COUNTIF($B$5:$B$3004,B2328)&gt;1,"DUPLICATE","OK"))</f>
        <v/>
      </c>
      <c r="Y2328" s="29">
        <f>IF(OR(U2328="",V2328="",V2328="Excluded"),"",IF(COUNTIFS($U$5:$U$3004,U2328,$V$5:$V$3004,"&lt;&gt;"&amp;V2328,$V$5:$V$3004,"&lt;&gt;",$V$5:$V$3004,"&lt;&gt;Excluded")&gt;0,"LEAK RISK","OK"))</f>
        <v/>
      </c>
      <c r="Z2328" s="30" t="n"/>
    </row>
    <row r="2329">
      <c r="A2329" s="30" t="n"/>
      <c r="B2329" s="30" t="n"/>
      <c r="C2329" s="30" t="n"/>
      <c r="D2329" s="30" t="n"/>
      <c r="E2329" s="30" t="n"/>
      <c r="F2329" s="30" t="n"/>
      <c r="G2329" s="30" t="n"/>
      <c r="H2329" s="30" t="n"/>
      <c r="I2329" s="31" t="n"/>
      <c r="J2329" s="30" t="n"/>
      <c r="K2329" s="30" t="n"/>
      <c r="L2329" s="30" t="n"/>
      <c r="M2329" s="30" t="n"/>
      <c r="N2329" s="32" t="n"/>
      <c r="O2329" s="30" t="n"/>
      <c r="P2329" s="32" t="n"/>
      <c r="Q2329" s="30" t="n"/>
      <c r="R2329" s="32" t="n"/>
      <c r="S2329" s="30" t="n"/>
      <c r="T2329" s="30" t="n"/>
      <c r="U2329" s="30" t="n"/>
      <c r="V2329" s="30" t="n"/>
      <c r="W2329" s="29">
        <f>IF(H2329="","",IF(H2329="Kenya","Yes","No"))</f>
        <v/>
      </c>
      <c r="X2329" s="29">
        <f>IF(B2329="","",IF(COUNTIF($B$5:$B$3004,B2329)&gt;1,"DUPLICATE","OK"))</f>
        <v/>
      </c>
      <c r="Y2329" s="29">
        <f>IF(OR(U2329="",V2329="",V2329="Excluded"),"",IF(COUNTIFS($U$5:$U$3004,U2329,$V$5:$V$3004,"&lt;&gt;"&amp;V2329,$V$5:$V$3004,"&lt;&gt;",$V$5:$V$3004,"&lt;&gt;Excluded")&gt;0,"LEAK RISK","OK"))</f>
        <v/>
      </c>
      <c r="Z2329" s="30" t="n"/>
    </row>
    <row r="2330">
      <c r="A2330" s="30" t="n"/>
      <c r="B2330" s="30" t="n"/>
      <c r="C2330" s="30" t="n"/>
      <c r="D2330" s="30" t="n"/>
      <c r="E2330" s="30" t="n"/>
      <c r="F2330" s="30" t="n"/>
      <c r="G2330" s="30" t="n"/>
      <c r="H2330" s="30" t="n"/>
      <c r="I2330" s="31" t="n"/>
      <c r="J2330" s="30" t="n"/>
      <c r="K2330" s="30" t="n"/>
      <c r="L2330" s="30" t="n"/>
      <c r="M2330" s="30" t="n"/>
      <c r="N2330" s="32" t="n"/>
      <c r="O2330" s="30" t="n"/>
      <c r="P2330" s="32" t="n"/>
      <c r="Q2330" s="30" t="n"/>
      <c r="R2330" s="32" t="n"/>
      <c r="S2330" s="30" t="n"/>
      <c r="T2330" s="30" t="n"/>
      <c r="U2330" s="30" t="n"/>
      <c r="V2330" s="30" t="n"/>
      <c r="W2330" s="29">
        <f>IF(H2330="","",IF(H2330="Kenya","Yes","No"))</f>
        <v/>
      </c>
      <c r="X2330" s="29">
        <f>IF(B2330="","",IF(COUNTIF($B$5:$B$3004,B2330)&gt;1,"DUPLICATE","OK"))</f>
        <v/>
      </c>
      <c r="Y2330" s="29">
        <f>IF(OR(U2330="",V2330="",V2330="Excluded"),"",IF(COUNTIFS($U$5:$U$3004,U2330,$V$5:$V$3004,"&lt;&gt;"&amp;V2330,$V$5:$V$3004,"&lt;&gt;",$V$5:$V$3004,"&lt;&gt;Excluded")&gt;0,"LEAK RISK","OK"))</f>
        <v/>
      </c>
      <c r="Z2330" s="30" t="n"/>
    </row>
    <row r="2331">
      <c r="A2331" s="30" t="n"/>
      <c r="B2331" s="30" t="n"/>
      <c r="C2331" s="30" t="n"/>
      <c r="D2331" s="30" t="n"/>
      <c r="E2331" s="30" t="n"/>
      <c r="F2331" s="30" t="n"/>
      <c r="G2331" s="30" t="n"/>
      <c r="H2331" s="30" t="n"/>
      <c r="I2331" s="31" t="n"/>
      <c r="J2331" s="30" t="n"/>
      <c r="K2331" s="30" t="n"/>
      <c r="L2331" s="30" t="n"/>
      <c r="M2331" s="30" t="n"/>
      <c r="N2331" s="32" t="n"/>
      <c r="O2331" s="30" t="n"/>
      <c r="P2331" s="32" t="n"/>
      <c r="Q2331" s="30" t="n"/>
      <c r="R2331" s="32" t="n"/>
      <c r="S2331" s="30" t="n"/>
      <c r="T2331" s="30" t="n"/>
      <c r="U2331" s="30" t="n"/>
      <c r="V2331" s="30" t="n"/>
      <c r="W2331" s="29">
        <f>IF(H2331="","",IF(H2331="Kenya","Yes","No"))</f>
        <v/>
      </c>
      <c r="X2331" s="29">
        <f>IF(B2331="","",IF(COUNTIF($B$5:$B$3004,B2331)&gt;1,"DUPLICATE","OK"))</f>
        <v/>
      </c>
      <c r="Y2331" s="29">
        <f>IF(OR(U2331="",V2331="",V2331="Excluded"),"",IF(COUNTIFS($U$5:$U$3004,U2331,$V$5:$V$3004,"&lt;&gt;"&amp;V2331,$V$5:$V$3004,"&lt;&gt;",$V$5:$V$3004,"&lt;&gt;Excluded")&gt;0,"LEAK RISK","OK"))</f>
        <v/>
      </c>
      <c r="Z2331" s="30" t="n"/>
    </row>
    <row r="2332">
      <c r="A2332" s="30" t="n"/>
      <c r="B2332" s="30" t="n"/>
      <c r="C2332" s="30" t="n"/>
      <c r="D2332" s="30" t="n"/>
      <c r="E2332" s="30" t="n"/>
      <c r="F2332" s="30" t="n"/>
      <c r="G2332" s="30" t="n"/>
      <c r="H2332" s="30" t="n"/>
      <c r="I2332" s="31" t="n"/>
      <c r="J2332" s="30" t="n"/>
      <c r="K2332" s="30" t="n"/>
      <c r="L2332" s="30" t="n"/>
      <c r="M2332" s="30" t="n"/>
      <c r="N2332" s="32" t="n"/>
      <c r="O2332" s="30" t="n"/>
      <c r="P2332" s="32" t="n"/>
      <c r="Q2332" s="30" t="n"/>
      <c r="R2332" s="32" t="n"/>
      <c r="S2332" s="30" t="n"/>
      <c r="T2332" s="30" t="n"/>
      <c r="U2332" s="30" t="n"/>
      <c r="V2332" s="30" t="n"/>
      <c r="W2332" s="29">
        <f>IF(H2332="","",IF(H2332="Kenya","Yes","No"))</f>
        <v/>
      </c>
      <c r="X2332" s="29">
        <f>IF(B2332="","",IF(COUNTIF($B$5:$B$3004,B2332)&gt;1,"DUPLICATE","OK"))</f>
        <v/>
      </c>
      <c r="Y2332" s="29">
        <f>IF(OR(U2332="",V2332="",V2332="Excluded"),"",IF(COUNTIFS($U$5:$U$3004,U2332,$V$5:$V$3004,"&lt;&gt;"&amp;V2332,$V$5:$V$3004,"&lt;&gt;",$V$5:$V$3004,"&lt;&gt;Excluded")&gt;0,"LEAK RISK","OK"))</f>
        <v/>
      </c>
      <c r="Z2332" s="30" t="n"/>
    </row>
    <row r="2333">
      <c r="A2333" s="30" t="n"/>
      <c r="B2333" s="30" t="n"/>
      <c r="C2333" s="30" t="n"/>
      <c r="D2333" s="30" t="n"/>
      <c r="E2333" s="30" t="n"/>
      <c r="F2333" s="30" t="n"/>
      <c r="G2333" s="30" t="n"/>
      <c r="H2333" s="30" t="n"/>
      <c r="I2333" s="31" t="n"/>
      <c r="J2333" s="30" t="n"/>
      <c r="K2333" s="30" t="n"/>
      <c r="L2333" s="30" t="n"/>
      <c r="M2333" s="30" t="n"/>
      <c r="N2333" s="32" t="n"/>
      <c r="O2333" s="30" t="n"/>
      <c r="P2333" s="32" t="n"/>
      <c r="Q2333" s="30" t="n"/>
      <c r="R2333" s="32" t="n"/>
      <c r="S2333" s="30" t="n"/>
      <c r="T2333" s="30" t="n"/>
      <c r="U2333" s="30" t="n"/>
      <c r="V2333" s="30" t="n"/>
      <c r="W2333" s="29">
        <f>IF(H2333="","",IF(H2333="Kenya","Yes","No"))</f>
        <v/>
      </c>
      <c r="X2333" s="29">
        <f>IF(B2333="","",IF(COUNTIF($B$5:$B$3004,B2333)&gt;1,"DUPLICATE","OK"))</f>
        <v/>
      </c>
      <c r="Y2333" s="29">
        <f>IF(OR(U2333="",V2333="",V2333="Excluded"),"",IF(COUNTIFS($U$5:$U$3004,U2333,$V$5:$V$3004,"&lt;&gt;"&amp;V2333,$V$5:$V$3004,"&lt;&gt;",$V$5:$V$3004,"&lt;&gt;Excluded")&gt;0,"LEAK RISK","OK"))</f>
        <v/>
      </c>
      <c r="Z2333" s="30" t="n"/>
    </row>
    <row r="2334">
      <c r="A2334" s="30" t="n"/>
      <c r="B2334" s="30" t="n"/>
      <c r="C2334" s="30" t="n"/>
      <c r="D2334" s="30" t="n"/>
      <c r="E2334" s="30" t="n"/>
      <c r="F2334" s="30" t="n"/>
      <c r="G2334" s="30" t="n"/>
      <c r="H2334" s="30" t="n"/>
      <c r="I2334" s="31" t="n"/>
      <c r="J2334" s="30" t="n"/>
      <c r="K2334" s="30" t="n"/>
      <c r="L2334" s="30" t="n"/>
      <c r="M2334" s="30" t="n"/>
      <c r="N2334" s="32" t="n"/>
      <c r="O2334" s="30" t="n"/>
      <c r="P2334" s="32" t="n"/>
      <c r="Q2334" s="30" t="n"/>
      <c r="R2334" s="32" t="n"/>
      <c r="S2334" s="30" t="n"/>
      <c r="T2334" s="30" t="n"/>
      <c r="U2334" s="30" t="n"/>
      <c r="V2334" s="30" t="n"/>
      <c r="W2334" s="29">
        <f>IF(H2334="","",IF(H2334="Kenya","Yes","No"))</f>
        <v/>
      </c>
      <c r="X2334" s="29">
        <f>IF(B2334="","",IF(COUNTIF($B$5:$B$3004,B2334)&gt;1,"DUPLICATE","OK"))</f>
        <v/>
      </c>
      <c r="Y2334" s="29">
        <f>IF(OR(U2334="",V2334="",V2334="Excluded"),"",IF(COUNTIFS($U$5:$U$3004,U2334,$V$5:$V$3004,"&lt;&gt;"&amp;V2334,$V$5:$V$3004,"&lt;&gt;",$V$5:$V$3004,"&lt;&gt;Excluded")&gt;0,"LEAK RISK","OK"))</f>
        <v/>
      </c>
      <c r="Z2334" s="30" t="n"/>
    </row>
    <row r="2335">
      <c r="A2335" s="30" t="n"/>
      <c r="B2335" s="30" t="n"/>
      <c r="C2335" s="30" t="n"/>
      <c r="D2335" s="30" t="n"/>
      <c r="E2335" s="30" t="n"/>
      <c r="F2335" s="30" t="n"/>
      <c r="G2335" s="30" t="n"/>
      <c r="H2335" s="30" t="n"/>
      <c r="I2335" s="31" t="n"/>
      <c r="J2335" s="30" t="n"/>
      <c r="K2335" s="30" t="n"/>
      <c r="L2335" s="30" t="n"/>
      <c r="M2335" s="30" t="n"/>
      <c r="N2335" s="32" t="n"/>
      <c r="O2335" s="30" t="n"/>
      <c r="P2335" s="32" t="n"/>
      <c r="Q2335" s="30" t="n"/>
      <c r="R2335" s="32" t="n"/>
      <c r="S2335" s="30" t="n"/>
      <c r="T2335" s="30" t="n"/>
      <c r="U2335" s="30" t="n"/>
      <c r="V2335" s="30" t="n"/>
      <c r="W2335" s="29">
        <f>IF(H2335="","",IF(H2335="Kenya","Yes","No"))</f>
        <v/>
      </c>
      <c r="X2335" s="29">
        <f>IF(B2335="","",IF(COUNTIF($B$5:$B$3004,B2335)&gt;1,"DUPLICATE","OK"))</f>
        <v/>
      </c>
      <c r="Y2335" s="29">
        <f>IF(OR(U2335="",V2335="",V2335="Excluded"),"",IF(COUNTIFS($U$5:$U$3004,U2335,$V$5:$V$3004,"&lt;&gt;"&amp;V2335,$V$5:$V$3004,"&lt;&gt;",$V$5:$V$3004,"&lt;&gt;Excluded")&gt;0,"LEAK RISK","OK"))</f>
        <v/>
      </c>
      <c r="Z2335" s="30" t="n"/>
    </row>
    <row r="2336">
      <c r="A2336" s="30" t="n"/>
      <c r="B2336" s="30" t="n"/>
      <c r="C2336" s="30" t="n"/>
      <c r="D2336" s="30" t="n"/>
      <c r="E2336" s="30" t="n"/>
      <c r="F2336" s="30" t="n"/>
      <c r="G2336" s="30" t="n"/>
      <c r="H2336" s="30" t="n"/>
      <c r="I2336" s="31" t="n"/>
      <c r="J2336" s="30" t="n"/>
      <c r="K2336" s="30" t="n"/>
      <c r="L2336" s="30" t="n"/>
      <c r="M2336" s="30" t="n"/>
      <c r="N2336" s="32" t="n"/>
      <c r="O2336" s="30" t="n"/>
      <c r="P2336" s="32" t="n"/>
      <c r="Q2336" s="30" t="n"/>
      <c r="R2336" s="32" t="n"/>
      <c r="S2336" s="30" t="n"/>
      <c r="T2336" s="30" t="n"/>
      <c r="U2336" s="30" t="n"/>
      <c r="V2336" s="30" t="n"/>
      <c r="W2336" s="29">
        <f>IF(H2336="","",IF(H2336="Kenya","Yes","No"))</f>
        <v/>
      </c>
      <c r="X2336" s="29">
        <f>IF(B2336="","",IF(COUNTIF($B$5:$B$3004,B2336)&gt;1,"DUPLICATE","OK"))</f>
        <v/>
      </c>
      <c r="Y2336" s="29">
        <f>IF(OR(U2336="",V2336="",V2336="Excluded"),"",IF(COUNTIFS($U$5:$U$3004,U2336,$V$5:$V$3004,"&lt;&gt;"&amp;V2336,$V$5:$V$3004,"&lt;&gt;",$V$5:$V$3004,"&lt;&gt;Excluded")&gt;0,"LEAK RISK","OK"))</f>
        <v/>
      </c>
      <c r="Z2336" s="30" t="n"/>
    </row>
    <row r="2337">
      <c r="A2337" s="30" t="n"/>
      <c r="B2337" s="30" t="n"/>
      <c r="C2337" s="30" t="n"/>
      <c r="D2337" s="30" t="n"/>
      <c r="E2337" s="30" t="n"/>
      <c r="F2337" s="30" t="n"/>
      <c r="G2337" s="30" t="n"/>
      <c r="H2337" s="30" t="n"/>
      <c r="I2337" s="31" t="n"/>
      <c r="J2337" s="30" t="n"/>
      <c r="K2337" s="30" t="n"/>
      <c r="L2337" s="30" t="n"/>
      <c r="M2337" s="30" t="n"/>
      <c r="N2337" s="32" t="n"/>
      <c r="O2337" s="30" t="n"/>
      <c r="P2337" s="32" t="n"/>
      <c r="Q2337" s="30" t="n"/>
      <c r="R2337" s="32" t="n"/>
      <c r="S2337" s="30" t="n"/>
      <c r="T2337" s="30" t="n"/>
      <c r="U2337" s="30" t="n"/>
      <c r="V2337" s="30" t="n"/>
      <c r="W2337" s="29">
        <f>IF(H2337="","",IF(H2337="Kenya","Yes","No"))</f>
        <v/>
      </c>
      <c r="X2337" s="29">
        <f>IF(B2337="","",IF(COUNTIF($B$5:$B$3004,B2337)&gt;1,"DUPLICATE","OK"))</f>
        <v/>
      </c>
      <c r="Y2337" s="29">
        <f>IF(OR(U2337="",V2337="",V2337="Excluded"),"",IF(COUNTIFS($U$5:$U$3004,U2337,$V$5:$V$3004,"&lt;&gt;"&amp;V2337,$V$5:$V$3004,"&lt;&gt;",$V$5:$V$3004,"&lt;&gt;Excluded")&gt;0,"LEAK RISK","OK"))</f>
        <v/>
      </c>
      <c r="Z2337" s="30" t="n"/>
    </row>
    <row r="2338">
      <c r="A2338" s="30" t="n"/>
      <c r="B2338" s="30" t="n"/>
      <c r="C2338" s="30" t="n"/>
      <c r="D2338" s="30" t="n"/>
      <c r="E2338" s="30" t="n"/>
      <c r="F2338" s="30" t="n"/>
      <c r="G2338" s="30" t="n"/>
      <c r="H2338" s="30" t="n"/>
      <c r="I2338" s="31" t="n"/>
      <c r="J2338" s="30" t="n"/>
      <c r="K2338" s="30" t="n"/>
      <c r="L2338" s="30" t="n"/>
      <c r="M2338" s="30" t="n"/>
      <c r="N2338" s="32" t="n"/>
      <c r="O2338" s="30" t="n"/>
      <c r="P2338" s="32" t="n"/>
      <c r="Q2338" s="30" t="n"/>
      <c r="R2338" s="32" t="n"/>
      <c r="S2338" s="30" t="n"/>
      <c r="T2338" s="30" t="n"/>
      <c r="U2338" s="30" t="n"/>
      <c r="V2338" s="30" t="n"/>
      <c r="W2338" s="29">
        <f>IF(H2338="","",IF(H2338="Kenya","Yes","No"))</f>
        <v/>
      </c>
      <c r="X2338" s="29">
        <f>IF(B2338="","",IF(COUNTIF($B$5:$B$3004,B2338)&gt;1,"DUPLICATE","OK"))</f>
        <v/>
      </c>
      <c r="Y2338" s="29">
        <f>IF(OR(U2338="",V2338="",V2338="Excluded"),"",IF(COUNTIFS($U$5:$U$3004,U2338,$V$5:$V$3004,"&lt;&gt;"&amp;V2338,$V$5:$V$3004,"&lt;&gt;",$V$5:$V$3004,"&lt;&gt;Excluded")&gt;0,"LEAK RISK","OK"))</f>
        <v/>
      </c>
      <c r="Z2338" s="30" t="n"/>
    </row>
    <row r="2339">
      <c r="A2339" s="30" t="n"/>
      <c r="B2339" s="30" t="n"/>
      <c r="C2339" s="30" t="n"/>
      <c r="D2339" s="30" t="n"/>
      <c r="E2339" s="30" t="n"/>
      <c r="F2339" s="30" t="n"/>
      <c r="G2339" s="30" t="n"/>
      <c r="H2339" s="30" t="n"/>
      <c r="I2339" s="31" t="n"/>
      <c r="J2339" s="30" t="n"/>
      <c r="K2339" s="30" t="n"/>
      <c r="L2339" s="30" t="n"/>
      <c r="M2339" s="30" t="n"/>
      <c r="N2339" s="32" t="n"/>
      <c r="O2339" s="30" t="n"/>
      <c r="P2339" s="32" t="n"/>
      <c r="Q2339" s="30" t="n"/>
      <c r="R2339" s="32" t="n"/>
      <c r="S2339" s="30" t="n"/>
      <c r="T2339" s="30" t="n"/>
      <c r="U2339" s="30" t="n"/>
      <c r="V2339" s="30" t="n"/>
      <c r="W2339" s="29">
        <f>IF(H2339="","",IF(H2339="Kenya","Yes","No"))</f>
        <v/>
      </c>
      <c r="X2339" s="29">
        <f>IF(B2339="","",IF(COUNTIF($B$5:$B$3004,B2339)&gt;1,"DUPLICATE","OK"))</f>
        <v/>
      </c>
      <c r="Y2339" s="29">
        <f>IF(OR(U2339="",V2339="",V2339="Excluded"),"",IF(COUNTIFS($U$5:$U$3004,U2339,$V$5:$V$3004,"&lt;&gt;"&amp;V2339,$V$5:$V$3004,"&lt;&gt;",$V$5:$V$3004,"&lt;&gt;Excluded")&gt;0,"LEAK RISK","OK"))</f>
        <v/>
      </c>
      <c r="Z2339" s="30" t="n"/>
    </row>
    <row r="2340">
      <c r="A2340" s="30" t="n"/>
      <c r="B2340" s="30" t="n"/>
      <c r="C2340" s="30" t="n"/>
      <c r="D2340" s="30" t="n"/>
      <c r="E2340" s="30" t="n"/>
      <c r="F2340" s="30" t="n"/>
      <c r="G2340" s="30" t="n"/>
      <c r="H2340" s="30" t="n"/>
      <c r="I2340" s="31" t="n"/>
      <c r="J2340" s="30" t="n"/>
      <c r="K2340" s="30" t="n"/>
      <c r="L2340" s="30" t="n"/>
      <c r="M2340" s="30" t="n"/>
      <c r="N2340" s="32" t="n"/>
      <c r="O2340" s="30" t="n"/>
      <c r="P2340" s="32" t="n"/>
      <c r="Q2340" s="30" t="n"/>
      <c r="R2340" s="32" t="n"/>
      <c r="S2340" s="30" t="n"/>
      <c r="T2340" s="30" t="n"/>
      <c r="U2340" s="30" t="n"/>
      <c r="V2340" s="30" t="n"/>
      <c r="W2340" s="29">
        <f>IF(H2340="","",IF(H2340="Kenya","Yes","No"))</f>
        <v/>
      </c>
      <c r="X2340" s="29">
        <f>IF(B2340="","",IF(COUNTIF($B$5:$B$3004,B2340)&gt;1,"DUPLICATE","OK"))</f>
        <v/>
      </c>
      <c r="Y2340" s="29">
        <f>IF(OR(U2340="",V2340="",V2340="Excluded"),"",IF(COUNTIFS($U$5:$U$3004,U2340,$V$5:$V$3004,"&lt;&gt;"&amp;V2340,$V$5:$V$3004,"&lt;&gt;",$V$5:$V$3004,"&lt;&gt;Excluded")&gt;0,"LEAK RISK","OK"))</f>
        <v/>
      </c>
      <c r="Z2340" s="30" t="n"/>
    </row>
    <row r="2341">
      <c r="A2341" s="30" t="n"/>
      <c r="B2341" s="30" t="n"/>
      <c r="C2341" s="30" t="n"/>
      <c r="D2341" s="30" t="n"/>
      <c r="E2341" s="30" t="n"/>
      <c r="F2341" s="30" t="n"/>
      <c r="G2341" s="30" t="n"/>
      <c r="H2341" s="30" t="n"/>
      <c r="I2341" s="31" t="n"/>
      <c r="J2341" s="30" t="n"/>
      <c r="K2341" s="30" t="n"/>
      <c r="L2341" s="30" t="n"/>
      <c r="M2341" s="30" t="n"/>
      <c r="N2341" s="32" t="n"/>
      <c r="O2341" s="30" t="n"/>
      <c r="P2341" s="32" t="n"/>
      <c r="Q2341" s="30" t="n"/>
      <c r="R2341" s="32" t="n"/>
      <c r="S2341" s="30" t="n"/>
      <c r="T2341" s="30" t="n"/>
      <c r="U2341" s="30" t="n"/>
      <c r="V2341" s="30" t="n"/>
      <c r="W2341" s="29">
        <f>IF(H2341="","",IF(H2341="Kenya","Yes","No"))</f>
        <v/>
      </c>
      <c r="X2341" s="29">
        <f>IF(B2341="","",IF(COUNTIF($B$5:$B$3004,B2341)&gt;1,"DUPLICATE","OK"))</f>
        <v/>
      </c>
      <c r="Y2341" s="29">
        <f>IF(OR(U2341="",V2341="",V2341="Excluded"),"",IF(COUNTIFS($U$5:$U$3004,U2341,$V$5:$V$3004,"&lt;&gt;"&amp;V2341,$V$5:$V$3004,"&lt;&gt;",$V$5:$V$3004,"&lt;&gt;Excluded")&gt;0,"LEAK RISK","OK"))</f>
        <v/>
      </c>
      <c r="Z2341" s="30" t="n"/>
    </row>
    <row r="2342">
      <c r="A2342" s="30" t="n"/>
      <c r="B2342" s="30" t="n"/>
      <c r="C2342" s="30" t="n"/>
      <c r="D2342" s="30" t="n"/>
      <c r="E2342" s="30" t="n"/>
      <c r="F2342" s="30" t="n"/>
      <c r="G2342" s="30" t="n"/>
      <c r="H2342" s="30" t="n"/>
      <c r="I2342" s="31" t="n"/>
      <c r="J2342" s="30" t="n"/>
      <c r="K2342" s="30" t="n"/>
      <c r="L2342" s="30" t="n"/>
      <c r="M2342" s="30" t="n"/>
      <c r="N2342" s="32" t="n"/>
      <c r="O2342" s="30" t="n"/>
      <c r="P2342" s="32" t="n"/>
      <c r="Q2342" s="30" t="n"/>
      <c r="R2342" s="32" t="n"/>
      <c r="S2342" s="30" t="n"/>
      <c r="T2342" s="30" t="n"/>
      <c r="U2342" s="30" t="n"/>
      <c r="V2342" s="30" t="n"/>
      <c r="W2342" s="29">
        <f>IF(H2342="","",IF(H2342="Kenya","Yes","No"))</f>
        <v/>
      </c>
      <c r="X2342" s="29">
        <f>IF(B2342="","",IF(COUNTIF($B$5:$B$3004,B2342)&gt;1,"DUPLICATE","OK"))</f>
        <v/>
      </c>
      <c r="Y2342" s="29">
        <f>IF(OR(U2342="",V2342="",V2342="Excluded"),"",IF(COUNTIFS($U$5:$U$3004,U2342,$V$5:$V$3004,"&lt;&gt;"&amp;V2342,$V$5:$V$3004,"&lt;&gt;",$V$5:$V$3004,"&lt;&gt;Excluded")&gt;0,"LEAK RISK","OK"))</f>
        <v/>
      </c>
      <c r="Z2342" s="30" t="n"/>
    </row>
    <row r="2343">
      <c r="A2343" s="30" t="n"/>
      <c r="B2343" s="30" t="n"/>
      <c r="C2343" s="30" t="n"/>
      <c r="D2343" s="30" t="n"/>
      <c r="E2343" s="30" t="n"/>
      <c r="F2343" s="30" t="n"/>
      <c r="G2343" s="30" t="n"/>
      <c r="H2343" s="30" t="n"/>
      <c r="I2343" s="31" t="n"/>
      <c r="J2343" s="30" t="n"/>
      <c r="K2343" s="30" t="n"/>
      <c r="L2343" s="30" t="n"/>
      <c r="M2343" s="30" t="n"/>
      <c r="N2343" s="32" t="n"/>
      <c r="O2343" s="30" t="n"/>
      <c r="P2343" s="32" t="n"/>
      <c r="Q2343" s="30" t="n"/>
      <c r="R2343" s="32" t="n"/>
      <c r="S2343" s="30" t="n"/>
      <c r="T2343" s="30" t="n"/>
      <c r="U2343" s="30" t="n"/>
      <c r="V2343" s="30" t="n"/>
      <c r="W2343" s="29">
        <f>IF(H2343="","",IF(H2343="Kenya","Yes","No"))</f>
        <v/>
      </c>
      <c r="X2343" s="29">
        <f>IF(B2343="","",IF(COUNTIF($B$5:$B$3004,B2343)&gt;1,"DUPLICATE","OK"))</f>
        <v/>
      </c>
      <c r="Y2343" s="29">
        <f>IF(OR(U2343="",V2343="",V2343="Excluded"),"",IF(COUNTIFS($U$5:$U$3004,U2343,$V$5:$V$3004,"&lt;&gt;"&amp;V2343,$V$5:$V$3004,"&lt;&gt;",$V$5:$V$3004,"&lt;&gt;Excluded")&gt;0,"LEAK RISK","OK"))</f>
        <v/>
      </c>
      <c r="Z2343" s="30" t="n"/>
    </row>
    <row r="2344">
      <c r="A2344" s="30" t="n"/>
      <c r="B2344" s="30" t="n"/>
      <c r="C2344" s="30" t="n"/>
      <c r="D2344" s="30" t="n"/>
      <c r="E2344" s="30" t="n"/>
      <c r="F2344" s="30" t="n"/>
      <c r="G2344" s="30" t="n"/>
      <c r="H2344" s="30" t="n"/>
      <c r="I2344" s="31" t="n"/>
      <c r="J2344" s="30" t="n"/>
      <c r="K2344" s="30" t="n"/>
      <c r="L2344" s="30" t="n"/>
      <c r="M2344" s="30" t="n"/>
      <c r="N2344" s="32" t="n"/>
      <c r="O2344" s="30" t="n"/>
      <c r="P2344" s="32" t="n"/>
      <c r="Q2344" s="30" t="n"/>
      <c r="R2344" s="32" t="n"/>
      <c r="S2344" s="30" t="n"/>
      <c r="T2344" s="30" t="n"/>
      <c r="U2344" s="30" t="n"/>
      <c r="V2344" s="30" t="n"/>
      <c r="W2344" s="29">
        <f>IF(H2344="","",IF(H2344="Kenya","Yes","No"))</f>
        <v/>
      </c>
      <c r="X2344" s="29">
        <f>IF(B2344="","",IF(COUNTIF($B$5:$B$3004,B2344)&gt;1,"DUPLICATE","OK"))</f>
        <v/>
      </c>
      <c r="Y2344" s="29">
        <f>IF(OR(U2344="",V2344="",V2344="Excluded"),"",IF(COUNTIFS($U$5:$U$3004,U2344,$V$5:$V$3004,"&lt;&gt;"&amp;V2344,$V$5:$V$3004,"&lt;&gt;",$V$5:$V$3004,"&lt;&gt;Excluded")&gt;0,"LEAK RISK","OK"))</f>
        <v/>
      </c>
      <c r="Z2344" s="30" t="n"/>
    </row>
    <row r="2345">
      <c r="A2345" s="30" t="n"/>
      <c r="B2345" s="30" t="n"/>
      <c r="C2345" s="30" t="n"/>
      <c r="D2345" s="30" t="n"/>
      <c r="E2345" s="30" t="n"/>
      <c r="F2345" s="30" t="n"/>
      <c r="G2345" s="30" t="n"/>
      <c r="H2345" s="30" t="n"/>
      <c r="I2345" s="31" t="n"/>
      <c r="J2345" s="30" t="n"/>
      <c r="K2345" s="30" t="n"/>
      <c r="L2345" s="30" t="n"/>
      <c r="M2345" s="30" t="n"/>
      <c r="N2345" s="32" t="n"/>
      <c r="O2345" s="30" t="n"/>
      <c r="P2345" s="32" t="n"/>
      <c r="Q2345" s="30" t="n"/>
      <c r="R2345" s="32" t="n"/>
      <c r="S2345" s="30" t="n"/>
      <c r="T2345" s="30" t="n"/>
      <c r="U2345" s="30" t="n"/>
      <c r="V2345" s="30" t="n"/>
      <c r="W2345" s="29">
        <f>IF(H2345="","",IF(H2345="Kenya","Yes","No"))</f>
        <v/>
      </c>
      <c r="X2345" s="29">
        <f>IF(B2345="","",IF(COUNTIF($B$5:$B$3004,B2345)&gt;1,"DUPLICATE","OK"))</f>
        <v/>
      </c>
      <c r="Y2345" s="29">
        <f>IF(OR(U2345="",V2345="",V2345="Excluded"),"",IF(COUNTIFS($U$5:$U$3004,U2345,$V$5:$V$3004,"&lt;&gt;"&amp;V2345,$V$5:$V$3004,"&lt;&gt;",$V$5:$V$3004,"&lt;&gt;Excluded")&gt;0,"LEAK RISK","OK"))</f>
        <v/>
      </c>
      <c r="Z2345" s="30" t="n"/>
    </row>
    <row r="2346">
      <c r="A2346" s="30" t="n"/>
      <c r="B2346" s="30" t="n"/>
      <c r="C2346" s="30" t="n"/>
      <c r="D2346" s="30" t="n"/>
      <c r="E2346" s="30" t="n"/>
      <c r="F2346" s="30" t="n"/>
      <c r="G2346" s="30" t="n"/>
      <c r="H2346" s="30" t="n"/>
      <c r="I2346" s="31" t="n"/>
      <c r="J2346" s="30" t="n"/>
      <c r="K2346" s="30" t="n"/>
      <c r="L2346" s="30" t="n"/>
      <c r="M2346" s="30" t="n"/>
      <c r="N2346" s="32" t="n"/>
      <c r="O2346" s="30" t="n"/>
      <c r="P2346" s="32" t="n"/>
      <c r="Q2346" s="30" t="n"/>
      <c r="R2346" s="32" t="n"/>
      <c r="S2346" s="30" t="n"/>
      <c r="T2346" s="30" t="n"/>
      <c r="U2346" s="30" t="n"/>
      <c r="V2346" s="30" t="n"/>
      <c r="W2346" s="29">
        <f>IF(H2346="","",IF(H2346="Kenya","Yes","No"))</f>
        <v/>
      </c>
      <c r="X2346" s="29">
        <f>IF(B2346="","",IF(COUNTIF($B$5:$B$3004,B2346)&gt;1,"DUPLICATE","OK"))</f>
        <v/>
      </c>
      <c r="Y2346" s="29">
        <f>IF(OR(U2346="",V2346="",V2346="Excluded"),"",IF(COUNTIFS($U$5:$U$3004,U2346,$V$5:$V$3004,"&lt;&gt;"&amp;V2346,$V$5:$V$3004,"&lt;&gt;",$V$5:$V$3004,"&lt;&gt;Excluded")&gt;0,"LEAK RISK","OK"))</f>
        <v/>
      </c>
      <c r="Z2346" s="30" t="n"/>
    </row>
    <row r="2347">
      <c r="A2347" s="30" t="n"/>
      <c r="B2347" s="30" t="n"/>
      <c r="C2347" s="30" t="n"/>
      <c r="D2347" s="30" t="n"/>
      <c r="E2347" s="30" t="n"/>
      <c r="F2347" s="30" t="n"/>
      <c r="G2347" s="30" t="n"/>
      <c r="H2347" s="30" t="n"/>
      <c r="I2347" s="31" t="n"/>
      <c r="J2347" s="30" t="n"/>
      <c r="K2347" s="30" t="n"/>
      <c r="L2347" s="30" t="n"/>
      <c r="M2347" s="30" t="n"/>
      <c r="N2347" s="32" t="n"/>
      <c r="O2347" s="30" t="n"/>
      <c r="P2347" s="32" t="n"/>
      <c r="Q2347" s="30" t="n"/>
      <c r="R2347" s="32" t="n"/>
      <c r="S2347" s="30" t="n"/>
      <c r="T2347" s="30" t="n"/>
      <c r="U2347" s="30" t="n"/>
      <c r="V2347" s="30" t="n"/>
      <c r="W2347" s="29">
        <f>IF(H2347="","",IF(H2347="Kenya","Yes","No"))</f>
        <v/>
      </c>
      <c r="X2347" s="29">
        <f>IF(B2347="","",IF(COUNTIF($B$5:$B$3004,B2347)&gt;1,"DUPLICATE","OK"))</f>
        <v/>
      </c>
      <c r="Y2347" s="29">
        <f>IF(OR(U2347="",V2347="",V2347="Excluded"),"",IF(COUNTIFS($U$5:$U$3004,U2347,$V$5:$V$3004,"&lt;&gt;"&amp;V2347,$V$5:$V$3004,"&lt;&gt;",$V$5:$V$3004,"&lt;&gt;Excluded")&gt;0,"LEAK RISK","OK"))</f>
        <v/>
      </c>
      <c r="Z2347" s="30" t="n"/>
    </row>
    <row r="2348">
      <c r="A2348" s="30" t="n"/>
      <c r="B2348" s="30" t="n"/>
      <c r="C2348" s="30" t="n"/>
      <c r="D2348" s="30" t="n"/>
      <c r="E2348" s="30" t="n"/>
      <c r="F2348" s="30" t="n"/>
      <c r="G2348" s="30" t="n"/>
      <c r="H2348" s="30" t="n"/>
      <c r="I2348" s="31" t="n"/>
      <c r="J2348" s="30" t="n"/>
      <c r="K2348" s="30" t="n"/>
      <c r="L2348" s="30" t="n"/>
      <c r="M2348" s="30" t="n"/>
      <c r="N2348" s="32" t="n"/>
      <c r="O2348" s="30" t="n"/>
      <c r="P2348" s="32" t="n"/>
      <c r="Q2348" s="30" t="n"/>
      <c r="R2348" s="32" t="n"/>
      <c r="S2348" s="30" t="n"/>
      <c r="T2348" s="30" t="n"/>
      <c r="U2348" s="30" t="n"/>
      <c r="V2348" s="30" t="n"/>
      <c r="W2348" s="29">
        <f>IF(H2348="","",IF(H2348="Kenya","Yes","No"))</f>
        <v/>
      </c>
      <c r="X2348" s="29">
        <f>IF(B2348="","",IF(COUNTIF($B$5:$B$3004,B2348)&gt;1,"DUPLICATE","OK"))</f>
        <v/>
      </c>
      <c r="Y2348" s="29">
        <f>IF(OR(U2348="",V2348="",V2348="Excluded"),"",IF(COUNTIFS($U$5:$U$3004,U2348,$V$5:$V$3004,"&lt;&gt;"&amp;V2348,$V$5:$V$3004,"&lt;&gt;",$V$5:$V$3004,"&lt;&gt;Excluded")&gt;0,"LEAK RISK","OK"))</f>
        <v/>
      </c>
      <c r="Z2348" s="30" t="n"/>
    </row>
    <row r="2349">
      <c r="A2349" s="30" t="n"/>
      <c r="B2349" s="30" t="n"/>
      <c r="C2349" s="30" t="n"/>
      <c r="D2349" s="30" t="n"/>
      <c r="E2349" s="30" t="n"/>
      <c r="F2349" s="30" t="n"/>
      <c r="G2349" s="30" t="n"/>
      <c r="H2349" s="30" t="n"/>
      <c r="I2349" s="31" t="n"/>
      <c r="J2349" s="30" t="n"/>
      <c r="K2349" s="30" t="n"/>
      <c r="L2349" s="30" t="n"/>
      <c r="M2349" s="30" t="n"/>
      <c r="N2349" s="32" t="n"/>
      <c r="O2349" s="30" t="n"/>
      <c r="P2349" s="32" t="n"/>
      <c r="Q2349" s="30" t="n"/>
      <c r="R2349" s="32" t="n"/>
      <c r="S2349" s="30" t="n"/>
      <c r="T2349" s="30" t="n"/>
      <c r="U2349" s="30" t="n"/>
      <c r="V2349" s="30" t="n"/>
      <c r="W2349" s="29">
        <f>IF(H2349="","",IF(H2349="Kenya","Yes","No"))</f>
        <v/>
      </c>
      <c r="X2349" s="29">
        <f>IF(B2349="","",IF(COUNTIF($B$5:$B$3004,B2349)&gt;1,"DUPLICATE","OK"))</f>
        <v/>
      </c>
      <c r="Y2349" s="29">
        <f>IF(OR(U2349="",V2349="",V2349="Excluded"),"",IF(COUNTIFS($U$5:$U$3004,U2349,$V$5:$V$3004,"&lt;&gt;"&amp;V2349,$V$5:$V$3004,"&lt;&gt;",$V$5:$V$3004,"&lt;&gt;Excluded")&gt;0,"LEAK RISK","OK"))</f>
        <v/>
      </c>
      <c r="Z2349" s="30" t="n"/>
    </row>
    <row r="2350">
      <c r="A2350" s="30" t="n"/>
      <c r="B2350" s="30" t="n"/>
      <c r="C2350" s="30" t="n"/>
      <c r="D2350" s="30" t="n"/>
      <c r="E2350" s="30" t="n"/>
      <c r="F2350" s="30" t="n"/>
      <c r="G2350" s="30" t="n"/>
      <c r="H2350" s="30" t="n"/>
      <c r="I2350" s="31" t="n"/>
      <c r="J2350" s="30" t="n"/>
      <c r="K2350" s="30" t="n"/>
      <c r="L2350" s="30" t="n"/>
      <c r="M2350" s="30" t="n"/>
      <c r="N2350" s="32" t="n"/>
      <c r="O2350" s="30" t="n"/>
      <c r="P2350" s="32" t="n"/>
      <c r="Q2350" s="30" t="n"/>
      <c r="R2350" s="32" t="n"/>
      <c r="S2350" s="30" t="n"/>
      <c r="T2350" s="30" t="n"/>
      <c r="U2350" s="30" t="n"/>
      <c r="V2350" s="30" t="n"/>
      <c r="W2350" s="29">
        <f>IF(H2350="","",IF(H2350="Kenya","Yes","No"))</f>
        <v/>
      </c>
      <c r="X2350" s="29">
        <f>IF(B2350="","",IF(COUNTIF($B$5:$B$3004,B2350)&gt;1,"DUPLICATE","OK"))</f>
        <v/>
      </c>
      <c r="Y2350" s="29">
        <f>IF(OR(U2350="",V2350="",V2350="Excluded"),"",IF(COUNTIFS($U$5:$U$3004,U2350,$V$5:$V$3004,"&lt;&gt;"&amp;V2350,$V$5:$V$3004,"&lt;&gt;",$V$5:$V$3004,"&lt;&gt;Excluded")&gt;0,"LEAK RISK","OK"))</f>
        <v/>
      </c>
      <c r="Z2350" s="30" t="n"/>
    </row>
    <row r="2351">
      <c r="A2351" s="30" t="n"/>
      <c r="B2351" s="30" t="n"/>
      <c r="C2351" s="30" t="n"/>
      <c r="D2351" s="30" t="n"/>
      <c r="E2351" s="30" t="n"/>
      <c r="F2351" s="30" t="n"/>
      <c r="G2351" s="30" t="n"/>
      <c r="H2351" s="30" t="n"/>
      <c r="I2351" s="31" t="n"/>
      <c r="J2351" s="30" t="n"/>
      <c r="K2351" s="30" t="n"/>
      <c r="L2351" s="30" t="n"/>
      <c r="M2351" s="30" t="n"/>
      <c r="N2351" s="32" t="n"/>
      <c r="O2351" s="30" t="n"/>
      <c r="P2351" s="32" t="n"/>
      <c r="Q2351" s="30" t="n"/>
      <c r="R2351" s="32" t="n"/>
      <c r="S2351" s="30" t="n"/>
      <c r="T2351" s="30" t="n"/>
      <c r="U2351" s="30" t="n"/>
      <c r="V2351" s="30" t="n"/>
      <c r="W2351" s="29">
        <f>IF(H2351="","",IF(H2351="Kenya","Yes","No"))</f>
        <v/>
      </c>
      <c r="X2351" s="29">
        <f>IF(B2351="","",IF(COUNTIF($B$5:$B$3004,B2351)&gt;1,"DUPLICATE","OK"))</f>
        <v/>
      </c>
      <c r="Y2351" s="29">
        <f>IF(OR(U2351="",V2351="",V2351="Excluded"),"",IF(COUNTIFS($U$5:$U$3004,U2351,$V$5:$V$3004,"&lt;&gt;"&amp;V2351,$V$5:$V$3004,"&lt;&gt;",$V$5:$V$3004,"&lt;&gt;Excluded")&gt;0,"LEAK RISK","OK"))</f>
        <v/>
      </c>
      <c r="Z2351" s="30" t="n"/>
    </row>
    <row r="2352">
      <c r="A2352" s="30" t="n"/>
      <c r="B2352" s="30" t="n"/>
      <c r="C2352" s="30" t="n"/>
      <c r="D2352" s="30" t="n"/>
      <c r="E2352" s="30" t="n"/>
      <c r="F2352" s="30" t="n"/>
      <c r="G2352" s="30" t="n"/>
      <c r="H2352" s="30" t="n"/>
      <c r="I2352" s="31" t="n"/>
      <c r="J2352" s="30" t="n"/>
      <c r="K2352" s="30" t="n"/>
      <c r="L2352" s="30" t="n"/>
      <c r="M2352" s="30" t="n"/>
      <c r="N2352" s="32" t="n"/>
      <c r="O2352" s="30" t="n"/>
      <c r="P2352" s="32" t="n"/>
      <c r="Q2352" s="30" t="n"/>
      <c r="R2352" s="32" t="n"/>
      <c r="S2352" s="30" t="n"/>
      <c r="T2352" s="30" t="n"/>
      <c r="U2352" s="30" t="n"/>
      <c r="V2352" s="30" t="n"/>
      <c r="W2352" s="29">
        <f>IF(H2352="","",IF(H2352="Kenya","Yes","No"))</f>
        <v/>
      </c>
      <c r="X2352" s="29">
        <f>IF(B2352="","",IF(COUNTIF($B$5:$B$3004,B2352)&gt;1,"DUPLICATE","OK"))</f>
        <v/>
      </c>
      <c r="Y2352" s="29">
        <f>IF(OR(U2352="",V2352="",V2352="Excluded"),"",IF(COUNTIFS($U$5:$U$3004,U2352,$V$5:$V$3004,"&lt;&gt;"&amp;V2352,$V$5:$V$3004,"&lt;&gt;",$V$5:$V$3004,"&lt;&gt;Excluded")&gt;0,"LEAK RISK","OK"))</f>
        <v/>
      </c>
      <c r="Z2352" s="30" t="n"/>
    </row>
    <row r="2353">
      <c r="A2353" s="30" t="n"/>
      <c r="B2353" s="30" t="n"/>
      <c r="C2353" s="30" t="n"/>
      <c r="D2353" s="30" t="n"/>
      <c r="E2353" s="30" t="n"/>
      <c r="F2353" s="30" t="n"/>
      <c r="G2353" s="30" t="n"/>
      <c r="H2353" s="30" t="n"/>
      <c r="I2353" s="31" t="n"/>
      <c r="J2353" s="30" t="n"/>
      <c r="K2353" s="30" t="n"/>
      <c r="L2353" s="30" t="n"/>
      <c r="M2353" s="30" t="n"/>
      <c r="N2353" s="32" t="n"/>
      <c r="O2353" s="30" t="n"/>
      <c r="P2353" s="32" t="n"/>
      <c r="Q2353" s="30" t="n"/>
      <c r="R2353" s="32" t="n"/>
      <c r="S2353" s="30" t="n"/>
      <c r="T2353" s="30" t="n"/>
      <c r="U2353" s="30" t="n"/>
      <c r="V2353" s="30" t="n"/>
      <c r="W2353" s="29">
        <f>IF(H2353="","",IF(H2353="Kenya","Yes","No"))</f>
        <v/>
      </c>
      <c r="X2353" s="29">
        <f>IF(B2353="","",IF(COUNTIF($B$5:$B$3004,B2353)&gt;1,"DUPLICATE","OK"))</f>
        <v/>
      </c>
      <c r="Y2353" s="29">
        <f>IF(OR(U2353="",V2353="",V2353="Excluded"),"",IF(COUNTIFS($U$5:$U$3004,U2353,$V$5:$V$3004,"&lt;&gt;"&amp;V2353,$V$5:$V$3004,"&lt;&gt;",$V$5:$V$3004,"&lt;&gt;Excluded")&gt;0,"LEAK RISK","OK"))</f>
        <v/>
      </c>
      <c r="Z2353" s="30" t="n"/>
    </row>
    <row r="2354">
      <c r="A2354" s="30" t="n"/>
      <c r="B2354" s="30" t="n"/>
      <c r="C2354" s="30" t="n"/>
      <c r="D2354" s="30" t="n"/>
      <c r="E2354" s="30" t="n"/>
      <c r="F2354" s="30" t="n"/>
      <c r="G2354" s="30" t="n"/>
      <c r="H2354" s="30" t="n"/>
      <c r="I2354" s="31" t="n"/>
      <c r="J2354" s="30" t="n"/>
      <c r="K2354" s="30" t="n"/>
      <c r="L2354" s="30" t="n"/>
      <c r="M2354" s="30" t="n"/>
      <c r="N2354" s="32" t="n"/>
      <c r="O2354" s="30" t="n"/>
      <c r="P2354" s="32" t="n"/>
      <c r="Q2354" s="30" t="n"/>
      <c r="R2354" s="32" t="n"/>
      <c r="S2354" s="30" t="n"/>
      <c r="T2354" s="30" t="n"/>
      <c r="U2354" s="30" t="n"/>
      <c r="V2354" s="30" t="n"/>
      <c r="W2354" s="29">
        <f>IF(H2354="","",IF(H2354="Kenya","Yes","No"))</f>
        <v/>
      </c>
      <c r="X2354" s="29">
        <f>IF(B2354="","",IF(COUNTIF($B$5:$B$3004,B2354)&gt;1,"DUPLICATE","OK"))</f>
        <v/>
      </c>
      <c r="Y2354" s="29">
        <f>IF(OR(U2354="",V2354="",V2354="Excluded"),"",IF(COUNTIFS($U$5:$U$3004,U2354,$V$5:$V$3004,"&lt;&gt;"&amp;V2354,$V$5:$V$3004,"&lt;&gt;",$V$5:$V$3004,"&lt;&gt;Excluded")&gt;0,"LEAK RISK","OK"))</f>
        <v/>
      </c>
      <c r="Z2354" s="30" t="n"/>
    </row>
    <row r="2355">
      <c r="A2355" s="30" t="n"/>
      <c r="B2355" s="30" t="n"/>
      <c r="C2355" s="30" t="n"/>
      <c r="D2355" s="30" t="n"/>
      <c r="E2355" s="30" t="n"/>
      <c r="F2355" s="30" t="n"/>
      <c r="G2355" s="30" t="n"/>
      <c r="H2355" s="30" t="n"/>
      <c r="I2355" s="31" t="n"/>
      <c r="J2355" s="30" t="n"/>
      <c r="K2355" s="30" t="n"/>
      <c r="L2355" s="30" t="n"/>
      <c r="M2355" s="30" t="n"/>
      <c r="N2355" s="32" t="n"/>
      <c r="O2355" s="30" t="n"/>
      <c r="P2355" s="32" t="n"/>
      <c r="Q2355" s="30" t="n"/>
      <c r="R2355" s="32" t="n"/>
      <c r="S2355" s="30" t="n"/>
      <c r="T2355" s="30" t="n"/>
      <c r="U2355" s="30" t="n"/>
      <c r="V2355" s="30" t="n"/>
      <c r="W2355" s="29">
        <f>IF(H2355="","",IF(H2355="Kenya","Yes","No"))</f>
        <v/>
      </c>
      <c r="X2355" s="29">
        <f>IF(B2355="","",IF(COUNTIF($B$5:$B$3004,B2355)&gt;1,"DUPLICATE","OK"))</f>
        <v/>
      </c>
      <c r="Y2355" s="29">
        <f>IF(OR(U2355="",V2355="",V2355="Excluded"),"",IF(COUNTIFS($U$5:$U$3004,U2355,$V$5:$V$3004,"&lt;&gt;"&amp;V2355,$V$5:$V$3004,"&lt;&gt;",$V$5:$V$3004,"&lt;&gt;Excluded")&gt;0,"LEAK RISK","OK"))</f>
        <v/>
      </c>
      <c r="Z2355" s="30" t="n"/>
    </row>
    <row r="2356">
      <c r="A2356" s="30" t="n"/>
      <c r="B2356" s="30" t="n"/>
      <c r="C2356" s="30" t="n"/>
      <c r="D2356" s="30" t="n"/>
      <c r="E2356" s="30" t="n"/>
      <c r="F2356" s="30" t="n"/>
      <c r="G2356" s="30" t="n"/>
      <c r="H2356" s="30" t="n"/>
      <c r="I2356" s="31" t="n"/>
      <c r="J2356" s="30" t="n"/>
      <c r="K2356" s="30" t="n"/>
      <c r="L2356" s="30" t="n"/>
      <c r="M2356" s="30" t="n"/>
      <c r="N2356" s="32" t="n"/>
      <c r="O2356" s="30" t="n"/>
      <c r="P2356" s="32" t="n"/>
      <c r="Q2356" s="30" t="n"/>
      <c r="R2356" s="32" t="n"/>
      <c r="S2356" s="30" t="n"/>
      <c r="T2356" s="30" t="n"/>
      <c r="U2356" s="30" t="n"/>
      <c r="V2356" s="30" t="n"/>
      <c r="W2356" s="29">
        <f>IF(H2356="","",IF(H2356="Kenya","Yes","No"))</f>
        <v/>
      </c>
      <c r="X2356" s="29">
        <f>IF(B2356="","",IF(COUNTIF($B$5:$B$3004,B2356)&gt;1,"DUPLICATE","OK"))</f>
        <v/>
      </c>
      <c r="Y2356" s="29">
        <f>IF(OR(U2356="",V2356="",V2356="Excluded"),"",IF(COUNTIFS($U$5:$U$3004,U2356,$V$5:$V$3004,"&lt;&gt;"&amp;V2356,$V$5:$V$3004,"&lt;&gt;",$V$5:$V$3004,"&lt;&gt;Excluded")&gt;0,"LEAK RISK","OK"))</f>
        <v/>
      </c>
      <c r="Z2356" s="30" t="n"/>
    </row>
    <row r="2357">
      <c r="A2357" s="30" t="n"/>
      <c r="B2357" s="30" t="n"/>
      <c r="C2357" s="30" t="n"/>
      <c r="D2357" s="30" t="n"/>
      <c r="E2357" s="30" t="n"/>
      <c r="F2357" s="30" t="n"/>
      <c r="G2357" s="30" t="n"/>
      <c r="H2357" s="30" t="n"/>
      <c r="I2357" s="31" t="n"/>
      <c r="J2357" s="30" t="n"/>
      <c r="K2357" s="30" t="n"/>
      <c r="L2357" s="30" t="n"/>
      <c r="M2357" s="30" t="n"/>
      <c r="N2357" s="32" t="n"/>
      <c r="O2357" s="30" t="n"/>
      <c r="P2357" s="32" t="n"/>
      <c r="Q2357" s="30" t="n"/>
      <c r="R2357" s="32" t="n"/>
      <c r="S2357" s="30" t="n"/>
      <c r="T2357" s="30" t="n"/>
      <c r="U2357" s="30" t="n"/>
      <c r="V2357" s="30" t="n"/>
      <c r="W2357" s="29">
        <f>IF(H2357="","",IF(H2357="Kenya","Yes","No"))</f>
        <v/>
      </c>
      <c r="X2357" s="29">
        <f>IF(B2357="","",IF(COUNTIF($B$5:$B$3004,B2357)&gt;1,"DUPLICATE","OK"))</f>
        <v/>
      </c>
      <c r="Y2357" s="29">
        <f>IF(OR(U2357="",V2357="",V2357="Excluded"),"",IF(COUNTIFS($U$5:$U$3004,U2357,$V$5:$V$3004,"&lt;&gt;"&amp;V2357,$V$5:$V$3004,"&lt;&gt;",$V$5:$V$3004,"&lt;&gt;Excluded")&gt;0,"LEAK RISK","OK"))</f>
        <v/>
      </c>
      <c r="Z2357" s="30" t="n"/>
    </row>
    <row r="2358">
      <c r="A2358" s="30" t="n"/>
      <c r="B2358" s="30" t="n"/>
      <c r="C2358" s="30" t="n"/>
      <c r="D2358" s="30" t="n"/>
      <c r="E2358" s="30" t="n"/>
      <c r="F2358" s="30" t="n"/>
      <c r="G2358" s="30" t="n"/>
      <c r="H2358" s="30" t="n"/>
      <c r="I2358" s="31" t="n"/>
      <c r="J2358" s="30" t="n"/>
      <c r="K2358" s="30" t="n"/>
      <c r="L2358" s="30" t="n"/>
      <c r="M2358" s="30" t="n"/>
      <c r="N2358" s="32" t="n"/>
      <c r="O2358" s="30" t="n"/>
      <c r="P2358" s="32" t="n"/>
      <c r="Q2358" s="30" t="n"/>
      <c r="R2358" s="32" t="n"/>
      <c r="S2358" s="30" t="n"/>
      <c r="T2358" s="30" t="n"/>
      <c r="U2358" s="30" t="n"/>
      <c r="V2358" s="30" t="n"/>
      <c r="W2358" s="29">
        <f>IF(H2358="","",IF(H2358="Kenya","Yes","No"))</f>
        <v/>
      </c>
      <c r="X2358" s="29">
        <f>IF(B2358="","",IF(COUNTIF($B$5:$B$3004,B2358)&gt;1,"DUPLICATE","OK"))</f>
        <v/>
      </c>
      <c r="Y2358" s="29">
        <f>IF(OR(U2358="",V2358="",V2358="Excluded"),"",IF(COUNTIFS($U$5:$U$3004,U2358,$V$5:$V$3004,"&lt;&gt;"&amp;V2358,$V$5:$V$3004,"&lt;&gt;",$V$5:$V$3004,"&lt;&gt;Excluded")&gt;0,"LEAK RISK","OK"))</f>
        <v/>
      </c>
      <c r="Z2358" s="30" t="n"/>
    </row>
    <row r="2359">
      <c r="A2359" s="30" t="n"/>
      <c r="B2359" s="30" t="n"/>
      <c r="C2359" s="30" t="n"/>
      <c r="D2359" s="30" t="n"/>
      <c r="E2359" s="30" t="n"/>
      <c r="F2359" s="30" t="n"/>
      <c r="G2359" s="30" t="n"/>
      <c r="H2359" s="30" t="n"/>
      <c r="I2359" s="31" t="n"/>
      <c r="J2359" s="30" t="n"/>
      <c r="K2359" s="30" t="n"/>
      <c r="L2359" s="30" t="n"/>
      <c r="M2359" s="30" t="n"/>
      <c r="N2359" s="32" t="n"/>
      <c r="O2359" s="30" t="n"/>
      <c r="P2359" s="32" t="n"/>
      <c r="Q2359" s="30" t="n"/>
      <c r="R2359" s="32" t="n"/>
      <c r="S2359" s="30" t="n"/>
      <c r="T2359" s="30" t="n"/>
      <c r="U2359" s="30" t="n"/>
      <c r="V2359" s="30" t="n"/>
      <c r="W2359" s="29">
        <f>IF(H2359="","",IF(H2359="Kenya","Yes","No"))</f>
        <v/>
      </c>
      <c r="X2359" s="29">
        <f>IF(B2359="","",IF(COUNTIF($B$5:$B$3004,B2359)&gt;1,"DUPLICATE","OK"))</f>
        <v/>
      </c>
      <c r="Y2359" s="29">
        <f>IF(OR(U2359="",V2359="",V2359="Excluded"),"",IF(COUNTIFS($U$5:$U$3004,U2359,$V$5:$V$3004,"&lt;&gt;"&amp;V2359,$V$5:$V$3004,"&lt;&gt;",$V$5:$V$3004,"&lt;&gt;Excluded")&gt;0,"LEAK RISK","OK"))</f>
        <v/>
      </c>
      <c r="Z2359" s="30" t="n"/>
    </row>
    <row r="2360">
      <c r="A2360" s="30" t="n"/>
      <c r="B2360" s="30" t="n"/>
      <c r="C2360" s="30" t="n"/>
      <c r="D2360" s="30" t="n"/>
      <c r="E2360" s="30" t="n"/>
      <c r="F2360" s="30" t="n"/>
      <c r="G2360" s="30" t="n"/>
      <c r="H2360" s="30" t="n"/>
      <c r="I2360" s="31" t="n"/>
      <c r="J2360" s="30" t="n"/>
      <c r="K2360" s="30" t="n"/>
      <c r="L2360" s="30" t="n"/>
      <c r="M2360" s="30" t="n"/>
      <c r="N2360" s="32" t="n"/>
      <c r="O2360" s="30" t="n"/>
      <c r="P2360" s="32" t="n"/>
      <c r="Q2360" s="30" t="n"/>
      <c r="R2360" s="32" t="n"/>
      <c r="S2360" s="30" t="n"/>
      <c r="T2360" s="30" t="n"/>
      <c r="U2360" s="30" t="n"/>
      <c r="V2360" s="30" t="n"/>
      <c r="W2360" s="29">
        <f>IF(H2360="","",IF(H2360="Kenya","Yes","No"))</f>
        <v/>
      </c>
      <c r="X2360" s="29">
        <f>IF(B2360="","",IF(COUNTIF($B$5:$B$3004,B2360)&gt;1,"DUPLICATE","OK"))</f>
        <v/>
      </c>
      <c r="Y2360" s="29">
        <f>IF(OR(U2360="",V2360="",V2360="Excluded"),"",IF(COUNTIFS($U$5:$U$3004,U2360,$V$5:$V$3004,"&lt;&gt;"&amp;V2360,$V$5:$V$3004,"&lt;&gt;",$V$5:$V$3004,"&lt;&gt;Excluded")&gt;0,"LEAK RISK","OK"))</f>
        <v/>
      </c>
      <c r="Z2360" s="30" t="n"/>
    </row>
    <row r="2361">
      <c r="A2361" s="30" t="n"/>
      <c r="B2361" s="30" t="n"/>
      <c r="C2361" s="30" t="n"/>
      <c r="D2361" s="30" t="n"/>
      <c r="E2361" s="30" t="n"/>
      <c r="F2361" s="30" t="n"/>
      <c r="G2361" s="30" t="n"/>
      <c r="H2361" s="30" t="n"/>
      <c r="I2361" s="31" t="n"/>
      <c r="J2361" s="30" t="n"/>
      <c r="K2361" s="30" t="n"/>
      <c r="L2361" s="30" t="n"/>
      <c r="M2361" s="30" t="n"/>
      <c r="N2361" s="32" t="n"/>
      <c r="O2361" s="30" t="n"/>
      <c r="P2361" s="32" t="n"/>
      <c r="Q2361" s="30" t="n"/>
      <c r="R2361" s="32" t="n"/>
      <c r="S2361" s="30" t="n"/>
      <c r="T2361" s="30" t="n"/>
      <c r="U2361" s="30" t="n"/>
      <c r="V2361" s="30" t="n"/>
      <c r="W2361" s="29">
        <f>IF(H2361="","",IF(H2361="Kenya","Yes","No"))</f>
        <v/>
      </c>
      <c r="X2361" s="29">
        <f>IF(B2361="","",IF(COUNTIF($B$5:$B$3004,B2361)&gt;1,"DUPLICATE","OK"))</f>
        <v/>
      </c>
      <c r="Y2361" s="29">
        <f>IF(OR(U2361="",V2361="",V2361="Excluded"),"",IF(COUNTIFS($U$5:$U$3004,U2361,$V$5:$V$3004,"&lt;&gt;"&amp;V2361,$V$5:$V$3004,"&lt;&gt;",$V$5:$V$3004,"&lt;&gt;Excluded")&gt;0,"LEAK RISK","OK"))</f>
        <v/>
      </c>
      <c r="Z2361" s="30" t="n"/>
    </row>
    <row r="2362">
      <c r="A2362" s="30" t="n"/>
      <c r="B2362" s="30" t="n"/>
      <c r="C2362" s="30" t="n"/>
      <c r="D2362" s="30" t="n"/>
      <c r="E2362" s="30" t="n"/>
      <c r="F2362" s="30" t="n"/>
      <c r="G2362" s="30" t="n"/>
      <c r="H2362" s="30" t="n"/>
      <c r="I2362" s="31" t="n"/>
      <c r="J2362" s="30" t="n"/>
      <c r="K2362" s="30" t="n"/>
      <c r="L2362" s="30" t="n"/>
      <c r="M2362" s="30" t="n"/>
      <c r="N2362" s="32" t="n"/>
      <c r="O2362" s="30" t="n"/>
      <c r="P2362" s="32" t="n"/>
      <c r="Q2362" s="30" t="n"/>
      <c r="R2362" s="32" t="n"/>
      <c r="S2362" s="30" t="n"/>
      <c r="T2362" s="30" t="n"/>
      <c r="U2362" s="30" t="n"/>
      <c r="V2362" s="30" t="n"/>
      <c r="W2362" s="29">
        <f>IF(H2362="","",IF(H2362="Kenya","Yes","No"))</f>
        <v/>
      </c>
      <c r="X2362" s="29">
        <f>IF(B2362="","",IF(COUNTIF($B$5:$B$3004,B2362)&gt;1,"DUPLICATE","OK"))</f>
        <v/>
      </c>
      <c r="Y2362" s="29">
        <f>IF(OR(U2362="",V2362="",V2362="Excluded"),"",IF(COUNTIFS($U$5:$U$3004,U2362,$V$5:$V$3004,"&lt;&gt;"&amp;V2362,$V$5:$V$3004,"&lt;&gt;",$V$5:$V$3004,"&lt;&gt;Excluded")&gt;0,"LEAK RISK","OK"))</f>
        <v/>
      </c>
      <c r="Z2362" s="30" t="n"/>
    </row>
    <row r="2363">
      <c r="A2363" s="30" t="n"/>
      <c r="B2363" s="30" t="n"/>
      <c r="C2363" s="30" t="n"/>
      <c r="D2363" s="30" t="n"/>
      <c r="E2363" s="30" t="n"/>
      <c r="F2363" s="30" t="n"/>
      <c r="G2363" s="30" t="n"/>
      <c r="H2363" s="30" t="n"/>
      <c r="I2363" s="31" t="n"/>
      <c r="J2363" s="30" t="n"/>
      <c r="K2363" s="30" t="n"/>
      <c r="L2363" s="30" t="n"/>
      <c r="M2363" s="30" t="n"/>
      <c r="N2363" s="32" t="n"/>
      <c r="O2363" s="30" t="n"/>
      <c r="P2363" s="32" t="n"/>
      <c r="Q2363" s="30" t="n"/>
      <c r="R2363" s="32" t="n"/>
      <c r="S2363" s="30" t="n"/>
      <c r="T2363" s="30" t="n"/>
      <c r="U2363" s="30" t="n"/>
      <c r="V2363" s="30" t="n"/>
      <c r="W2363" s="29">
        <f>IF(H2363="","",IF(H2363="Kenya","Yes","No"))</f>
        <v/>
      </c>
      <c r="X2363" s="29">
        <f>IF(B2363="","",IF(COUNTIF($B$5:$B$3004,B2363)&gt;1,"DUPLICATE","OK"))</f>
        <v/>
      </c>
      <c r="Y2363" s="29">
        <f>IF(OR(U2363="",V2363="",V2363="Excluded"),"",IF(COUNTIFS($U$5:$U$3004,U2363,$V$5:$V$3004,"&lt;&gt;"&amp;V2363,$V$5:$V$3004,"&lt;&gt;",$V$5:$V$3004,"&lt;&gt;Excluded")&gt;0,"LEAK RISK","OK"))</f>
        <v/>
      </c>
      <c r="Z2363" s="30" t="n"/>
    </row>
    <row r="2364">
      <c r="A2364" s="30" t="n"/>
      <c r="B2364" s="30" t="n"/>
      <c r="C2364" s="30" t="n"/>
      <c r="D2364" s="30" t="n"/>
      <c r="E2364" s="30" t="n"/>
      <c r="F2364" s="30" t="n"/>
      <c r="G2364" s="30" t="n"/>
      <c r="H2364" s="30" t="n"/>
      <c r="I2364" s="31" t="n"/>
      <c r="J2364" s="30" t="n"/>
      <c r="K2364" s="30" t="n"/>
      <c r="L2364" s="30" t="n"/>
      <c r="M2364" s="30" t="n"/>
      <c r="N2364" s="32" t="n"/>
      <c r="O2364" s="30" t="n"/>
      <c r="P2364" s="32" t="n"/>
      <c r="Q2364" s="30" t="n"/>
      <c r="R2364" s="32" t="n"/>
      <c r="S2364" s="30" t="n"/>
      <c r="T2364" s="30" t="n"/>
      <c r="U2364" s="30" t="n"/>
      <c r="V2364" s="30" t="n"/>
      <c r="W2364" s="29">
        <f>IF(H2364="","",IF(H2364="Kenya","Yes","No"))</f>
        <v/>
      </c>
      <c r="X2364" s="29">
        <f>IF(B2364="","",IF(COUNTIF($B$5:$B$3004,B2364)&gt;1,"DUPLICATE","OK"))</f>
        <v/>
      </c>
      <c r="Y2364" s="29">
        <f>IF(OR(U2364="",V2364="",V2364="Excluded"),"",IF(COUNTIFS($U$5:$U$3004,U2364,$V$5:$V$3004,"&lt;&gt;"&amp;V2364,$V$5:$V$3004,"&lt;&gt;",$V$5:$V$3004,"&lt;&gt;Excluded")&gt;0,"LEAK RISK","OK"))</f>
        <v/>
      </c>
      <c r="Z2364" s="30" t="n"/>
    </row>
    <row r="2365">
      <c r="A2365" s="30" t="n"/>
      <c r="B2365" s="30" t="n"/>
      <c r="C2365" s="30" t="n"/>
      <c r="D2365" s="30" t="n"/>
      <c r="E2365" s="30" t="n"/>
      <c r="F2365" s="30" t="n"/>
      <c r="G2365" s="30" t="n"/>
      <c r="H2365" s="30" t="n"/>
      <c r="I2365" s="31" t="n"/>
      <c r="J2365" s="30" t="n"/>
      <c r="K2365" s="30" t="n"/>
      <c r="L2365" s="30" t="n"/>
      <c r="M2365" s="30" t="n"/>
      <c r="N2365" s="32" t="n"/>
      <c r="O2365" s="30" t="n"/>
      <c r="P2365" s="32" t="n"/>
      <c r="Q2365" s="30" t="n"/>
      <c r="R2365" s="32" t="n"/>
      <c r="S2365" s="30" t="n"/>
      <c r="T2365" s="30" t="n"/>
      <c r="U2365" s="30" t="n"/>
      <c r="V2365" s="30" t="n"/>
      <c r="W2365" s="29">
        <f>IF(H2365="","",IF(H2365="Kenya","Yes","No"))</f>
        <v/>
      </c>
      <c r="X2365" s="29">
        <f>IF(B2365="","",IF(COUNTIF($B$5:$B$3004,B2365)&gt;1,"DUPLICATE","OK"))</f>
        <v/>
      </c>
      <c r="Y2365" s="29">
        <f>IF(OR(U2365="",V2365="",V2365="Excluded"),"",IF(COUNTIFS($U$5:$U$3004,U2365,$V$5:$V$3004,"&lt;&gt;"&amp;V2365,$V$5:$V$3004,"&lt;&gt;",$V$5:$V$3004,"&lt;&gt;Excluded")&gt;0,"LEAK RISK","OK"))</f>
        <v/>
      </c>
      <c r="Z2365" s="30" t="n"/>
    </row>
    <row r="2366">
      <c r="A2366" s="30" t="n"/>
      <c r="B2366" s="30" t="n"/>
      <c r="C2366" s="30" t="n"/>
      <c r="D2366" s="30" t="n"/>
      <c r="E2366" s="30" t="n"/>
      <c r="F2366" s="30" t="n"/>
      <c r="G2366" s="30" t="n"/>
      <c r="H2366" s="30" t="n"/>
      <c r="I2366" s="31" t="n"/>
      <c r="J2366" s="30" t="n"/>
      <c r="K2366" s="30" t="n"/>
      <c r="L2366" s="30" t="n"/>
      <c r="M2366" s="30" t="n"/>
      <c r="N2366" s="32" t="n"/>
      <c r="O2366" s="30" t="n"/>
      <c r="P2366" s="32" t="n"/>
      <c r="Q2366" s="30" t="n"/>
      <c r="R2366" s="32" t="n"/>
      <c r="S2366" s="30" t="n"/>
      <c r="T2366" s="30" t="n"/>
      <c r="U2366" s="30" t="n"/>
      <c r="V2366" s="30" t="n"/>
      <c r="W2366" s="29">
        <f>IF(H2366="","",IF(H2366="Kenya","Yes","No"))</f>
        <v/>
      </c>
      <c r="X2366" s="29">
        <f>IF(B2366="","",IF(COUNTIF($B$5:$B$3004,B2366)&gt;1,"DUPLICATE","OK"))</f>
        <v/>
      </c>
      <c r="Y2366" s="29">
        <f>IF(OR(U2366="",V2366="",V2366="Excluded"),"",IF(COUNTIFS($U$5:$U$3004,U2366,$V$5:$V$3004,"&lt;&gt;"&amp;V2366,$V$5:$V$3004,"&lt;&gt;",$V$5:$V$3004,"&lt;&gt;Excluded")&gt;0,"LEAK RISK","OK"))</f>
        <v/>
      </c>
      <c r="Z2366" s="30" t="n"/>
    </row>
    <row r="2367">
      <c r="A2367" s="30" t="n"/>
      <c r="B2367" s="30" t="n"/>
      <c r="C2367" s="30" t="n"/>
      <c r="D2367" s="30" t="n"/>
      <c r="E2367" s="30" t="n"/>
      <c r="F2367" s="30" t="n"/>
      <c r="G2367" s="30" t="n"/>
      <c r="H2367" s="30" t="n"/>
      <c r="I2367" s="31" t="n"/>
      <c r="J2367" s="30" t="n"/>
      <c r="K2367" s="30" t="n"/>
      <c r="L2367" s="30" t="n"/>
      <c r="M2367" s="30" t="n"/>
      <c r="N2367" s="32" t="n"/>
      <c r="O2367" s="30" t="n"/>
      <c r="P2367" s="32" t="n"/>
      <c r="Q2367" s="30" t="n"/>
      <c r="R2367" s="32" t="n"/>
      <c r="S2367" s="30" t="n"/>
      <c r="T2367" s="30" t="n"/>
      <c r="U2367" s="30" t="n"/>
      <c r="V2367" s="30" t="n"/>
      <c r="W2367" s="29">
        <f>IF(H2367="","",IF(H2367="Kenya","Yes","No"))</f>
        <v/>
      </c>
      <c r="X2367" s="29">
        <f>IF(B2367="","",IF(COUNTIF($B$5:$B$3004,B2367)&gt;1,"DUPLICATE","OK"))</f>
        <v/>
      </c>
      <c r="Y2367" s="29">
        <f>IF(OR(U2367="",V2367="",V2367="Excluded"),"",IF(COUNTIFS($U$5:$U$3004,U2367,$V$5:$V$3004,"&lt;&gt;"&amp;V2367,$V$5:$V$3004,"&lt;&gt;",$V$5:$V$3004,"&lt;&gt;Excluded")&gt;0,"LEAK RISK","OK"))</f>
        <v/>
      </c>
      <c r="Z2367" s="30" t="n"/>
    </row>
    <row r="2368">
      <c r="A2368" s="30" t="n"/>
      <c r="B2368" s="30" t="n"/>
      <c r="C2368" s="30" t="n"/>
      <c r="D2368" s="30" t="n"/>
      <c r="E2368" s="30" t="n"/>
      <c r="F2368" s="30" t="n"/>
      <c r="G2368" s="30" t="n"/>
      <c r="H2368" s="30" t="n"/>
      <c r="I2368" s="31" t="n"/>
      <c r="J2368" s="30" t="n"/>
      <c r="K2368" s="30" t="n"/>
      <c r="L2368" s="30" t="n"/>
      <c r="M2368" s="30" t="n"/>
      <c r="N2368" s="32" t="n"/>
      <c r="O2368" s="30" t="n"/>
      <c r="P2368" s="32" t="n"/>
      <c r="Q2368" s="30" t="n"/>
      <c r="R2368" s="32" t="n"/>
      <c r="S2368" s="30" t="n"/>
      <c r="T2368" s="30" t="n"/>
      <c r="U2368" s="30" t="n"/>
      <c r="V2368" s="30" t="n"/>
      <c r="W2368" s="29">
        <f>IF(H2368="","",IF(H2368="Kenya","Yes","No"))</f>
        <v/>
      </c>
      <c r="X2368" s="29">
        <f>IF(B2368="","",IF(COUNTIF($B$5:$B$3004,B2368)&gt;1,"DUPLICATE","OK"))</f>
        <v/>
      </c>
      <c r="Y2368" s="29">
        <f>IF(OR(U2368="",V2368="",V2368="Excluded"),"",IF(COUNTIFS($U$5:$U$3004,U2368,$V$5:$V$3004,"&lt;&gt;"&amp;V2368,$V$5:$V$3004,"&lt;&gt;",$V$5:$V$3004,"&lt;&gt;Excluded")&gt;0,"LEAK RISK","OK"))</f>
        <v/>
      </c>
      <c r="Z2368" s="30" t="n"/>
    </row>
    <row r="2369">
      <c r="A2369" s="30" t="n"/>
      <c r="B2369" s="30" t="n"/>
      <c r="C2369" s="30" t="n"/>
      <c r="D2369" s="30" t="n"/>
      <c r="E2369" s="30" t="n"/>
      <c r="F2369" s="30" t="n"/>
      <c r="G2369" s="30" t="n"/>
      <c r="H2369" s="30" t="n"/>
      <c r="I2369" s="31" t="n"/>
      <c r="J2369" s="30" t="n"/>
      <c r="K2369" s="30" t="n"/>
      <c r="L2369" s="30" t="n"/>
      <c r="M2369" s="30" t="n"/>
      <c r="N2369" s="32" t="n"/>
      <c r="O2369" s="30" t="n"/>
      <c r="P2369" s="32" t="n"/>
      <c r="Q2369" s="30" t="n"/>
      <c r="R2369" s="32" t="n"/>
      <c r="S2369" s="30" t="n"/>
      <c r="T2369" s="30" t="n"/>
      <c r="U2369" s="30" t="n"/>
      <c r="V2369" s="30" t="n"/>
      <c r="W2369" s="29">
        <f>IF(H2369="","",IF(H2369="Kenya","Yes","No"))</f>
        <v/>
      </c>
      <c r="X2369" s="29">
        <f>IF(B2369="","",IF(COUNTIF($B$5:$B$3004,B2369)&gt;1,"DUPLICATE","OK"))</f>
        <v/>
      </c>
      <c r="Y2369" s="29">
        <f>IF(OR(U2369="",V2369="",V2369="Excluded"),"",IF(COUNTIFS($U$5:$U$3004,U2369,$V$5:$V$3004,"&lt;&gt;"&amp;V2369,$V$5:$V$3004,"&lt;&gt;",$V$5:$V$3004,"&lt;&gt;Excluded")&gt;0,"LEAK RISK","OK"))</f>
        <v/>
      </c>
      <c r="Z2369" s="30" t="n"/>
    </row>
    <row r="2370">
      <c r="A2370" s="30" t="n"/>
      <c r="B2370" s="30" t="n"/>
      <c r="C2370" s="30" t="n"/>
      <c r="D2370" s="30" t="n"/>
      <c r="E2370" s="30" t="n"/>
      <c r="F2370" s="30" t="n"/>
      <c r="G2370" s="30" t="n"/>
      <c r="H2370" s="30" t="n"/>
      <c r="I2370" s="31" t="n"/>
      <c r="J2370" s="30" t="n"/>
      <c r="K2370" s="30" t="n"/>
      <c r="L2370" s="30" t="n"/>
      <c r="M2370" s="30" t="n"/>
      <c r="N2370" s="32" t="n"/>
      <c r="O2370" s="30" t="n"/>
      <c r="P2370" s="32" t="n"/>
      <c r="Q2370" s="30" t="n"/>
      <c r="R2370" s="32" t="n"/>
      <c r="S2370" s="30" t="n"/>
      <c r="T2370" s="30" t="n"/>
      <c r="U2370" s="30" t="n"/>
      <c r="V2370" s="30" t="n"/>
      <c r="W2370" s="29">
        <f>IF(H2370="","",IF(H2370="Kenya","Yes","No"))</f>
        <v/>
      </c>
      <c r="X2370" s="29">
        <f>IF(B2370="","",IF(COUNTIF($B$5:$B$3004,B2370)&gt;1,"DUPLICATE","OK"))</f>
        <v/>
      </c>
      <c r="Y2370" s="29">
        <f>IF(OR(U2370="",V2370="",V2370="Excluded"),"",IF(COUNTIFS($U$5:$U$3004,U2370,$V$5:$V$3004,"&lt;&gt;"&amp;V2370,$V$5:$V$3004,"&lt;&gt;",$V$5:$V$3004,"&lt;&gt;Excluded")&gt;0,"LEAK RISK","OK"))</f>
        <v/>
      </c>
      <c r="Z2370" s="30" t="n"/>
    </row>
    <row r="2371">
      <c r="A2371" s="30" t="n"/>
      <c r="B2371" s="30" t="n"/>
      <c r="C2371" s="30" t="n"/>
      <c r="D2371" s="30" t="n"/>
      <c r="E2371" s="30" t="n"/>
      <c r="F2371" s="30" t="n"/>
      <c r="G2371" s="30" t="n"/>
      <c r="H2371" s="30" t="n"/>
      <c r="I2371" s="31" t="n"/>
      <c r="J2371" s="30" t="n"/>
      <c r="K2371" s="30" t="n"/>
      <c r="L2371" s="30" t="n"/>
      <c r="M2371" s="30" t="n"/>
      <c r="N2371" s="32" t="n"/>
      <c r="O2371" s="30" t="n"/>
      <c r="P2371" s="32" t="n"/>
      <c r="Q2371" s="30" t="n"/>
      <c r="R2371" s="32" t="n"/>
      <c r="S2371" s="30" t="n"/>
      <c r="T2371" s="30" t="n"/>
      <c r="U2371" s="30" t="n"/>
      <c r="V2371" s="30" t="n"/>
      <c r="W2371" s="29">
        <f>IF(H2371="","",IF(H2371="Kenya","Yes","No"))</f>
        <v/>
      </c>
      <c r="X2371" s="29">
        <f>IF(B2371="","",IF(COUNTIF($B$5:$B$3004,B2371)&gt;1,"DUPLICATE","OK"))</f>
        <v/>
      </c>
      <c r="Y2371" s="29">
        <f>IF(OR(U2371="",V2371="",V2371="Excluded"),"",IF(COUNTIFS($U$5:$U$3004,U2371,$V$5:$V$3004,"&lt;&gt;"&amp;V2371,$V$5:$V$3004,"&lt;&gt;",$V$5:$V$3004,"&lt;&gt;Excluded")&gt;0,"LEAK RISK","OK"))</f>
        <v/>
      </c>
      <c r="Z2371" s="30" t="n"/>
    </row>
    <row r="2372">
      <c r="A2372" s="30" t="n"/>
      <c r="B2372" s="30" t="n"/>
      <c r="C2372" s="30" t="n"/>
      <c r="D2372" s="30" t="n"/>
      <c r="E2372" s="30" t="n"/>
      <c r="F2372" s="30" t="n"/>
      <c r="G2372" s="30" t="n"/>
      <c r="H2372" s="30" t="n"/>
      <c r="I2372" s="31" t="n"/>
      <c r="J2372" s="30" t="n"/>
      <c r="K2372" s="30" t="n"/>
      <c r="L2372" s="30" t="n"/>
      <c r="M2372" s="30" t="n"/>
      <c r="N2372" s="32" t="n"/>
      <c r="O2372" s="30" t="n"/>
      <c r="P2372" s="32" t="n"/>
      <c r="Q2372" s="30" t="n"/>
      <c r="R2372" s="32" t="n"/>
      <c r="S2372" s="30" t="n"/>
      <c r="T2372" s="30" t="n"/>
      <c r="U2372" s="30" t="n"/>
      <c r="V2372" s="30" t="n"/>
      <c r="W2372" s="29">
        <f>IF(H2372="","",IF(H2372="Kenya","Yes","No"))</f>
        <v/>
      </c>
      <c r="X2372" s="29">
        <f>IF(B2372="","",IF(COUNTIF($B$5:$B$3004,B2372)&gt;1,"DUPLICATE","OK"))</f>
        <v/>
      </c>
      <c r="Y2372" s="29">
        <f>IF(OR(U2372="",V2372="",V2372="Excluded"),"",IF(COUNTIFS($U$5:$U$3004,U2372,$V$5:$V$3004,"&lt;&gt;"&amp;V2372,$V$5:$V$3004,"&lt;&gt;",$V$5:$V$3004,"&lt;&gt;Excluded")&gt;0,"LEAK RISK","OK"))</f>
        <v/>
      </c>
      <c r="Z2372" s="30" t="n"/>
    </row>
    <row r="2373">
      <c r="A2373" s="30" t="n"/>
      <c r="B2373" s="30" t="n"/>
      <c r="C2373" s="30" t="n"/>
      <c r="D2373" s="30" t="n"/>
      <c r="E2373" s="30" t="n"/>
      <c r="F2373" s="30" t="n"/>
      <c r="G2373" s="30" t="n"/>
      <c r="H2373" s="30" t="n"/>
      <c r="I2373" s="31" t="n"/>
      <c r="J2373" s="30" t="n"/>
      <c r="K2373" s="30" t="n"/>
      <c r="L2373" s="30" t="n"/>
      <c r="M2373" s="30" t="n"/>
      <c r="N2373" s="32" t="n"/>
      <c r="O2373" s="30" t="n"/>
      <c r="P2373" s="32" t="n"/>
      <c r="Q2373" s="30" t="n"/>
      <c r="R2373" s="32" t="n"/>
      <c r="S2373" s="30" t="n"/>
      <c r="T2373" s="30" t="n"/>
      <c r="U2373" s="30" t="n"/>
      <c r="V2373" s="30" t="n"/>
      <c r="W2373" s="29">
        <f>IF(H2373="","",IF(H2373="Kenya","Yes","No"))</f>
        <v/>
      </c>
      <c r="X2373" s="29">
        <f>IF(B2373="","",IF(COUNTIF($B$5:$B$3004,B2373)&gt;1,"DUPLICATE","OK"))</f>
        <v/>
      </c>
      <c r="Y2373" s="29">
        <f>IF(OR(U2373="",V2373="",V2373="Excluded"),"",IF(COUNTIFS($U$5:$U$3004,U2373,$V$5:$V$3004,"&lt;&gt;"&amp;V2373,$V$5:$V$3004,"&lt;&gt;",$V$5:$V$3004,"&lt;&gt;Excluded")&gt;0,"LEAK RISK","OK"))</f>
        <v/>
      </c>
      <c r="Z2373" s="30" t="n"/>
    </row>
    <row r="2374">
      <c r="A2374" s="30" t="n"/>
      <c r="B2374" s="30" t="n"/>
      <c r="C2374" s="30" t="n"/>
      <c r="D2374" s="30" t="n"/>
      <c r="E2374" s="30" t="n"/>
      <c r="F2374" s="30" t="n"/>
      <c r="G2374" s="30" t="n"/>
      <c r="H2374" s="30" t="n"/>
      <c r="I2374" s="31" t="n"/>
      <c r="J2374" s="30" t="n"/>
      <c r="K2374" s="30" t="n"/>
      <c r="L2374" s="30" t="n"/>
      <c r="M2374" s="30" t="n"/>
      <c r="N2374" s="32" t="n"/>
      <c r="O2374" s="30" t="n"/>
      <c r="P2374" s="32" t="n"/>
      <c r="Q2374" s="30" t="n"/>
      <c r="R2374" s="32" t="n"/>
      <c r="S2374" s="30" t="n"/>
      <c r="T2374" s="30" t="n"/>
      <c r="U2374" s="30" t="n"/>
      <c r="V2374" s="30" t="n"/>
      <c r="W2374" s="29">
        <f>IF(H2374="","",IF(H2374="Kenya","Yes","No"))</f>
        <v/>
      </c>
      <c r="X2374" s="29">
        <f>IF(B2374="","",IF(COUNTIF($B$5:$B$3004,B2374)&gt;1,"DUPLICATE","OK"))</f>
        <v/>
      </c>
      <c r="Y2374" s="29">
        <f>IF(OR(U2374="",V2374="",V2374="Excluded"),"",IF(COUNTIFS($U$5:$U$3004,U2374,$V$5:$V$3004,"&lt;&gt;"&amp;V2374,$V$5:$V$3004,"&lt;&gt;",$V$5:$V$3004,"&lt;&gt;Excluded")&gt;0,"LEAK RISK","OK"))</f>
        <v/>
      </c>
      <c r="Z2374" s="30" t="n"/>
    </row>
    <row r="2375">
      <c r="A2375" s="30" t="n"/>
      <c r="B2375" s="30" t="n"/>
      <c r="C2375" s="30" t="n"/>
      <c r="D2375" s="30" t="n"/>
      <c r="E2375" s="30" t="n"/>
      <c r="F2375" s="30" t="n"/>
      <c r="G2375" s="30" t="n"/>
      <c r="H2375" s="30" t="n"/>
      <c r="I2375" s="31" t="n"/>
      <c r="J2375" s="30" t="n"/>
      <c r="K2375" s="30" t="n"/>
      <c r="L2375" s="30" t="n"/>
      <c r="M2375" s="30" t="n"/>
      <c r="N2375" s="32" t="n"/>
      <c r="O2375" s="30" t="n"/>
      <c r="P2375" s="32" t="n"/>
      <c r="Q2375" s="30" t="n"/>
      <c r="R2375" s="32" t="n"/>
      <c r="S2375" s="30" t="n"/>
      <c r="T2375" s="30" t="n"/>
      <c r="U2375" s="30" t="n"/>
      <c r="V2375" s="30" t="n"/>
      <c r="W2375" s="29">
        <f>IF(H2375="","",IF(H2375="Kenya","Yes","No"))</f>
        <v/>
      </c>
      <c r="X2375" s="29">
        <f>IF(B2375="","",IF(COUNTIF($B$5:$B$3004,B2375)&gt;1,"DUPLICATE","OK"))</f>
        <v/>
      </c>
      <c r="Y2375" s="29">
        <f>IF(OR(U2375="",V2375="",V2375="Excluded"),"",IF(COUNTIFS($U$5:$U$3004,U2375,$V$5:$V$3004,"&lt;&gt;"&amp;V2375,$V$5:$V$3004,"&lt;&gt;",$V$5:$V$3004,"&lt;&gt;Excluded")&gt;0,"LEAK RISK","OK"))</f>
        <v/>
      </c>
      <c r="Z2375" s="30" t="n"/>
    </row>
    <row r="2376">
      <c r="A2376" s="30" t="n"/>
      <c r="B2376" s="30" t="n"/>
      <c r="C2376" s="30" t="n"/>
      <c r="D2376" s="30" t="n"/>
      <c r="E2376" s="30" t="n"/>
      <c r="F2376" s="30" t="n"/>
      <c r="G2376" s="30" t="n"/>
      <c r="H2376" s="30" t="n"/>
      <c r="I2376" s="31" t="n"/>
      <c r="J2376" s="30" t="n"/>
      <c r="K2376" s="30" t="n"/>
      <c r="L2376" s="30" t="n"/>
      <c r="M2376" s="30" t="n"/>
      <c r="N2376" s="32" t="n"/>
      <c r="O2376" s="30" t="n"/>
      <c r="P2376" s="32" t="n"/>
      <c r="Q2376" s="30" t="n"/>
      <c r="R2376" s="32" t="n"/>
      <c r="S2376" s="30" t="n"/>
      <c r="T2376" s="30" t="n"/>
      <c r="U2376" s="30" t="n"/>
      <c r="V2376" s="30" t="n"/>
      <c r="W2376" s="29">
        <f>IF(H2376="","",IF(H2376="Kenya","Yes","No"))</f>
        <v/>
      </c>
      <c r="X2376" s="29">
        <f>IF(B2376="","",IF(COUNTIF($B$5:$B$3004,B2376)&gt;1,"DUPLICATE","OK"))</f>
        <v/>
      </c>
      <c r="Y2376" s="29">
        <f>IF(OR(U2376="",V2376="",V2376="Excluded"),"",IF(COUNTIFS($U$5:$U$3004,U2376,$V$5:$V$3004,"&lt;&gt;"&amp;V2376,$V$5:$V$3004,"&lt;&gt;",$V$5:$V$3004,"&lt;&gt;Excluded")&gt;0,"LEAK RISK","OK"))</f>
        <v/>
      </c>
      <c r="Z2376" s="30" t="n"/>
    </row>
    <row r="2377">
      <c r="A2377" s="30" t="n"/>
      <c r="B2377" s="30" t="n"/>
      <c r="C2377" s="30" t="n"/>
      <c r="D2377" s="30" t="n"/>
      <c r="E2377" s="30" t="n"/>
      <c r="F2377" s="30" t="n"/>
      <c r="G2377" s="30" t="n"/>
      <c r="H2377" s="30" t="n"/>
      <c r="I2377" s="31" t="n"/>
      <c r="J2377" s="30" t="n"/>
      <c r="K2377" s="30" t="n"/>
      <c r="L2377" s="30" t="n"/>
      <c r="M2377" s="30" t="n"/>
      <c r="N2377" s="32" t="n"/>
      <c r="O2377" s="30" t="n"/>
      <c r="P2377" s="32" t="n"/>
      <c r="Q2377" s="30" t="n"/>
      <c r="R2377" s="32" t="n"/>
      <c r="S2377" s="30" t="n"/>
      <c r="T2377" s="30" t="n"/>
      <c r="U2377" s="30" t="n"/>
      <c r="V2377" s="30" t="n"/>
      <c r="W2377" s="29">
        <f>IF(H2377="","",IF(H2377="Kenya","Yes","No"))</f>
        <v/>
      </c>
      <c r="X2377" s="29">
        <f>IF(B2377="","",IF(COUNTIF($B$5:$B$3004,B2377)&gt;1,"DUPLICATE","OK"))</f>
        <v/>
      </c>
      <c r="Y2377" s="29">
        <f>IF(OR(U2377="",V2377="",V2377="Excluded"),"",IF(COUNTIFS($U$5:$U$3004,U2377,$V$5:$V$3004,"&lt;&gt;"&amp;V2377,$V$5:$V$3004,"&lt;&gt;",$V$5:$V$3004,"&lt;&gt;Excluded")&gt;0,"LEAK RISK","OK"))</f>
        <v/>
      </c>
      <c r="Z2377" s="30" t="n"/>
    </row>
    <row r="2378">
      <c r="A2378" s="30" t="n"/>
      <c r="B2378" s="30" t="n"/>
      <c r="C2378" s="30" t="n"/>
      <c r="D2378" s="30" t="n"/>
      <c r="E2378" s="30" t="n"/>
      <c r="F2378" s="30" t="n"/>
      <c r="G2378" s="30" t="n"/>
      <c r="H2378" s="30" t="n"/>
      <c r="I2378" s="31" t="n"/>
      <c r="J2378" s="30" t="n"/>
      <c r="K2378" s="30" t="n"/>
      <c r="L2378" s="30" t="n"/>
      <c r="M2378" s="30" t="n"/>
      <c r="N2378" s="32" t="n"/>
      <c r="O2378" s="30" t="n"/>
      <c r="P2378" s="32" t="n"/>
      <c r="Q2378" s="30" t="n"/>
      <c r="R2378" s="32" t="n"/>
      <c r="S2378" s="30" t="n"/>
      <c r="T2378" s="30" t="n"/>
      <c r="U2378" s="30" t="n"/>
      <c r="V2378" s="30" t="n"/>
      <c r="W2378" s="29">
        <f>IF(H2378="","",IF(H2378="Kenya","Yes","No"))</f>
        <v/>
      </c>
      <c r="X2378" s="29">
        <f>IF(B2378="","",IF(COUNTIF($B$5:$B$3004,B2378)&gt;1,"DUPLICATE","OK"))</f>
        <v/>
      </c>
      <c r="Y2378" s="29">
        <f>IF(OR(U2378="",V2378="",V2378="Excluded"),"",IF(COUNTIFS($U$5:$U$3004,U2378,$V$5:$V$3004,"&lt;&gt;"&amp;V2378,$V$5:$V$3004,"&lt;&gt;",$V$5:$V$3004,"&lt;&gt;Excluded")&gt;0,"LEAK RISK","OK"))</f>
        <v/>
      </c>
      <c r="Z2378" s="30" t="n"/>
    </row>
    <row r="2379">
      <c r="A2379" s="30" t="n"/>
      <c r="B2379" s="30" t="n"/>
      <c r="C2379" s="30" t="n"/>
      <c r="D2379" s="30" t="n"/>
      <c r="E2379" s="30" t="n"/>
      <c r="F2379" s="30" t="n"/>
      <c r="G2379" s="30" t="n"/>
      <c r="H2379" s="30" t="n"/>
      <c r="I2379" s="31" t="n"/>
      <c r="J2379" s="30" t="n"/>
      <c r="K2379" s="30" t="n"/>
      <c r="L2379" s="30" t="n"/>
      <c r="M2379" s="30" t="n"/>
      <c r="N2379" s="32" t="n"/>
      <c r="O2379" s="30" t="n"/>
      <c r="P2379" s="32" t="n"/>
      <c r="Q2379" s="30" t="n"/>
      <c r="R2379" s="32" t="n"/>
      <c r="S2379" s="30" t="n"/>
      <c r="T2379" s="30" t="n"/>
      <c r="U2379" s="30" t="n"/>
      <c r="V2379" s="30" t="n"/>
      <c r="W2379" s="29">
        <f>IF(H2379="","",IF(H2379="Kenya","Yes","No"))</f>
        <v/>
      </c>
      <c r="X2379" s="29">
        <f>IF(B2379="","",IF(COUNTIF($B$5:$B$3004,B2379)&gt;1,"DUPLICATE","OK"))</f>
        <v/>
      </c>
      <c r="Y2379" s="29">
        <f>IF(OR(U2379="",V2379="",V2379="Excluded"),"",IF(COUNTIFS($U$5:$U$3004,U2379,$V$5:$V$3004,"&lt;&gt;"&amp;V2379,$V$5:$V$3004,"&lt;&gt;",$V$5:$V$3004,"&lt;&gt;Excluded")&gt;0,"LEAK RISK","OK"))</f>
        <v/>
      </c>
      <c r="Z2379" s="30" t="n"/>
    </row>
    <row r="2380">
      <c r="A2380" s="30" t="n"/>
      <c r="B2380" s="30" t="n"/>
      <c r="C2380" s="30" t="n"/>
      <c r="D2380" s="30" t="n"/>
      <c r="E2380" s="30" t="n"/>
      <c r="F2380" s="30" t="n"/>
      <c r="G2380" s="30" t="n"/>
      <c r="H2380" s="30" t="n"/>
      <c r="I2380" s="31" t="n"/>
      <c r="J2380" s="30" t="n"/>
      <c r="K2380" s="30" t="n"/>
      <c r="L2380" s="30" t="n"/>
      <c r="M2380" s="30" t="n"/>
      <c r="N2380" s="32" t="n"/>
      <c r="O2380" s="30" t="n"/>
      <c r="P2380" s="32" t="n"/>
      <c r="Q2380" s="30" t="n"/>
      <c r="R2380" s="32" t="n"/>
      <c r="S2380" s="30" t="n"/>
      <c r="T2380" s="30" t="n"/>
      <c r="U2380" s="30" t="n"/>
      <c r="V2380" s="30" t="n"/>
      <c r="W2380" s="29">
        <f>IF(H2380="","",IF(H2380="Kenya","Yes","No"))</f>
        <v/>
      </c>
      <c r="X2380" s="29">
        <f>IF(B2380="","",IF(COUNTIF($B$5:$B$3004,B2380)&gt;1,"DUPLICATE","OK"))</f>
        <v/>
      </c>
      <c r="Y2380" s="29">
        <f>IF(OR(U2380="",V2380="",V2380="Excluded"),"",IF(COUNTIFS($U$5:$U$3004,U2380,$V$5:$V$3004,"&lt;&gt;"&amp;V2380,$V$5:$V$3004,"&lt;&gt;",$V$5:$V$3004,"&lt;&gt;Excluded")&gt;0,"LEAK RISK","OK"))</f>
        <v/>
      </c>
      <c r="Z2380" s="30" t="n"/>
    </row>
    <row r="2381">
      <c r="A2381" s="30" t="n"/>
      <c r="B2381" s="30" t="n"/>
      <c r="C2381" s="30" t="n"/>
      <c r="D2381" s="30" t="n"/>
      <c r="E2381" s="30" t="n"/>
      <c r="F2381" s="30" t="n"/>
      <c r="G2381" s="30" t="n"/>
      <c r="H2381" s="30" t="n"/>
      <c r="I2381" s="31" t="n"/>
      <c r="J2381" s="30" t="n"/>
      <c r="K2381" s="30" t="n"/>
      <c r="L2381" s="30" t="n"/>
      <c r="M2381" s="30" t="n"/>
      <c r="N2381" s="32" t="n"/>
      <c r="O2381" s="30" t="n"/>
      <c r="P2381" s="32" t="n"/>
      <c r="Q2381" s="30" t="n"/>
      <c r="R2381" s="32" t="n"/>
      <c r="S2381" s="30" t="n"/>
      <c r="T2381" s="30" t="n"/>
      <c r="U2381" s="30" t="n"/>
      <c r="V2381" s="30" t="n"/>
      <c r="W2381" s="29">
        <f>IF(H2381="","",IF(H2381="Kenya","Yes","No"))</f>
        <v/>
      </c>
      <c r="X2381" s="29">
        <f>IF(B2381="","",IF(COUNTIF($B$5:$B$3004,B2381)&gt;1,"DUPLICATE","OK"))</f>
        <v/>
      </c>
      <c r="Y2381" s="29">
        <f>IF(OR(U2381="",V2381="",V2381="Excluded"),"",IF(COUNTIFS($U$5:$U$3004,U2381,$V$5:$V$3004,"&lt;&gt;"&amp;V2381,$V$5:$V$3004,"&lt;&gt;",$V$5:$V$3004,"&lt;&gt;Excluded")&gt;0,"LEAK RISK","OK"))</f>
        <v/>
      </c>
      <c r="Z2381" s="30" t="n"/>
    </row>
    <row r="2382">
      <c r="A2382" s="30" t="n"/>
      <c r="B2382" s="30" t="n"/>
      <c r="C2382" s="30" t="n"/>
      <c r="D2382" s="30" t="n"/>
      <c r="E2382" s="30" t="n"/>
      <c r="F2382" s="30" t="n"/>
      <c r="G2382" s="30" t="n"/>
      <c r="H2382" s="30" t="n"/>
      <c r="I2382" s="31" t="n"/>
      <c r="J2382" s="30" t="n"/>
      <c r="K2382" s="30" t="n"/>
      <c r="L2382" s="30" t="n"/>
      <c r="M2382" s="30" t="n"/>
      <c r="N2382" s="32" t="n"/>
      <c r="O2382" s="30" t="n"/>
      <c r="P2382" s="32" t="n"/>
      <c r="Q2382" s="30" t="n"/>
      <c r="R2382" s="32" t="n"/>
      <c r="S2382" s="30" t="n"/>
      <c r="T2382" s="30" t="n"/>
      <c r="U2382" s="30" t="n"/>
      <c r="V2382" s="30" t="n"/>
      <c r="W2382" s="29">
        <f>IF(H2382="","",IF(H2382="Kenya","Yes","No"))</f>
        <v/>
      </c>
      <c r="X2382" s="29">
        <f>IF(B2382="","",IF(COUNTIF($B$5:$B$3004,B2382)&gt;1,"DUPLICATE","OK"))</f>
        <v/>
      </c>
      <c r="Y2382" s="29">
        <f>IF(OR(U2382="",V2382="",V2382="Excluded"),"",IF(COUNTIFS($U$5:$U$3004,U2382,$V$5:$V$3004,"&lt;&gt;"&amp;V2382,$V$5:$V$3004,"&lt;&gt;",$V$5:$V$3004,"&lt;&gt;Excluded")&gt;0,"LEAK RISK","OK"))</f>
        <v/>
      </c>
      <c r="Z2382" s="30" t="n"/>
    </row>
    <row r="2383">
      <c r="A2383" s="30" t="n"/>
      <c r="B2383" s="30" t="n"/>
      <c r="C2383" s="30" t="n"/>
      <c r="D2383" s="30" t="n"/>
      <c r="E2383" s="30" t="n"/>
      <c r="F2383" s="30" t="n"/>
      <c r="G2383" s="30" t="n"/>
      <c r="H2383" s="30" t="n"/>
      <c r="I2383" s="31" t="n"/>
      <c r="J2383" s="30" t="n"/>
      <c r="K2383" s="30" t="n"/>
      <c r="L2383" s="30" t="n"/>
      <c r="M2383" s="30" t="n"/>
      <c r="N2383" s="32" t="n"/>
      <c r="O2383" s="30" t="n"/>
      <c r="P2383" s="32" t="n"/>
      <c r="Q2383" s="30" t="n"/>
      <c r="R2383" s="32" t="n"/>
      <c r="S2383" s="30" t="n"/>
      <c r="T2383" s="30" t="n"/>
      <c r="U2383" s="30" t="n"/>
      <c r="V2383" s="30" t="n"/>
      <c r="W2383" s="29">
        <f>IF(H2383="","",IF(H2383="Kenya","Yes","No"))</f>
        <v/>
      </c>
      <c r="X2383" s="29">
        <f>IF(B2383="","",IF(COUNTIF($B$5:$B$3004,B2383)&gt;1,"DUPLICATE","OK"))</f>
        <v/>
      </c>
      <c r="Y2383" s="29">
        <f>IF(OR(U2383="",V2383="",V2383="Excluded"),"",IF(COUNTIFS($U$5:$U$3004,U2383,$V$5:$V$3004,"&lt;&gt;"&amp;V2383,$V$5:$V$3004,"&lt;&gt;",$V$5:$V$3004,"&lt;&gt;Excluded")&gt;0,"LEAK RISK","OK"))</f>
        <v/>
      </c>
      <c r="Z2383" s="30" t="n"/>
    </row>
    <row r="2384">
      <c r="A2384" s="30" t="n"/>
      <c r="B2384" s="30" t="n"/>
      <c r="C2384" s="30" t="n"/>
      <c r="D2384" s="30" t="n"/>
      <c r="E2384" s="30" t="n"/>
      <c r="F2384" s="30" t="n"/>
      <c r="G2384" s="30" t="n"/>
      <c r="H2384" s="30" t="n"/>
      <c r="I2384" s="31" t="n"/>
      <c r="J2384" s="30" t="n"/>
      <c r="K2384" s="30" t="n"/>
      <c r="L2384" s="30" t="n"/>
      <c r="M2384" s="30" t="n"/>
      <c r="N2384" s="32" t="n"/>
      <c r="O2384" s="30" t="n"/>
      <c r="P2384" s="32" t="n"/>
      <c r="Q2384" s="30" t="n"/>
      <c r="R2384" s="32" t="n"/>
      <c r="S2384" s="30" t="n"/>
      <c r="T2384" s="30" t="n"/>
      <c r="U2384" s="30" t="n"/>
      <c r="V2384" s="30" t="n"/>
      <c r="W2384" s="29">
        <f>IF(H2384="","",IF(H2384="Kenya","Yes","No"))</f>
        <v/>
      </c>
      <c r="X2384" s="29">
        <f>IF(B2384="","",IF(COUNTIF($B$5:$B$3004,B2384)&gt;1,"DUPLICATE","OK"))</f>
        <v/>
      </c>
      <c r="Y2384" s="29">
        <f>IF(OR(U2384="",V2384="",V2384="Excluded"),"",IF(COUNTIFS($U$5:$U$3004,U2384,$V$5:$V$3004,"&lt;&gt;"&amp;V2384,$V$5:$V$3004,"&lt;&gt;",$V$5:$V$3004,"&lt;&gt;Excluded")&gt;0,"LEAK RISK","OK"))</f>
        <v/>
      </c>
      <c r="Z2384" s="30" t="n"/>
    </row>
    <row r="2385">
      <c r="A2385" s="30" t="n"/>
      <c r="B2385" s="30" t="n"/>
      <c r="C2385" s="30" t="n"/>
      <c r="D2385" s="30" t="n"/>
      <c r="E2385" s="30" t="n"/>
      <c r="F2385" s="30" t="n"/>
      <c r="G2385" s="30" t="n"/>
      <c r="H2385" s="30" t="n"/>
      <c r="I2385" s="31" t="n"/>
      <c r="J2385" s="30" t="n"/>
      <c r="K2385" s="30" t="n"/>
      <c r="L2385" s="30" t="n"/>
      <c r="M2385" s="30" t="n"/>
      <c r="N2385" s="32" t="n"/>
      <c r="O2385" s="30" t="n"/>
      <c r="P2385" s="32" t="n"/>
      <c r="Q2385" s="30" t="n"/>
      <c r="R2385" s="32" t="n"/>
      <c r="S2385" s="30" t="n"/>
      <c r="T2385" s="30" t="n"/>
      <c r="U2385" s="30" t="n"/>
      <c r="V2385" s="30" t="n"/>
      <c r="W2385" s="29">
        <f>IF(H2385="","",IF(H2385="Kenya","Yes","No"))</f>
        <v/>
      </c>
      <c r="X2385" s="29">
        <f>IF(B2385="","",IF(COUNTIF($B$5:$B$3004,B2385)&gt;1,"DUPLICATE","OK"))</f>
        <v/>
      </c>
      <c r="Y2385" s="29">
        <f>IF(OR(U2385="",V2385="",V2385="Excluded"),"",IF(COUNTIFS($U$5:$U$3004,U2385,$V$5:$V$3004,"&lt;&gt;"&amp;V2385,$V$5:$V$3004,"&lt;&gt;",$V$5:$V$3004,"&lt;&gt;Excluded")&gt;0,"LEAK RISK","OK"))</f>
        <v/>
      </c>
      <c r="Z2385" s="30" t="n"/>
    </row>
    <row r="2386">
      <c r="A2386" s="30" t="n"/>
      <c r="B2386" s="30" t="n"/>
      <c r="C2386" s="30" t="n"/>
      <c r="D2386" s="30" t="n"/>
      <c r="E2386" s="30" t="n"/>
      <c r="F2386" s="30" t="n"/>
      <c r="G2386" s="30" t="n"/>
      <c r="H2386" s="30" t="n"/>
      <c r="I2386" s="31" t="n"/>
      <c r="J2386" s="30" t="n"/>
      <c r="K2386" s="30" t="n"/>
      <c r="L2386" s="30" t="n"/>
      <c r="M2386" s="30" t="n"/>
      <c r="N2386" s="32" t="n"/>
      <c r="O2386" s="30" t="n"/>
      <c r="P2386" s="32" t="n"/>
      <c r="Q2386" s="30" t="n"/>
      <c r="R2386" s="32" t="n"/>
      <c r="S2386" s="30" t="n"/>
      <c r="T2386" s="30" t="n"/>
      <c r="U2386" s="30" t="n"/>
      <c r="V2386" s="30" t="n"/>
      <c r="W2386" s="29">
        <f>IF(H2386="","",IF(H2386="Kenya","Yes","No"))</f>
        <v/>
      </c>
      <c r="X2386" s="29">
        <f>IF(B2386="","",IF(COUNTIF($B$5:$B$3004,B2386)&gt;1,"DUPLICATE","OK"))</f>
        <v/>
      </c>
      <c r="Y2386" s="29">
        <f>IF(OR(U2386="",V2386="",V2386="Excluded"),"",IF(COUNTIFS($U$5:$U$3004,U2386,$V$5:$V$3004,"&lt;&gt;"&amp;V2386,$V$5:$V$3004,"&lt;&gt;",$V$5:$V$3004,"&lt;&gt;Excluded")&gt;0,"LEAK RISK","OK"))</f>
        <v/>
      </c>
      <c r="Z2386" s="30" t="n"/>
    </row>
    <row r="2387">
      <c r="A2387" s="30" t="n"/>
      <c r="B2387" s="30" t="n"/>
      <c r="C2387" s="30" t="n"/>
      <c r="D2387" s="30" t="n"/>
      <c r="E2387" s="30" t="n"/>
      <c r="F2387" s="30" t="n"/>
      <c r="G2387" s="30" t="n"/>
      <c r="H2387" s="30" t="n"/>
      <c r="I2387" s="31" t="n"/>
      <c r="J2387" s="30" t="n"/>
      <c r="K2387" s="30" t="n"/>
      <c r="L2387" s="30" t="n"/>
      <c r="M2387" s="30" t="n"/>
      <c r="N2387" s="32" t="n"/>
      <c r="O2387" s="30" t="n"/>
      <c r="P2387" s="32" t="n"/>
      <c r="Q2387" s="30" t="n"/>
      <c r="R2387" s="32" t="n"/>
      <c r="S2387" s="30" t="n"/>
      <c r="T2387" s="30" t="n"/>
      <c r="U2387" s="30" t="n"/>
      <c r="V2387" s="30" t="n"/>
      <c r="W2387" s="29">
        <f>IF(H2387="","",IF(H2387="Kenya","Yes","No"))</f>
        <v/>
      </c>
      <c r="X2387" s="29">
        <f>IF(B2387="","",IF(COUNTIF($B$5:$B$3004,B2387)&gt;1,"DUPLICATE","OK"))</f>
        <v/>
      </c>
      <c r="Y2387" s="29">
        <f>IF(OR(U2387="",V2387="",V2387="Excluded"),"",IF(COUNTIFS($U$5:$U$3004,U2387,$V$5:$V$3004,"&lt;&gt;"&amp;V2387,$V$5:$V$3004,"&lt;&gt;",$V$5:$V$3004,"&lt;&gt;Excluded")&gt;0,"LEAK RISK","OK"))</f>
        <v/>
      </c>
      <c r="Z2387" s="30" t="n"/>
    </row>
    <row r="2388">
      <c r="A2388" s="30" t="n"/>
      <c r="B2388" s="30" t="n"/>
      <c r="C2388" s="30" t="n"/>
      <c r="D2388" s="30" t="n"/>
      <c r="E2388" s="30" t="n"/>
      <c r="F2388" s="30" t="n"/>
      <c r="G2388" s="30" t="n"/>
      <c r="H2388" s="30" t="n"/>
      <c r="I2388" s="31" t="n"/>
      <c r="J2388" s="30" t="n"/>
      <c r="K2388" s="30" t="n"/>
      <c r="L2388" s="30" t="n"/>
      <c r="M2388" s="30" t="n"/>
      <c r="N2388" s="32" t="n"/>
      <c r="O2388" s="30" t="n"/>
      <c r="P2388" s="32" t="n"/>
      <c r="Q2388" s="30" t="n"/>
      <c r="R2388" s="32" t="n"/>
      <c r="S2388" s="30" t="n"/>
      <c r="T2388" s="30" t="n"/>
      <c r="U2388" s="30" t="n"/>
      <c r="V2388" s="30" t="n"/>
      <c r="W2388" s="29">
        <f>IF(H2388="","",IF(H2388="Kenya","Yes","No"))</f>
        <v/>
      </c>
      <c r="X2388" s="29">
        <f>IF(B2388="","",IF(COUNTIF($B$5:$B$3004,B2388)&gt;1,"DUPLICATE","OK"))</f>
        <v/>
      </c>
      <c r="Y2388" s="29">
        <f>IF(OR(U2388="",V2388="",V2388="Excluded"),"",IF(COUNTIFS($U$5:$U$3004,U2388,$V$5:$V$3004,"&lt;&gt;"&amp;V2388,$V$5:$V$3004,"&lt;&gt;",$V$5:$V$3004,"&lt;&gt;Excluded")&gt;0,"LEAK RISK","OK"))</f>
        <v/>
      </c>
      <c r="Z2388" s="30" t="n"/>
    </row>
    <row r="2389">
      <c r="A2389" s="30" t="n"/>
      <c r="B2389" s="30" t="n"/>
      <c r="C2389" s="30" t="n"/>
      <c r="D2389" s="30" t="n"/>
      <c r="E2389" s="30" t="n"/>
      <c r="F2389" s="30" t="n"/>
      <c r="G2389" s="30" t="n"/>
      <c r="H2389" s="30" t="n"/>
      <c r="I2389" s="31" t="n"/>
      <c r="J2389" s="30" t="n"/>
      <c r="K2389" s="30" t="n"/>
      <c r="L2389" s="30" t="n"/>
      <c r="M2389" s="30" t="n"/>
      <c r="N2389" s="32" t="n"/>
      <c r="O2389" s="30" t="n"/>
      <c r="P2389" s="32" t="n"/>
      <c r="Q2389" s="30" t="n"/>
      <c r="R2389" s="32" t="n"/>
      <c r="S2389" s="30" t="n"/>
      <c r="T2389" s="30" t="n"/>
      <c r="U2389" s="30" t="n"/>
      <c r="V2389" s="30" t="n"/>
      <c r="W2389" s="29">
        <f>IF(H2389="","",IF(H2389="Kenya","Yes","No"))</f>
        <v/>
      </c>
      <c r="X2389" s="29">
        <f>IF(B2389="","",IF(COUNTIF($B$5:$B$3004,B2389)&gt;1,"DUPLICATE","OK"))</f>
        <v/>
      </c>
      <c r="Y2389" s="29">
        <f>IF(OR(U2389="",V2389="",V2389="Excluded"),"",IF(COUNTIFS($U$5:$U$3004,U2389,$V$5:$V$3004,"&lt;&gt;"&amp;V2389,$V$5:$V$3004,"&lt;&gt;",$V$5:$V$3004,"&lt;&gt;Excluded")&gt;0,"LEAK RISK","OK"))</f>
        <v/>
      </c>
      <c r="Z2389" s="30" t="n"/>
    </row>
    <row r="2390">
      <c r="A2390" s="30" t="n"/>
      <c r="B2390" s="30" t="n"/>
      <c r="C2390" s="30" t="n"/>
      <c r="D2390" s="30" t="n"/>
      <c r="E2390" s="30" t="n"/>
      <c r="F2390" s="30" t="n"/>
      <c r="G2390" s="30" t="n"/>
      <c r="H2390" s="30" t="n"/>
      <c r="I2390" s="31" t="n"/>
      <c r="J2390" s="30" t="n"/>
      <c r="K2390" s="30" t="n"/>
      <c r="L2390" s="30" t="n"/>
      <c r="M2390" s="30" t="n"/>
      <c r="N2390" s="32" t="n"/>
      <c r="O2390" s="30" t="n"/>
      <c r="P2390" s="32" t="n"/>
      <c r="Q2390" s="30" t="n"/>
      <c r="R2390" s="32" t="n"/>
      <c r="S2390" s="30" t="n"/>
      <c r="T2390" s="30" t="n"/>
      <c r="U2390" s="30" t="n"/>
      <c r="V2390" s="30" t="n"/>
      <c r="W2390" s="29">
        <f>IF(H2390="","",IF(H2390="Kenya","Yes","No"))</f>
        <v/>
      </c>
      <c r="X2390" s="29">
        <f>IF(B2390="","",IF(COUNTIF($B$5:$B$3004,B2390)&gt;1,"DUPLICATE","OK"))</f>
        <v/>
      </c>
      <c r="Y2390" s="29">
        <f>IF(OR(U2390="",V2390="",V2390="Excluded"),"",IF(COUNTIFS($U$5:$U$3004,U2390,$V$5:$V$3004,"&lt;&gt;"&amp;V2390,$V$5:$V$3004,"&lt;&gt;",$V$5:$V$3004,"&lt;&gt;Excluded")&gt;0,"LEAK RISK","OK"))</f>
        <v/>
      </c>
      <c r="Z2390" s="30" t="n"/>
    </row>
    <row r="2391">
      <c r="A2391" s="30" t="n"/>
      <c r="B2391" s="30" t="n"/>
      <c r="C2391" s="30" t="n"/>
      <c r="D2391" s="30" t="n"/>
      <c r="E2391" s="30" t="n"/>
      <c r="F2391" s="30" t="n"/>
      <c r="G2391" s="30" t="n"/>
      <c r="H2391" s="30" t="n"/>
      <c r="I2391" s="31" t="n"/>
      <c r="J2391" s="30" t="n"/>
      <c r="K2391" s="30" t="n"/>
      <c r="L2391" s="30" t="n"/>
      <c r="M2391" s="30" t="n"/>
      <c r="N2391" s="32" t="n"/>
      <c r="O2391" s="30" t="n"/>
      <c r="P2391" s="32" t="n"/>
      <c r="Q2391" s="30" t="n"/>
      <c r="R2391" s="32" t="n"/>
      <c r="S2391" s="30" t="n"/>
      <c r="T2391" s="30" t="n"/>
      <c r="U2391" s="30" t="n"/>
      <c r="V2391" s="30" t="n"/>
      <c r="W2391" s="29">
        <f>IF(H2391="","",IF(H2391="Kenya","Yes","No"))</f>
        <v/>
      </c>
      <c r="X2391" s="29">
        <f>IF(B2391="","",IF(COUNTIF($B$5:$B$3004,B2391)&gt;1,"DUPLICATE","OK"))</f>
        <v/>
      </c>
      <c r="Y2391" s="29">
        <f>IF(OR(U2391="",V2391="",V2391="Excluded"),"",IF(COUNTIFS($U$5:$U$3004,U2391,$V$5:$V$3004,"&lt;&gt;"&amp;V2391,$V$5:$V$3004,"&lt;&gt;",$V$5:$V$3004,"&lt;&gt;Excluded")&gt;0,"LEAK RISK","OK"))</f>
        <v/>
      </c>
      <c r="Z2391" s="30" t="n"/>
    </row>
    <row r="2392">
      <c r="A2392" s="30" t="n"/>
      <c r="B2392" s="30" t="n"/>
      <c r="C2392" s="30" t="n"/>
      <c r="D2392" s="30" t="n"/>
      <c r="E2392" s="30" t="n"/>
      <c r="F2392" s="30" t="n"/>
      <c r="G2392" s="30" t="n"/>
      <c r="H2392" s="30" t="n"/>
      <c r="I2392" s="31" t="n"/>
      <c r="J2392" s="30" t="n"/>
      <c r="K2392" s="30" t="n"/>
      <c r="L2392" s="30" t="n"/>
      <c r="M2392" s="30" t="n"/>
      <c r="N2392" s="32" t="n"/>
      <c r="O2392" s="30" t="n"/>
      <c r="P2392" s="32" t="n"/>
      <c r="Q2392" s="30" t="n"/>
      <c r="R2392" s="32" t="n"/>
      <c r="S2392" s="30" t="n"/>
      <c r="T2392" s="30" t="n"/>
      <c r="U2392" s="30" t="n"/>
      <c r="V2392" s="30" t="n"/>
      <c r="W2392" s="29">
        <f>IF(H2392="","",IF(H2392="Kenya","Yes","No"))</f>
        <v/>
      </c>
      <c r="X2392" s="29">
        <f>IF(B2392="","",IF(COUNTIF($B$5:$B$3004,B2392)&gt;1,"DUPLICATE","OK"))</f>
        <v/>
      </c>
      <c r="Y2392" s="29">
        <f>IF(OR(U2392="",V2392="",V2392="Excluded"),"",IF(COUNTIFS($U$5:$U$3004,U2392,$V$5:$V$3004,"&lt;&gt;"&amp;V2392,$V$5:$V$3004,"&lt;&gt;",$V$5:$V$3004,"&lt;&gt;Excluded")&gt;0,"LEAK RISK","OK"))</f>
        <v/>
      </c>
      <c r="Z2392" s="30" t="n"/>
    </row>
    <row r="2393">
      <c r="A2393" s="30" t="n"/>
      <c r="B2393" s="30" t="n"/>
      <c r="C2393" s="30" t="n"/>
      <c r="D2393" s="30" t="n"/>
      <c r="E2393" s="30" t="n"/>
      <c r="F2393" s="30" t="n"/>
      <c r="G2393" s="30" t="n"/>
      <c r="H2393" s="30" t="n"/>
      <c r="I2393" s="31" t="n"/>
      <c r="J2393" s="30" t="n"/>
      <c r="K2393" s="30" t="n"/>
      <c r="L2393" s="30" t="n"/>
      <c r="M2393" s="30" t="n"/>
      <c r="N2393" s="32" t="n"/>
      <c r="O2393" s="30" t="n"/>
      <c r="P2393" s="32" t="n"/>
      <c r="Q2393" s="30" t="n"/>
      <c r="R2393" s="32" t="n"/>
      <c r="S2393" s="30" t="n"/>
      <c r="T2393" s="30" t="n"/>
      <c r="U2393" s="30" t="n"/>
      <c r="V2393" s="30" t="n"/>
      <c r="W2393" s="29">
        <f>IF(H2393="","",IF(H2393="Kenya","Yes","No"))</f>
        <v/>
      </c>
      <c r="X2393" s="29">
        <f>IF(B2393="","",IF(COUNTIF($B$5:$B$3004,B2393)&gt;1,"DUPLICATE","OK"))</f>
        <v/>
      </c>
      <c r="Y2393" s="29">
        <f>IF(OR(U2393="",V2393="",V2393="Excluded"),"",IF(COUNTIFS($U$5:$U$3004,U2393,$V$5:$V$3004,"&lt;&gt;"&amp;V2393,$V$5:$V$3004,"&lt;&gt;",$V$5:$V$3004,"&lt;&gt;Excluded")&gt;0,"LEAK RISK","OK"))</f>
        <v/>
      </c>
      <c r="Z2393" s="30" t="n"/>
    </row>
    <row r="2394">
      <c r="A2394" s="30" t="n"/>
      <c r="B2394" s="30" t="n"/>
      <c r="C2394" s="30" t="n"/>
      <c r="D2394" s="30" t="n"/>
      <c r="E2394" s="30" t="n"/>
      <c r="F2394" s="30" t="n"/>
      <c r="G2394" s="30" t="n"/>
      <c r="H2394" s="30" t="n"/>
      <c r="I2394" s="31" t="n"/>
      <c r="J2394" s="30" t="n"/>
      <c r="K2394" s="30" t="n"/>
      <c r="L2394" s="30" t="n"/>
      <c r="M2394" s="30" t="n"/>
      <c r="N2394" s="32" t="n"/>
      <c r="O2394" s="30" t="n"/>
      <c r="P2394" s="32" t="n"/>
      <c r="Q2394" s="30" t="n"/>
      <c r="R2394" s="32" t="n"/>
      <c r="S2394" s="30" t="n"/>
      <c r="T2394" s="30" t="n"/>
      <c r="U2394" s="30" t="n"/>
      <c r="V2394" s="30" t="n"/>
      <c r="W2394" s="29">
        <f>IF(H2394="","",IF(H2394="Kenya","Yes","No"))</f>
        <v/>
      </c>
      <c r="X2394" s="29">
        <f>IF(B2394="","",IF(COUNTIF($B$5:$B$3004,B2394)&gt;1,"DUPLICATE","OK"))</f>
        <v/>
      </c>
      <c r="Y2394" s="29">
        <f>IF(OR(U2394="",V2394="",V2394="Excluded"),"",IF(COUNTIFS($U$5:$U$3004,U2394,$V$5:$V$3004,"&lt;&gt;"&amp;V2394,$V$5:$V$3004,"&lt;&gt;",$V$5:$V$3004,"&lt;&gt;Excluded")&gt;0,"LEAK RISK","OK"))</f>
        <v/>
      </c>
      <c r="Z2394" s="30" t="n"/>
    </row>
    <row r="2395">
      <c r="A2395" s="30" t="n"/>
      <c r="B2395" s="30" t="n"/>
      <c r="C2395" s="30" t="n"/>
      <c r="D2395" s="30" t="n"/>
      <c r="E2395" s="30" t="n"/>
      <c r="F2395" s="30" t="n"/>
      <c r="G2395" s="30" t="n"/>
      <c r="H2395" s="30" t="n"/>
      <c r="I2395" s="31" t="n"/>
      <c r="J2395" s="30" t="n"/>
      <c r="K2395" s="30" t="n"/>
      <c r="L2395" s="30" t="n"/>
      <c r="M2395" s="30" t="n"/>
      <c r="N2395" s="32" t="n"/>
      <c r="O2395" s="30" t="n"/>
      <c r="P2395" s="32" t="n"/>
      <c r="Q2395" s="30" t="n"/>
      <c r="R2395" s="32" t="n"/>
      <c r="S2395" s="30" t="n"/>
      <c r="T2395" s="30" t="n"/>
      <c r="U2395" s="30" t="n"/>
      <c r="V2395" s="30" t="n"/>
      <c r="W2395" s="29">
        <f>IF(H2395="","",IF(H2395="Kenya","Yes","No"))</f>
        <v/>
      </c>
      <c r="X2395" s="29">
        <f>IF(B2395="","",IF(COUNTIF($B$5:$B$3004,B2395)&gt;1,"DUPLICATE","OK"))</f>
        <v/>
      </c>
      <c r="Y2395" s="29">
        <f>IF(OR(U2395="",V2395="",V2395="Excluded"),"",IF(COUNTIFS($U$5:$U$3004,U2395,$V$5:$V$3004,"&lt;&gt;"&amp;V2395,$V$5:$V$3004,"&lt;&gt;",$V$5:$V$3004,"&lt;&gt;Excluded")&gt;0,"LEAK RISK","OK"))</f>
        <v/>
      </c>
      <c r="Z2395" s="30" t="n"/>
    </row>
    <row r="2396">
      <c r="A2396" s="30" t="n"/>
      <c r="B2396" s="30" t="n"/>
      <c r="C2396" s="30" t="n"/>
      <c r="D2396" s="30" t="n"/>
      <c r="E2396" s="30" t="n"/>
      <c r="F2396" s="30" t="n"/>
      <c r="G2396" s="30" t="n"/>
      <c r="H2396" s="30" t="n"/>
      <c r="I2396" s="31" t="n"/>
      <c r="J2396" s="30" t="n"/>
      <c r="K2396" s="30" t="n"/>
      <c r="L2396" s="30" t="n"/>
      <c r="M2396" s="30" t="n"/>
      <c r="N2396" s="32" t="n"/>
      <c r="O2396" s="30" t="n"/>
      <c r="P2396" s="32" t="n"/>
      <c r="Q2396" s="30" t="n"/>
      <c r="R2396" s="32" t="n"/>
      <c r="S2396" s="30" t="n"/>
      <c r="T2396" s="30" t="n"/>
      <c r="U2396" s="30" t="n"/>
      <c r="V2396" s="30" t="n"/>
      <c r="W2396" s="29">
        <f>IF(H2396="","",IF(H2396="Kenya","Yes","No"))</f>
        <v/>
      </c>
      <c r="X2396" s="29">
        <f>IF(B2396="","",IF(COUNTIF($B$5:$B$3004,B2396)&gt;1,"DUPLICATE","OK"))</f>
        <v/>
      </c>
      <c r="Y2396" s="29">
        <f>IF(OR(U2396="",V2396="",V2396="Excluded"),"",IF(COUNTIFS($U$5:$U$3004,U2396,$V$5:$V$3004,"&lt;&gt;"&amp;V2396,$V$5:$V$3004,"&lt;&gt;",$V$5:$V$3004,"&lt;&gt;Excluded")&gt;0,"LEAK RISK","OK"))</f>
        <v/>
      </c>
      <c r="Z2396" s="30" t="n"/>
    </row>
    <row r="2397">
      <c r="A2397" s="30" t="n"/>
      <c r="B2397" s="30" t="n"/>
      <c r="C2397" s="30" t="n"/>
      <c r="D2397" s="30" t="n"/>
      <c r="E2397" s="30" t="n"/>
      <c r="F2397" s="30" t="n"/>
      <c r="G2397" s="30" t="n"/>
      <c r="H2397" s="30" t="n"/>
      <c r="I2397" s="31" t="n"/>
      <c r="J2397" s="30" t="n"/>
      <c r="K2397" s="30" t="n"/>
      <c r="L2397" s="30" t="n"/>
      <c r="M2397" s="30" t="n"/>
      <c r="N2397" s="32" t="n"/>
      <c r="O2397" s="30" t="n"/>
      <c r="P2397" s="32" t="n"/>
      <c r="Q2397" s="30" t="n"/>
      <c r="R2397" s="32" t="n"/>
      <c r="S2397" s="30" t="n"/>
      <c r="T2397" s="30" t="n"/>
      <c r="U2397" s="30" t="n"/>
      <c r="V2397" s="30" t="n"/>
      <c r="W2397" s="29">
        <f>IF(H2397="","",IF(H2397="Kenya","Yes","No"))</f>
        <v/>
      </c>
      <c r="X2397" s="29">
        <f>IF(B2397="","",IF(COUNTIF($B$5:$B$3004,B2397)&gt;1,"DUPLICATE","OK"))</f>
        <v/>
      </c>
      <c r="Y2397" s="29">
        <f>IF(OR(U2397="",V2397="",V2397="Excluded"),"",IF(COUNTIFS($U$5:$U$3004,U2397,$V$5:$V$3004,"&lt;&gt;"&amp;V2397,$V$5:$V$3004,"&lt;&gt;",$V$5:$V$3004,"&lt;&gt;Excluded")&gt;0,"LEAK RISK","OK"))</f>
        <v/>
      </c>
      <c r="Z2397" s="30" t="n"/>
    </row>
    <row r="2398">
      <c r="A2398" s="30" t="n"/>
      <c r="B2398" s="30" t="n"/>
      <c r="C2398" s="30" t="n"/>
      <c r="D2398" s="30" t="n"/>
      <c r="E2398" s="30" t="n"/>
      <c r="F2398" s="30" t="n"/>
      <c r="G2398" s="30" t="n"/>
      <c r="H2398" s="30" t="n"/>
      <c r="I2398" s="31" t="n"/>
      <c r="J2398" s="30" t="n"/>
      <c r="K2398" s="30" t="n"/>
      <c r="L2398" s="30" t="n"/>
      <c r="M2398" s="30" t="n"/>
      <c r="N2398" s="32" t="n"/>
      <c r="O2398" s="30" t="n"/>
      <c r="P2398" s="32" t="n"/>
      <c r="Q2398" s="30" t="n"/>
      <c r="R2398" s="32" t="n"/>
      <c r="S2398" s="30" t="n"/>
      <c r="T2398" s="30" t="n"/>
      <c r="U2398" s="30" t="n"/>
      <c r="V2398" s="30" t="n"/>
      <c r="W2398" s="29">
        <f>IF(H2398="","",IF(H2398="Kenya","Yes","No"))</f>
        <v/>
      </c>
      <c r="X2398" s="29">
        <f>IF(B2398="","",IF(COUNTIF($B$5:$B$3004,B2398)&gt;1,"DUPLICATE","OK"))</f>
        <v/>
      </c>
      <c r="Y2398" s="29">
        <f>IF(OR(U2398="",V2398="",V2398="Excluded"),"",IF(COUNTIFS($U$5:$U$3004,U2398,$V$5:$V$3004,"&lt;&gt;"&amp;V2398,$V$5:$V$3004,"&lt;&gt;",$V$5:$V$3004,"&lt;&gt;Excluded")&gt;0,"LEAK RISK","OK"))</f>
        <v/>
      </c>
      <c r="Z2398" s="30" t="n"/>
    </row>
    <row r="2399">
      <c r="A2399" s="30" t="n"/>
      <c r="B2399" s="30" t="n"/>
      <c r="C2399" s="30" t="n"/>
      <c r="D2399" s="30" t="n"/>
      <c r="E2399" s="30" t="n"/>
      <c r="F2399" s="30" t="n"/>
      <c r="G2399" s="30" t="n"/>
      <c r="H2399" s="30" t="n"/>
      <c r="I2399" s="31" t="n"/>
      <c r="J2399" s="30" t="n"/>
      <c r="K2399" s="30" t="n"/>
      <c r="L2399" s="30" t="n"/>
      <c r="M2399" s="30" t="n"/>
      <c r="N2399" s="32" t="n"/>
      <c r="O2399" s="30" t="n"/>
      <c r="P2399" s="32" t="n"/>
      <c r="Q2399" s="30" t="n"/>
      <c r="R2399" s="32" t="n"/>
      <c r="S2399" s="30" t="n"/>
      <c r="T2399" s="30" t="n"/>
      <c r="U2399" s="30" t="n"/>
      <c r="V2399" s="30" t="n"/>
      <c r="W2399" s="29">
        <f>IF(H2399="","",IF(H2399="Kenya","Yes","No"))</f>
        <v/>
      </c>
      <c r="X2399" s="29">
        <f>IF(B2399="","",IF(COUNTIF($B$5:$B$3004,B2399)&gt;1,"DUPLICATE","OK"))</f>
        <v/>
      </c>
      <c r="Y2399" s="29">
        <f>IF(OR(U2399="",V2399="",V2399="Excluded"),"",IF(COUNTIFS($U$5:$U$3004,U2399,$V$5:$V$3004,"&lt;&gt;"&amp;V2399,$V$5:$V$3004,"&lt;&gt;",$V$5:$V$3004,"&lt;&gt;Excluded")&gt;0,"LEAK RISK","OK"))</f>
        <v/>
      </c>
      <c r="Z2399" s="30" t="n"/>
    </row>
    <row r="2400">
      <c r="A2400" s="30" t="n"/>
      <c r="B2400" s="30" t="n"/>
      <c r="C2400" s="30" t="n"/>
      <c r="D2400" s="30" t="n"/>
      <c r="E2400" s="30" t="n"/>
      <c r="F2400" s="30" t="n"/>
      <c r="G2400" s="30" t="n"/>
      <c r="H2400" s="30" t="n"/>
      <c r="I2400" s="31" t="n"/>
      <c r="J2400" s="30" t="n"/>
      <c r="K2400" s="30" t="n"/>
      <c r="L2400" s="30" t="n"/>
      <c r="M2400" s="30" t="n"/>
      <c r="N2400" s="32" t="n"/>
      <c r="O2400" s="30" t="n"/>
      <c r="P2400" s="32" t="n"/>
      <c r="Q2400" s="30" t="n"/>
      <c r="R2400" s="32" t="n"/>
      <c r="S2400" s="30" t="n"/>
      <c r="T2400" s="30" t="n"/>
      <c r="U2400" s="30" t="n"/>
      <c r="V2400" s="30" t="n"/>
      <c r="W2400" s="29">
        <f>IF(H2400="","",IF(H2400="Kenya","Yes","No"))</f>
        <v/>
      </c>
      <c r="X2400" s="29">
        <f>IF(B2400="","",IF(COUNTIF($B$5:$B$3004,B2400)&gt;1,"DUPLICATE","OK"))</f>
        <v/>
      </c>
      <c r="Y2400" s="29">
        <f>IF(OR(U2400="",V2400="",V2400="Excluded"),"",IF(COUNTIFS($U$5:$U$3004,U2400,$V$5:$V$3004,"&lt;&gt;"&amp;V2400,$V$5:$V$3004,"&lt;&gt;",$V$5:$V$3004,"&lt;&gt;Excluded")&gt;0,"LEAK RISK","OK"))</f>
        <v/>
      </c>
      <c r="Z2400" s="30" t="n"/>
    </row>
    <row r="2401">
      <c r="A2401" s="30" t="n"/>
      <c r="B2401" s="30" t="n"/>
      <c r="C2401" s="30" t="n"/>
      <c r="D2401" s="30" t="n"/>
      <c r="E2401" s="30" t="n"/>
      <c r="F2401" s="30" t="n"/>
      <c r="G2401" s="30" t="n"/>
      <c r="H2401" s="30" t="n"/>
      <c r="I2401" s="31" t="n"/>
      <c r="J2401" s="30" t="n"/>
      <c r="K2401" s="30" t="n"/>
      <c r="L2401" s="30" t="n"/>
      <c r="M2401" s="30" t="n"/>
      <c r="N2401" s="32" t="n"/>
      <c r="O2401" s="30" t="n"/>
      <c r="P2401" s="32" t="n"/>
      <c r="Q2401" s="30" t="n"/>
      <c r="R2401" s="32" t="n"/>
      <c r="S2401" s="30" t="n"/>
      <c r="T2401" s="30" t="n"/>
      <c r="U2401" s="30" t="n"/>
      <c r="V2401" s="30" t="n"/>
      <c r="W2401" s="29">
        <f>IF(H2401="","",IF(H2401="Kenya","Yes","No"))</f>
        <v/>
      </c>
      <c r="X2401" s="29">
        <f>IF(B2401="","",IF(COUNTIF($B$5:$B$3004,B2401)&gt;1,"DUPLICATE","OK"))</f>
        <v/>
      </c>
      <c r="Y2401" s="29">
        <f>IF(OR(U2401="",V2401="",V2401="Excluded"),"",IF(COUNTIFS($U$5:$U$3004,U2401,$V$5:$V$3004,"&lt;&gt;"&amp;V2401,$V$5:$V$3004,"&lt;&gt;",$V$5:$V$3004,"&lt;&gt;Excluded")&gt;0,"LEAK RISK","OK"))</f>
        <v/>
      </c>
      <c r="Z2401" s="30" t="n"/>
    </row>
    <row r="2402">
      <c r="A2402" s="30" t="n"/>
      <c r="B2402" s="30" t="n"/>
      <c r="C2402" s="30" t="n"/>
      <c r="D2402" s="30" t="n"/>
      <c r="E2402" s="30" t="n"/>
      <c r="F2402" s="30" t="n"/>
      <c r="G2402" s="30" t="n"/>
      <c r="H2402" s="30" t="n"/>
      <c r="I2402" s="31" t="n"/>
      <c r="J2402" s="30" t="n"/>
      <c r="K2402" s="30" t="n"/>
      <c r="L2402" s="30" t="n"/>
      <c r="M2402" s="30" t="n"/>
      <c r="N2402" s="32" t="n"/>
      <c r="O2402" s="30" t="n"/>
      <c r="P2402" s="32" t="n"/>
      <c r="Q2402" s="30" t="n"/>
      <c r="R2402" s="32" t="n"/>
      <c r="S2402" s="30" t="n"/>
      <c r="T2402" s="30" t="n"/>
      <c r="U2402" s="30" t="n"/>
      <c r="V2402" s="30" t="n"/>
      <c r="W2402" s="29">
        <f>IF(H2402="","",IF(H2402="Kenya","Yes","No"))</f>
        <v/>
      </c>
      <c r="X2402" s="29">
        <f>IF(B2402="","",IF(COUNTIF($B$5:$B$3004,B2402)&gt;1,"DUPLICATE","OK"))</f>
        <v/>
      </c>
      <c r="Y2402" s="29">
        <f>IF(OR(U2402="",V2402="",V2402="Excluded"),"",IF(COUNTIFS($U$5:$U$3004,U2402,$V$5:$V$3004,"&lt;&gt;"&amp;V2402,$V$5:$V$3004,"&lt;&gt;",$V$5:$V$3004,"&lt;&gt;Excluded")&gt;0,"LEAK RISK","OK"))</f>
        <v/>
      </c>
      <c r="Z2402" s="30" t="n"/>
    </row>
    <row r="2403">
      <c r="A2403" s="30" t="n"/>
      <c r="B2403" s="30" t="n"/>
      <c r="C2403" s="30" t="n"/>
      <c r="D2403" s="30" t="n"/>
      <c r="E2403" s="30" t="n"/>
      <c r="F2403" s="30" t="n"/>
      <c r="G2403" s="30" t="n"/>
      <c r="H2403" s="30" t="n"/>
      <c r="I2403" s="31" t="n"/>
      <c r="J2403" s="30" t="n"/>
      <c r="K2403" s="30" t="n"/>
      <c r="L2403" s="30" t="n"/>
      <c r="M2403" s="30" t="n"/>
      <c r="N2403" s="32" t="n"/>
      <c r="O2403" s="30" t="n"/>
      <c r="P2403" s="32" t="n"/>
      <c r="Q2403" s="30" t="n"/>
      <c r="R2403" s="32" t="n"/>
      <c r="S2403" s="30" t="n"/>
      <c r="T2403" s="30" t="n"/>
      <c r="U2403" s="30" t="n"/>
      <c r="V2403" s="30" t="n"/>
      <c r="W2403" s="29">
        <f>IF(H2403="","",IF(H2403="Kenya","Yes","No"))</f>
        <v/>
      </c>
      <c r="X2403" s="29">
        <f>IF(B2403="","",IF(COUNTIF($B$5:$B$3004,B2403)&gt;1,"DUPLICATE","OK"))</f>
        <v/>
      </c>
      <c r="Y2403" s="29">
        <f>IF(OR(U2403="",V2403="",V2403="Excluded"),"",IF(COUNTIFS($U$5:$U$3004,U2403,$V$5:$V$3004,"&lt;&gt;"&amp;V2403,$V$5:$V$3004,"&lt;&gt;",$V$5:$V$3004,"&lt;&gt;Excluded")&gt;0,"LEAK RISK","OK"))</f>
        <v/>
      </c>
      <c r="Z2403" s="30" t="n"/>
    </row>
    <row r="2404">
      <c r="A2404" s="30" t="n"/>
      <c r="B2404" s="30" t="n"/>
      <c r="C2404" s="30" t="n"/>
      <c r="D2404" s="30" t="n"/>
      <c r="E2404" s="30" t="n"/>
      <c r="F2404" s="30" t="n"/>
      <c r="G2404" s="30" t="n"/>
      <c r="H2404" s="30" t="n"/>
      <c r="I2404" s="31" t="n"/>
      <c r="J2404" s="30" t="n"/>
      <c r="K2404" s="30" t="n"/>
      <c r="L2404" s="30" t="n"/>
      <c r="M2404" s="30" t="n"/>
      <c r="N2404" s="32" t="n"/>
      <c r="O2404" s="30" t="n"/>
      <c r="P2404" s="32" t="n"/>
      <c r="Q2404" s="30" t="n"/>
      <c r="R2404" s="32" t="n"/>
      <c r="S2404" s="30" t="n"/>
      <c r="T2404" s="30" t="n"/>
      <c r="U2404" s="30" t="n"/>
      <c r="V2404" s="30" t="n"/>
      <c r="W2404" s="29">
        <f>IF(H2404="","",IF(H2404="Kenya","Yes","No"))</f>
        <v/>
      </c>
      <c r="X2404" s="29">
        <f>IF(B2404="","",IF(COUNTIF($B$5:$B$3004,B2404)&gt;1,"DUPLICATE","OK"))</f>
        <v/>
      </c>
      <c r="Y2404" s="29">
        <f>IF(OR(U2404="",V2404="",V2404="Excluded"),"",IF(COUNTIFS($U$5:$U$3004,U2404,$V$5:$V$3004,"&lt;&gt;"&amp;V2404,$V$5:$V$3004,"&lt;&gt;",$V$5:$V$3004,"&lt;&gt;Excluded")&gt;0,"LEAK RISK","OK"))</f>
        <v/>
      </c>
      <c r="Z2404" s="30" t="n"/>
    </row>
    <row r="2405">
      <c r="A2405" s="30" t="n"/>
      <c r="B2405" s="30" t="n"/>
      <c r="C2405" s="30" t="n"/>
      <c r="D2405" s="30" t="n"/>
      <c r="E2405" s="30" t="n"/>
      <c r="F2405" s="30" t="n"/>
      <c r="G2405" s="30" t="n"/>
      <c r="H2405" s="30" t="n"/>
      <c r="I2405" s="31" t="n"/>
      <c r="J2405" s="30" t="n"/>
      <c r="K2405" s="30" t="n"/>
      <c r="L2405" s="30" t="n"/>
      <c r="M2405" s="30" t="n"/>
      <c r="N2405" s="32" t="n"/>
      <c r="O2405" s="30" t="n"/>
      <c r="P2405" s="32" t="n"/>
      <c r="Q2405" s="30" t="n"/>
      <c r="R2405" s="32" t="n"/>
      <c r="S2405" s="30" t="n"/>
      <c r="T2405" s="30" t="n"/>
      <c r="U2405" s="30" t="n"/>
      <c r="V2405" s="30" t="n"/>
      <c r="W2405" s="29">
        <f>IF(H2405="","",IF(H2405="Kenya","Yes","No"))</f>
        <v/>
      </c>
      <c r="X2405" s="29">
        <f>IF(B2405="","",IF(COUNTIF($B$5:$B$3004,B2405)&gt;1,"DUPLICATE","OK"))</f>
        <v/>
      </c>
      <c r="Y2405" s="29">
        <f>IF(OR(U2405="",V2405="",V2405="Excluded"),"",IF(COUNTIFS($U$5:$U$3004,U2405,$V$5:$V$3004,"&lt;&gt;"&amp;V2405,$V$5:$V$3004,"&lt;&gt;",$V$5:$V$3004,"&lt;&gt;Excluded")&gt;0,"LEAK RISK","OK"))</f>
        <v/>
      </c>
      <c r="Z2405" s="30" t="n"/>
    </row>
    <row r="2406">
      <c r="A2406" s="30" t="n"/>
      <c r="B2406" s="30" t="n"/>
      <c r="C2406" s="30" t="n"/>
      <c r="D2406" s="30" t="n"/>
      <c r="E2406" s="30" t="n"/>
      <c r="F2406" s="30" t="n"/>
      <c r="G2406" s="30" t="n"/>
      <c r="H2406" s="30" t="n"/>
      <c r="I2406" s="31" t="n"/>
      <c r="J2406" s="30" t="n"/>
      <c r="K2406" s="30" t="n"/>
      <c r="L2406" s="30" t="n"/>
      <c r="M2406" s="30" t="n"/>
      <c r="N2406" s="32" t="n"/>
      <c r="O2406" s="30" t="n"/>
      <c r="P2406" s="32" t="n"/>
      <c r="Q2406" s="30" t="n"/>
      <c r="R2406" s="32" t="n"/>
      <c r="S2406" s="30" t="n"/>
      <c r="T2406" s="30" t="n"/>
      <c r="U2406" s="30" t="n"/>
      <c r="V2406" s="30" t="n"/>
      <c r="W2406" s="29">
        <f>IF(H2406="","",IF(H2406="Kenya","Yes","No"))</f>
        <v/>
      </c>
      <c r="X2406" s="29">
        <f>IF(B2406="","",IF(COUNTIF($B$5:$B$3004,B2406)&gt;1,"DUPLICATE","OK"))</f>
        <v/>
      </c>
      <c r="Y2406" s="29">
        <f>IF(OR(U2406="",V2406="",V2406="Excluded"),"",IF(COUNTIFS($U$5:$U$3004,U2406,$V$5:$V$3004,"&lt;&gt;"&amp;V2406,$V$5:$V$3004,"&lt;&gt;",$V$5:$V$3004,"&lt;&gt;Excluded")&gt;0,"LEAK RISK","OK"))</f>
        <v/>
      </c>
      <c r="Z2406" s="30" t="n"/>
    </row>
    <row r="2407">
      <c r="A2407" s="30" t="n"/>
      <c r="B2407" s="30" t="n"/>
      <c r="C2407" s="30" t="n"/>
      <c r="D2407" s="30" t="n"/>
      <c r="E2407" s="30" t="n"/>
      <c r="F2407" s="30" t="n"/>
      <c r="G2407" s="30" t="n"/>
      <c r="H2407" s="30" t="n"/>
      <c r="I2407" s="31" t="n"/>
      <c r="J2407" s="30" t="n"/>
      <c r="K2407" s="30" t="n"/>
      <c r="L2407" s="30" t="n"/>
      <c r="M2407" s="30" t="n"/>
      <c r="N2407" s="32" t="n"/>
      <c r="O2407" s="30" t="n"/>
      <c r="P2407" s="32" t="n"/>
      <c r="Q2407" s="30" t="n"/>
      <c r="R2407" s="32" t="n"/>
      <c r="S2407" s="30" t="n"/>
      <c r="T2407" s="30" t="n"/>
      <c r="U2407" s="30" t="n"/>
      <c r="V2407" s="30" t="n"/>
      <c r="W2407" s="29">
        <f>IF(H2407="","",IF(H2407="Kenya","Yes","No"))</f>
        <v/>
      </c>
      <c r="X2407" s="29">
        <f>IF(B2407="","",IF(COUNTIF($B$5:$B$3004,B2407)&gt;1,"DUPLICATE","OK"))</f>
        <v/>
      </c>
      <c r="Y2407" s="29">
        <f>IF(OR(U2407="",V2407="",V2407="Excluded"),"",IF(COUNTIFS($U$5:$U$3004,U2407,$V$5:$V$3004,"&lt;&gt;"&amp;V2407,$V$5:$V$3004,"&lt;&gt;",$V$5:$V$3004,"&lt;&gt;Excluded")&gt;0,"LEAK RISK","OK"))</f>
        <v/>
      </c>
      <c r="Z2407" s="30" t="n"/>
    </row>
    <row r="2408">
      <c r="A2408" s="30" t="n"/>
      <c r="B2408" s="30" t="n"/>
      <c r="C2408" s="30" t="n"/>
      <c r="D2408" s="30" t="n"/>
      <c r="E2408" s="30" t="n"/>
      <c r="F2408" s="30" t="n"/>
      <c r="G2408" s="30" t="n"/>
      <c r="H2408" s="30" t="n"/>
      <c r="I2408" s="31" t="n"/>
      <c r="J2408" s="30" t="n"/>
      <c r="K2408" s="30" t="n"/>
      <c r="L2408" s="30" t="n"/>
      <c r="M2408" s="30" t="n"/>
      <c r="N2408" s="32" t="n"/>
      <c r="O2408" s="30" t="n"/>
      <c r="P2408" s="32" t="n"/>
      <c r="Q2408" s="30" t="n"/>
      <c r="R2408" s="32" t="n"/>
      <c r="S2408" s="30" t="n"/>
      <c r="T2408" s="30" t="n"/>
      <c r="U2408" s="30" t="n"/>
      <c r="V2408" s="30" t="n"/>
      <c r="W2408" s="29">
        <f>IF(H2408="","",IF(H2408="Kenya","Yes","No"))</f>
        <v/>
      </c>
      <c r="X2408" s="29">
        <f>IF(B2408="","",IF(COUNTIF($B$5:$B$3004,B2408)&gt;1,"DUPLICATE","OK"))</f>
        <v/>
      </c>
      <c r="Y2408" s="29">
        <f>IF(OR(U2408="",V2408="",V2408="Excluded"),"",IF(COUNTIFS($U$5:$U$3004,U2408,$V$5:$V$3004,"&lt;&gt;"&amp;V2408,$V$5:$V$3004,"&lt;&gt;",$V$5:$V$3004,"&lt;&gt;Excluded")&gt;0,"LEAK RISK","OK"))</f>
        <v/>
      </c>
      <c r="Z2408" s="30" t="n"/>
    </row>
    <row r="2409">
      <c r="A2409" s="30" t="n"/>
      <c r="B2409" s="30" t="n"/>
      <c r="C2409" s="30" t="n"/>
      <c r="D2409" s="30" t="n"/>
      <c r="E2409" s="30" t="n"/>
      <c r="F2409" s="30" t="n"/>
      <c r="G2409" s="30" t="n"/>
      <c r="H2409" s="30" t="n"/>
      <c r="I2409" s="31" t="n"/>
      <c r="J2409" s="30" t="n"/>
      <c r="K2409" s="30" t="n"/>
      <c r="L2409" s="30" t="n"/>
      <c r="M2409" s="30" t="n"/>
      <c r="N2409" s="32" t="n"/>
      <c r="O2409" s="30" t="n"/>
      <c r="P2409" s="32" t="n"/>
      <c r="Q2409" s="30" t="n"/>
      <c r="R2409" s="32" t="n"/>
      <c r="S2409" s="30" t="n"/>
      <c r="T2409" s="30" t="n"/>
      <c r="U2409" s="30" t="n"/>
      <c r="V2409" s="30" t="n"/>
      <c r="W2409" s="29">
        <f>IF(H2409="","",IF(H2409="Kenya","Yes","No"))</f>
        <v/>
      </c>
      <c r="X2409" s="29">
        <f>IF(B2409="","",IF(COUNTIF($B$5:$B$3004,B2409)&gt;1,"DUPLICATE","OK"))</f>
        <v/>
      </c>
      <c r="Y2409" s="29">
        <f>IF(OR(U2409="",V2409="",V2409="Excluded"),"",IF(COUNTIFS($U$5:$U$3004,U2409,$V$5:$V$3004,"&lt;&gt;"&amp;V2409,$V$5:$V$3004,"&lt;&gt;",$V$5:$V$3004,"&lt;&gt;Excluded")&gt;0,"LEAK RISK","OK"))</f>
        <v/>
      </c>
      <c r="Z2409" s="30" t="n"/>
    </row>
    <row r="2410">
      <c r="A2410" s="30" t="n"/>
      <c r="B2410" s="30" t="n"/>
      <c r="C2410" s="30" t="n"/>
      <c r="D2410" s="30" t="n"/>
      <c r="E2410" s="30" t="n"/>
      <c r="F2410" s="30" t="n"/>
      <c r="G2410" s="30" t="n"/>
      <c r="H2410" s="30" t="n"/>
      <c r="I2410" s="31" t="n"/>
      <c r="J2410" s="30" t="n"/>
      <c r="K2410" s="30" t="n"/>
      <c r="L2410" s="30" t="n"/>
      <c r="M2410" s="30" t="n"/>
      <c r="N2410" s="32" t="n"/>
      <c r="O2410" s="30" t="n"/>
      <c r="P2410" s="32" t="n"/>
      <c r="Q2410" s="30" t="n"/>
      <c r="R2410" s="32" t="n"/>
      <c r="S2410" s="30" t="n"/>
      <c r="T2410" s="30" t="n"/>
      <c r="U2410" s="30" t="n"/>
      <c r="V2410" s="30" t="n"/>
      <c r="W2410" s="29">
        <f>IF(H2410="","",IF(H2410="Kenya","Yes","No"))</f>
        <v/>
      </c>
      <c r="X2410" s="29">
        <f>IF(B2410="","",IF(COUNTIF($B$5:$B$3004,B2410)&gt;1,"DUPLICATE","OK"))</f>
        <v/>
      </c>
      <c r="Y2410" s="29">
        <f>IF(OR(U2410="",V2410="",V2410="Excluded"),"",IF(COUNTIFS($U$5:$U$3004,U2410,$V$5:$V$3004,"&lt;&gt;"&amp;V2410,$V$5:$V$3004,"&lt;&gt;",$V$5:$V$3004,"&lt;&gt;Excluded")&gt;0,"LEAK RISK","OK"))</f>
        <v/>
      </c>
      <c r="Z2410" s="30" t="n"/>
    </row>
    <row r="2411">
      <c r="A2411" s="30" t="n"/>
      <c r="B2411" s="30" t="n"/>
      <c r="C2411" s="30" t="n"/>
      <c r="D2411" s="30" t="n"/>
      <c r="E2411" s="30" t="n"/>
      <c r="F2411" s="30" t="n"/>
      <c r="G2411" s="30" t="n"/>
      <c r="H2411" s="30" t="n"/>
      <c r="I2411" s="31" t="n"/>
      <c r="J2411" s="30" t="n"/>
      <c r="K2411" s="30" t="n"/>
      <c r="L2411" s="30" t="n"/>
      <c r="M2411" s="30" t="n"/>
      <c r="N2411" s="32" t="n"/>
      <c r="O2411" s="30" t="n"/>
      <c r="P2411" s="32" t="n"/>
      <c r="Q2411" s="30" t="n"/>
      <c r="R2411" s="32" t="n"/>
      <c r="S2411" s="30" t="n"/>
      <c r="T2411" s="30" t="n"/>
      <c r="U2411" s="30" t="n"/>
      <c r="V2411" s="30" t="n"/>
      <c r="W2411" s="29">
        <f>IF(H2411="","",IF(H2411="Kenya","Yes","No"))</f>
        <v/>
      </c>
      <c r="X2411" s="29">
        <f>IF(B2411="","",IF(COUNTIF($B$5:$B$3004,B2411)&gt;1,"DUPLICATE","OK"))</f>
        <v/>
      </c>
      <c r="Y2411" s="29">
        <f>IF(OR(U2411="",V2411="",V2411="Excluded"),"",IF(COUNTIFS($U$5:$U$3004,U2411,$V$5:$V$3004,"&lt;&gt;"&amp;V2411,$V$5:$V$3004,"&lt;&gt;",$V$5:$V$3004,"&lt;&gt;Excluded")&gt;0,"LEAK RISK","OK"))</f>
        <v/>
      </c>
      <c r="Z2411" s="30" t="n"/>
    </row>
    <row r="2412">
      <c r="A2412" s="30" t="n"/>
      <c r="B2412" s="30" t="n"/>
      <c r="C2412" s="30" t="n"/>
      <c r="D2412" s="30" t="n"/>
      <c r="E2412" s="30" t="n"/>
      <c r="F2412" s="30" t="n"/>
      <c r="G2412" s="30" t="n"/>
      <c r="H2412" s="30" t="n"/>
      <c r="I2412" s="31" t="n"/>
      <c r="J2412" s="30" t="n"/>
      <c r="K2412" s="30" t="n"/>
      <c r="L2412" s="30" t="n"/>
      <c r="M2412" s="30" t="n"/>
      <c r="N2412" s="32" t="n"/>
      <c r="O2412" s="30" t="n"/>
      <c r="P2412" s="32" t="n"/>
      <c r="Q2412" s="30" t="n"/>
      <c r="R2412" s="32" t="n"/>
      <c r="S2412" s="30" t="n"/>
      <c r="T2412" s="30" t="n"/>
      <c r="U2412" s="30" t="n"/>
      <c r="V2412" s="30" t="n"/>
      <c r="W2412" s="29">
        <f>IF(H2412="","",IF(H2412="Kenya","Yes","No"))</f>
        <v/>
      </c>
      <c r="X2412" s="29">
        <f>IF(B2412="","",IF(COUNTIF($B$5:$B$3004,B2412)&gt;1,"DUPLICATE","OK"))</f>
        <v/>
      </c>
      <c r="Y2412" s="29">
        <f>IF(OR(U2412="",V2412="",V2412="Excluded"),"",IF(COUNTIFS($U$5:$U$3004,U2412,$V$5:$V$3004,"&lt;&gt;"&amp;V2412,$V$5:$V$3004,"&lt;&gt;",$V$5:$V$3004,"&lt;&gt;Excluded")&gt;0,"LEAK RISK","OK"))</f>
        <v/>
      </c>
      <c r="Z2412" s="30" t="n"/>
    </row>
    <row r="2413">
      <c r="A2413" s="30" t="n"/>
      <c r="B2413" s="30" t="n"/>
      <c r="C2413" s="30" t="n"/>
      <c r="D2413" s="30" t="n"/>
      <c r="E2413" s="30" t="n"/>
      <c r="F2413" s="30" t="n"/>
      <c r="G2413" s="30" t="n"/>
      <c r="H2413" s="30" t="n"/>
      <c r="I2413" s="31" t="n"/>
      <c r="J2413" s="30" t="n"/>
      <c r="K2413" s="30" t="n"/>
      <c r="L2413" s="30" t="n"/>
      <c r="M2413" s="30" t="n"/>
      <c r="N2413" s="32" t="n"/>
      <c r="O2413" s="30" t="n"/>
      <c r="P2413" s="32" t="n"/>
      <c r="Q2413" s="30" t="n"/>
      <c r="R2413" s="32" t="n"/>
      <c r="S2413" s="30" t="n"/>
      <c r="T2413" s="30" t="n"/>
      <c r="U2413" s="30" t="n"/>
      <c r="V2413" s="30" t="n"/>
      <c r="W2413" s="29">
        <f>IF(H2413="","",IF(H2413="Kenya","Yes","No"))</f>
        <v/>
      </c>
      <c r="X2413" s="29">
        <f>IF(B2413="","",IF(COUNTIF($B$5:$B$3004,B2413)&gt;1,"DUPLICATE","OK"))</f>
        <v/>
      </c>
      <c r="Y2413" s="29">
        <f>IF(OR(U2413="",V2413="",V2413="Excluded"),"",IF(COUNTIFS($U$5:$U$3004,U2413,$V$5:$V$3004,"&lt;&gt;"&amp;V2413,$V$5:$V$3004,"&lt;&gt;",$V$5:$V$3004,"&lt;&gt;Excluded")&gt;0,"LEAK RISK","OK"))</f>
        <v/>
      </c>
      <c r="Z2413" s="30" t="n"/>
    </row>
    <row r="2414">
      <c r="A2414" s="30" t="n"/>
      <c r="B2414" s="30" t="n"/>
      <c r="C2414" s="30" t="n"/>
      <c r="D2414" s="30" t="n"/>
      <c r="E2414" s="30" t="n"/>
      <c r="F2414" s="30" t="n"/>
      <c r="G2414" s="30" t="n"/>
      <c r="H2414" s="30" t="n"/>
      <c r="I2414" s="31" t="n"/>
      <c r="J2414" s="30" t="n"/>
      <c r="K2414" s="30" t="n"/>
      <c r="L2414" s="30" t="n"/>
      <c r="M2414" s="30" t="n"/>
      <c r="N2414" s="32" t="n"/>
      <c r="O2414" s="30" t="n"/>
      <c r="P2414" s="32" t="n"/>
      <c r="Q2414" s="30" t="n"/>
      <c r="R2414" s="32" t="n"/>
      <c r="S2414" s="30" t="n"/>
      <c r="T2414" s="30" t="n"/>
      <c r="U2414" s="30" t="n"/>
      <c r="V2414" s="30" t="n"/>
      <c r="W2414" s="29">
        <f>IF(H2414="","",IF(H2414="Kenya","Yes","No"))</f>
        <v/>
      </c>
      <c r="X2414" s="29">
        <f>IF(B2414="","",IF(COUNTIF($B$5:$B$3004,B2414)&gt;1,"DUPLICATE","OK"))</f>
        <v/>
      </c>
      <c r="Y2414" s="29">
        <f>IF(OR(U2414="",V2414="",V2414="Excluded"),"",IF(COUNTIFS($U$5:$U$3004,U2414,$V$5:$V$3004,"&lt;&gt;"&amp;V2414,$V$5:$V$3004,"&lt;&gt;",$V$5:$V$3004,"&lt;&gt;Excluded")&gt;0,"LEAK RISK","OK"))</f>
        <v/>
      </c>
      <c r="Z2414" s="30" t="n"/>
    </row>
    <row r="2415">
      <c r="A2415" s="30" t="n"/>
      <c r="B2415" s="30" t="n"/>
      <c r="C2415" s="30" t="n"/>
      <c r="D2415" s="30" t="n"/>
      <c r="E2415" s="30" t="n"/>
      <c r="F2415" s="30" t="n"/>
      <c r="G2415" s="30" t="n"/>
      <c r="H2415" s="30" t="n"/>
      <c r="I2415" s="31" t="n"/>
      <c r="J2415" s="30" t="n"/>
      <c r="K2415" s="30" t="n"/>
      <c r="L2415" s="30" t="n"/>
      <c r="M2415" s="30" t="n"/>
      <c r="N2415" s="32" t="n"/>
      <c r="O2415" s="30" t="n"/>
      <c r="P2415" s="32" t="n"/>
      <c r="Q2415" s="30" t="n"/>
      <c r="R2415" s="32" t="n"/>
      <c r="S2415" s="30" t="n"/>
      <c r="T2415" s="30" t="n"/>
      <c r="U2415" s="30" t="n"/>
      <c r="V2415" s="30" t="n"/>
      <c r="W2415" s="29">
        <f>IF(H2415="","",IF(H2415="Kenya","Yes","No"))</f>
        <v/>
      </c>
      <c r="X2415" s="29">
        <f>IF(B2415="","",IF(COUNTIF($B$5:$B$3004,B2415)&gt;1,"DUPLICATE","OK"))</f>
        <v/>
      </c>
      <c r="Y2415" s="29">
        <f>IF(OR(U2415="",V2415="",V2415="Excluded"),"",IF(COUNTIFS($U$5:$U$3004,U2415,$V$5:$V$3004,"&lt;&gt;"&amp;V2415,$V$5:$V$3004,"&lt;&gt;",$V$5:$V$3004,"&lt;&gt;Excluded")&gt;0,"LEAK RISK","OK"))</f>
        <v/>
      </c>
      <c r="Z2415" s="30" t="n"/>
    </row>
    <row r="2416">
      <c r="A2416" s="30" t="n"/>
      <c r="B2416" s="30" t="n"/>
      <c r="C2416" s="30" t="n"/>
      <c r="D2416" s="30" t="n"/>
      <c r="E2416" s="30" t="n"/>
      <c r="F2416" s="30" t="n"/>
      <c r="G2416" s="30" t="n"/>
      <c r="H2416" s="30" t="n"/>
      <c r="I2416" s="31" t="n"/>
      <c r="J2416" s="30" t="n"/>
      <c r="K2416" s="30" t="n"/>
      <c r="L2416" s="30" t="n"/>
      <c r="M2416" s="30" t="n"/>
      <c r="N2416" s="32" t="n"/>
      <c r="O2416" s="30" t="n"/>
      <c r="P2416" s="32" t="n"/>
      <c r="Q2416" s="30" t="n"/>
      <c r="R2416" s="32" t="n"/>
      <c r="S2416" s="30" t="n"/>
      <c r="T2416" s="30" t="n"/>
      <c r="U2416" s="30" t="n"/>
      <c r="V2416" s="30" t="n"/>
      <c r="W2416" s="29">
        <f>IF(H2416="","",IF(H2416="Kenya","Yes","No"))</f>
        <v/>
      </c>
      <c r="X2416" s="29">
        <f>IF(B2416="","",IF(COUNTIF($B$5:$B$3004,B2416)&gt;1,"DUPLICATE","OK"))</f>
        <v/>
      </c>
      <c r="Y2416" s="29">
        <f>IF(OR(U2416="",V2416="",V2416="Excluded"),"",IF(COUNTIFS($U$5:$U$3004,U2416,$V$5:$V$3004,"&lt;&gt;"&amp;V2416,$V$5:$V$3004,"&lt;&gt;",$V$5:$V$3004,"&lt;&gt;Excluded")&gt;0,"LEAK RISK","OK"))</f>
        <v/>
      </c>
      <c r="Z2416" s="30" t="n"/>
    </row>
    <row r="2417">
      <c r="A2417" s="30" t="n"/>
      <c r="B2417" s="30" t="n"/>
      <c r="C2417" s="30" t="n"/>
      <c r="D2417" s="30" t="n"/>
      <c r="E2417" s="30" t="n"/>
      <c r="F2417" s="30" t="n"/>
      <c r="G2417" s="30" t="n"/>
      <c r="H2417" s="30" t="n"/>
      <c r="I2417" s="31" t="n"/>
      <c r="J2417" s="30" t="n"/>
      <c r="K2417" s="30" t="n"/>
      <c r="L2417" s="30" t="n"/>
      <c r="M2417" s="30" t="n"/>
      <c r="N2417" s="32" t="n"/>
      <c r="O2417" s="30" t="n"/>
      <c r="P2417" s="32" t="n"/>
      <c r="Q2417" s="30" t="n"/>
      <c r="R2417" s="32" t="n"/>
      <c r="S2417" s="30" t="n"/>
      <c r="T2417" s="30" t="n"/>
      <c r="U2417" s="30" t="n"/>
      <c r="V2417" s="30" t="n"/>
      <c r="W2417" s="29">
        <f>IF(H2417="","",IF(H2417="Kenya","Yes","No"))</f>
        <v/>
      </c>
      <c r="X2417" s="29">
        <f>IF(B2417="","",IF(COUNTIF($B$5:$B$3004,B2417)&gt;1,"DUPLICATE","OK"))</f>
        <v/>
      </c>
      <c r="Y2417" s="29">
        <f>IF(OR(U2417="",V2417="",V2417="Excluded"),"",IF(COUNTIFS($U$5:$U$3004,U2417,$V$5:$V$3004,"&lt;&gt;"&amp;V2417,$V$5:$V$3004,"&lt;&gt;",$V$5:$V$3004,"&lt;&gt;Excluded")&gt;0,"LEAK RISK","OK"))</f>
        <v/>
      </c>
      <c r="Z2417" s="30" t="n"/>
    </row>
    <row r="2418">
      <c r="A2418" s="30" t="n"/>
      <c r="B2418" s="30" t="n"/>
      <c r="C2418" s="30" t="n"/>
      <c r="D2418" s="30" t="n"/>
      <c r="E2418" s="30" t="n"/>
      <c r="F2418" s="30" t="n"/>
      <c r="G2418" s="30" t="n"/>
      <c r="H2418" s="30" t="n"/>
      <c r="I2418" s="31" t="n"/>
      <c r="J2418" s="30" t="n"/>
      <c r="K2418" s="30" t="n"/>
      <c r="L2418" s="30" t="n"/>
      <c r="M2418" s="30" t="n"/>
      <c r="N2418" s="32" t="n"/>
      <c r="O2418" s="30" t="n"/>
      <c r="P2418" s="32" t="n"/>
      <c r="Q2418" s="30" t="n"/>
      <c r="R2418" s="32" t="n"/>
      <c r="S2418" s="30" t="n"/>
      <c r="T2418" s="30" t="n"/>
      <c r="U2418" s="30" t="n"/>
      <c r="V2418" s="30" t="n"/>
      <c r="W2418" s="29">
        <f>IF(H2418="","",IF(H2418="Kenya","Yes","No"))</f>
        <v/>
      </c>
      <c r="X2418" s="29">
        <f>IF(B2418="","",IF(COUNTIF($B$5:$B$3004,B2418)&gt;1,"DUPLICATE","OK"))</f>
        <v/>
      </c>
      <c r="Y2418" s="29">
        <f>IF(OR(U2418="",V2418="",V2418="Excluded"),"",IF(COUNTIFS($U$5:$U$3004,U2418,$V$5:$V$3004,"&lt;&gt;"&amp;V2418,$V$5:$V$3004,"&lt;&gt;",$V$5:$V$3004,"&lt;&gt;Excluded")&gt;0,"LEAK RISK","OK"))</f>
        <v/>
      </c>
      <c r="Z2418" s="30" t="n"/>
    </row>
    <row r="2419">
      <c r="A2419" s="30" t="n"/>
      <c r="B2419" s="30" t="n"/>
      <c r="C2419" s="30" t="n"/>
      <c r="D2419" s="30" t="n"/>
      <c r="E2419" s="30" t="n"/>
      <c r="F2419" s="30" t="n"/>
      <c r="G2419" s="30" t="n"/>
      <c r="H2419" s="30" t="n"/>
      <c r="I2419" s="31" t="n"/>
      <c r="J2419" s="30" t="n"/>
      <c r="K2419" s="30" t="n"/>
      <c r="L2419" s="30" t="n"/>
      <c r="M2419" s="30" t="n"/>
      <c r="N2419" s="32" t="n"/>
      <c r="O2419" s="30" t="n"/>
      <c r="P2419" s="32" t="n"/>
      <c r="Q2419" s="30" t="n"/>
      <c r="R2419" s="32" t="n"/>
      <c r="S2419" s="30" t="n"/>
      <c r="T2419" s="30" t="n"/>
      <c r="U2419" s="30" t="n"/>
      <c r="V2419" s="30" t="n"/>
      <c r="W2419" s="29">
        <f>IF(H2419="","",IF(H2419="Kenya","Yes","No"))</f>
        <v/>
      </c>
      <c r="X2419" s="29">
        <f>IF(B2419="","",IF(COUNTIF($B$5:$B$3004,B2419)&gt;1,"DUPLICATE","OK"))</f>
        <v/>
      </c>
      <c r="Y2419" s="29">
        <f>IF(OR(U2419="",V2419="",V2419="Excluded"),"",IF(COUNTIFS($U$5:$U$3004,U2419,$V$5:$V$3004,"&lt;&gt;"&amp;V2419,$V$5:$V$3004,"&lt;&gt;",$V$5:$V$3004,"&lt;&gt;Excluded")&gt;0,"LEAK RISK","OK"))</f>
        <v/>
      </c>
      <c r="Z2419" s="30" t="n"/>
    </row>
    <row r="2420">
      <c r="A2420" s="30" t="n"/>
      <c r="B2420" s="30" t="n"/>
      <c r="C2420" s="30" t="n"/>
      <c r="D2420" s="30" t="n"/>
      <c r="E2420" s="30" t="n"/>
      <c r="F2420" s="30" t="n"/>
      <c r="G2420" s="30" t="n"/>
      <c r="H2420" s="30" t="n"/>
      <c r="I2420" s="31" t="n"/>
      <c r="J2420" s="30" t="n"/>
      <c r="K2420" s="30" t="n"/>
      <c r="L2420" s="30" t="n"/>
      <c r="M2420" s="30" t="n"/>
      <c r="N2420" s="32" t="n"/>
      <c r="O2420" s="30" t="n"/>
      <c r="P2420" s="32" t="n"/>
      <c r="Q2420" s="30" t="n"/>
      <c r="R2420" s="32" t="n"/>
      <c r="S2420" s="30" t="n"/>
      <c r="T2420" s="30" t="n"/>
      <c r="U2420" s="30" t="n"/>
      <c r="V2420" s="30" t="n"/>
      <c r="W2420" s="29">
        <f>IF(H2420="","",IF(H2420="Kenya","Yes","No"))</f>
        <v/>
      </c>
      <c r="X2420" s="29">
        <f>IF(B2420="","",IF(COUNTIF($B$5:$B$3004,B2420)&gt;1,"DUPLICATE","OK"))</f>
        <v/>
      </c>
      <c r="Y2420" s="29">
        <f>IF(OR(U2420="",V2420="",V2420="Excluded"),"",IF(COUNTIFS($U$5:$U$3004,U2420,$V$5:$V$3004,"&lt;&gt;"&amp;V2420,$V$5:$V$3004,"&lt;&gt;",$V$5:$V$3004,"&lt;&gt;Excluded")&gt;0,"LEAK RISK","OK"))</f>
        <v/>
      </c>
      <c r="Z2420" s="30" t="n"/>
    </row>
    <row r="2421">
      <c r="A2421" s="30" t="n"/>
      <c r="B2421" s="30" t="n"/>
      <c r="C2421" s="30" t="n"/>
      <c r="D2421" s="30" t="n"/>
      <c r="E2421" s="30" t="n"/>
      <c r="F2421" s="30" t="n"/>
      <c r="G2421" s="30" t="n"/>
      <c r="H2421" s="30" t="n"/>
      <c r="I2421" s="31" t="n"/>
      <c r="J2421" s="30" t="n"/>
      <c r="K2421" s="30" t="n"/>
      <c r="L2421" s="30" t="n"/>
      <c r="M2421" s="30" t="n"/>
      <c r="N2421" s="32" t="n"/>
      <c r="O2421" s="30" t="n"/>
      <c r="P2421" s="32" t="n"/>
      <c r="Q2421" s="30" t="n"/>
      <c r="R2421" s="32" t="n"/>
      <c r="S2421" s="30" t="n"/>
      <c r="T2421" s="30" t="n"/>
      <c r="U2421" s="30" t="n"/>
      <c r="V2421" s="30" t="n"/>
      <c r="W2421" s="29">
        <f>IF(H2421="","",IF(H2421="Kenya","Yes","No"))</f>
        <v/>
      </c>
      <c r="X2421" s="29">
        <f>IF(B2421="","",IF(COUNTIF($B$5:$B$3004,B2421)&gt;1,"DUPLICATE","OK"))</f>
        <v/>
      </c>
      <c r="Y2421" s="29">
        <f>IF(OR(U2421="",V2421="",V2421="Excluded"),"",IF(COUNTIFS($U$5:$U$3004,U2421,$V$5:$V$3004,"&lt;&gt;"&amp;V2421,$V$5:$V$3004,"&lt;&gt;",$V$5:$V$3004,"&lt;&gt;Excluded")&gt;0,"LEAK RISK","OK"))</f>
        <v/>
      </c>
      <c r="Z2421" s="30" t="n"/>
    </row>
    <row r="2422">
      <c r="A2422" s="30" t="n"/>
      <c r="B2422" s="30" t="n"/>
      <c r="C2422" s="30" t="n"/>
      <c r="D2422" s="30" t="n"/>
      <c r="E2422" s="30" t="n"/>
      <c r="F2422" s="30" t="n"/>
      <c r="G2422" s="30" t="n"/>
      <c r="H2422" s="30" t="n"/>
      <c r="I2422" s="31" t="n"/>
      <c r="J2422" s="30" t="n"/>
      <c r="K2422" s="30" t="n"/>
      <c r="L2422" s="30" t="n"/>
      <c r="M2422" s="30" t="n"/>
      <c r="N2422" s="32" t="n"/>
      <c r="O2422" s="30" t="n"/>
      <c r="P2422" s="32" t="n"/>
      <c r="Q2422" s="30" t="n"/>
      <c r="R2422" s="32" t="n"/>
      <c r="S2422" s="30" t="n"/>
      <c r="T2422" s="30" t="n"/>
      <c r="U2422" s="30" t="n"/>
      <c r="V2422" s="30" t="n"/>
      <c r="W2422" s="29">
        <f>IF(H2422="","",IF(H2422="Kenya","Yes","No"))</f>
        <v/>
      </c>
      <c r="X2422" s="29">
        <f>IF(B2422="","",IF(COUNTIF($B$5:$B$3004,B2422)&gt;1,"DUPLICATE","OK"))</f>
        <v/>
      </c>
      <c r="Y2422" s="29">
        <f>IF(OR(U2422="",V2422="",V2422="Excluded"),"",IF(COUNTIFS($U$5:$U$3004,U2422,$V$5:$V$3004,"&lt;&gt;"&amp;V2422,$V$5:$V$3004,"&lt;&gt;",$V$5:$V$3004,"&lt;&gt;Excluded")&gt;0,"LEAK RISK","OK"))</f>
        <v/>
      </c>
      <c r="Z2422" s="30" t="n"/>
    </row>
    <row r="2423">
      <c r="A2423" s="30" t="n"/>
      <c r="B2423" s="30" t="n"/>
      <c r="C2423" s="30" t="n"/>
      <c r="D2423" s="30" t="n"/>
      <c r="E2423" s="30" t="n"/>
      <c r="F2423" s="30" t="n"/>
      <c r="G2423" s="30" t="n"/>
      <c r="H2423" s="30" t="n"/>
      <c r="I2423" s="31" t="n"/>
      <c r="J2423" s="30" t="n"/>
      <c r="K2423" s="30" t="n"/>
      <c r="L2423" s="30" t="n"/>
      <c r="M2423" s="30" t="n"/>
      <c r="N2423" s="32" t="n"/>
      <c r="O2423" s="30" t="n"/>
      <c r="P2423" s="32" t="n"/>
      <c r="Q2423" s="30" t="n"/>
      <c r="R2423" s="32" t="n"/>
      <c r="S2423" s="30" t="n"/>
      <c r="T2423" s="30" t="n"/>
      <c r="U2423" s="30" t="n"/>
      <c r="V2423" s="30" t="n"/>
      <c r="W2423" s="29">
        <f>IF(H2423="","",IF(H2423="Kenya","Yes","No"))</f>
        <v/>
      </c>
      <c r="X2423" s="29">
        <f>IF(B2423="","",IF(COUNTIF($B$5:$B$3004,B2423)&gt;1,"DUPLICATE","OK"))</f>
        <v/>
      </c>
      <c r="Y2423" s="29">
        <f>IF(OR(U2423="",V2423="",V2423="Excluded"),"",IF(COUNTIFS($U$5:$U$3004,U2423,$V$5:$V$3004,"&lt;&gt;"&amp;V2423,$V$5:$V$3004,"&lt;&gt;",$V$5:$V$3004,"&lt;&gt;Excluded")&gt;0,"LEAK RISK","OK"))</f>
        <v/>
      </c>
      <c r="Z2423" s="30" t="n"/>
    </row>
    <row r="2424">
      <c r="A2424" s="30" t="n"/>
      <c r="B2424" s="30" t="n"/>
      <c r="C2424" s="30" t="n"/>
      <c r="D2424" s="30" t="n"/>
      <c r="E2424" s="30" t="n"/>
      <c r="F2424" s="30" t="n"/>
      <c r="G2424" s="30" t="n"/>
      <c r="H2424" s="30" t="n"/>
      <c r="I2424" s="31" t="n"/>
      <c r="J2424" s="30" t="n"/>
      <c r="K2424" s="30" t="n"/>
      <c r="L2424" s="30" t="n"/>
      <c r="M2424" s="30" t="n"/>
      <c r="N2424" s="32" t="n"/>
      <c r="O2424" s="30" t="n"/>
      <c r="P2424" s="32" t="n"/>
      <c r="Q2424" s="30" t="n"/>
      <c r="R2424" s="32" t="n"/>
      <c r="S2424" s="30" t="n"/>
      <c r="T2424" s="30" t="n"/>
      <c r="U2424" s="30" t="n"/>
      <c r="V2424" s="30" t="n"/>
      <c r="W2424" s="29">
        <f>IF(H2424="","",IF(H2424="Kenya","Yes","No"))</f>
        <v/>
      </c>
      <c r="X2424" s="29">
        <f>IF(B2424="","",IF(COUNTIF($B$5:$B$3004,B2424)&gt;1,"DUPLICATE","OK"))</f>
        <v/>
      </c>
      <c r="Y2424" s="29">
        <f>IF(OR(U2424="",V2424="",V2424="Excluded"),"",IF(COUNTIFS($U$5:$U$3004,U2424,$V$5:$V$3004,"&lt;&gt;"&amp;V2424,$V$5:$V$3004,"&lt;&gt;",$V$5:$V$3004,"&lt;&gt;Excluded")&gt;0,"LEAK RISK","OK"))</f>
        <v/>
      </c>
      <c r="Z2424" s="30" t="n"/>
    </row>
    <row r="2425">
      <c r="A2425" s="30" t="n"/>
      <c r="B2425" s="30" t="n"/>
      <c r="C2425" s="30" t="n"/>
      <c r="D2425" s="30" t="n"/>
      <c r="E2425" s="30" t="n"/>
      <c r="F2425" s="30" t="n"/>
      <c r="G2425" s="30" t="n"/>
      <c r="H2425" s="30" t="n"/>
      <c r="I2425" s="31" t="n"/>
      <c r="J2425" s="30" t="n"/>
      <c r="K2425" s="30" t="n"/>
      <c r="L2425" s="30" t="n"/>
      <c r="M2425" s="30" t="n"/>
      <c r="N2425" s="32" t="n"/>
      <c r="O2425" s="30" t="n"/>
      <c r="P2425" s="32" t="n"/>
      <c r="Q2425" s="30" t="n"/>
      <c r="R2425" s="32" t="n"/>
      <c r="S2425" s="30" t="n"/>
      <c r="T2425" s="30" t="n"/>
      <c r="U2425" s="30" t="n"/>
      <c r="V2425" s="30" t="n"/>
      <c r="W2425" s="29">
        <f>IF(H2425="","",IF(H2425="Kenya","Yes","No"))</f>
        <v/>
      </c>
      <c r="X2425" s="29">
        <f>IF(B2425="","",IF(COUNTIF($B$5:$B$3004,B2425)&gt;1,"DUPLICATE","OK"))</f>
        <v/>
      </c>
      <c r="Y2425" s="29">
        <f>IF(OR(U2425="",V2425="",V2425="Excluded"),"",IF(COUNTIFS($U$5:$U$3004,U2425,$V$5:$V$3004,"&lt;&gt;"&amp;V2425,$V$5:$V$3004,"&lt;&gt;",$V$5:$V$3004,"&lt;&gt;Excluded")&gt;0,"LEAK RISK","OK"))</f>
        <v/>
      </c>
      <c r="Z2425" s="30" t="n"/>
    </row>
    <row r="2426">
      <c r="A2426" s="30" t="n"/>
      <c r="B2426" s="30" t="n"/>
      <c r="C2426" s="30" t="n"/>
      <c r="D2426" s="30" t="n"/>
      <c r="E2426" s="30" t="n"/>
      <c r="F2426" s="30" t="n"/>
      <c r="G2426" s="30" t="n"/>
      <c r="H2426" s="30" t="n"/>
      <c r="I2426" s="31" t="n"/>
      <c r="J2426" s="30" t="n"/>
      <c r="K2426" s="30" t="n"/>
      <c r="L2426" s="30" t="n"/>
      <c r="M2426" s="30" t="n"/>
      <c r="N2426" s="32" t="n"/>
      <c r="O2426" s="30" t="n"/>
      <c r="P2426" s="32" t="n"/>
      <c r="Q2426" s="30" t="n"/>
      <c r="R2426" s="32" t="n"/>
      <c r="S2426" s="30" t="n"/>
      <c r="T2426" s="30" t="n"/>
      <c r="U2426" s="30" t="n"/>
      <c r="V2426" s="30" t="n"/>
      <c r="W2426" s="29">
        <f>IF(H2426="","",IF(H2426="Kenya","Yes","No"))</f>
        <v/>
      </c>
      <c r="X2426" s="29">
        <f>IF(B2426="","",IF(COUNTIF($B$5:$B$3004,B2426)&gt;1,"DUPLICATE","OK"))</f>
        <v/>
      </c>
      <c r="Y2426" s="29">
        <f>IF(OR(U2426="",V2426="",V2426="Excluded"),"",IF(COUNTIFS($U$5:$U$3004,U2426,$V$5:$V$3004,"&lt;&gt;"&amp;V2426,$V$5:$V$3004,"&lt;&gt;",$V$5:$V$3004,"&lt;&gt;Excluded")&gt;0,"LEAK RISK","OK"))</f>
        <v/>
      </c>
      <c r="Z2426" s="30" t="n"/>
    </row>
    <row r="2427">
      <c r="A2427" s="30" t="n"/>
      <c r="B2427" s="30" t="n"/>
      <c r="C2427" s="30" t="n"/>
      <c r="D2427" s="30" t="n"/>
      <c r="E2427" s="30" t="n"/>
      <c r="F2427" s="30" t="n"/>
      <c r="G2427" s="30" t="n"/>
      <c r="H2427" s="30" t="n"/>
      <c r="I2427" s="31" t="n"/>
      <c r="J2427" s="30" t="n"/>
      <c r="K2427" s="30" t="n"/>
      <c r="L2427" s="30" t="n"/>
      <c r="M2427" s="30" t="n"/>
      <c r="N2427" s="32" t="n"/>
      <c r="O2427" s="30" t="n"/>
      <c r="P2427" s="32" t="n"/>
      <c r="Q2427" s="30" t="n"/>
      <c r="R2427" s="32" t="n"/>
      <c r="S2427" s="30" t="n"/>
      <c r="T2427" s="30" t="n"/>
      <c r="U2427" s="30" t="n"/>
      <c r="V2427" s="30" t="n"/>
      <c r="W2427" s="29">
        <f>IF(H2427="","",IF(H2427="Kenya","Yes","No"))</f>
        <v/>
      </c>
      <c r="X2427" s="29">
        <f>IF(B2427="","",IF(COUNTIF($B$5:$B$3004,B2427)&gt;1,"DUPLICATE","OK"))</f>
        <v/>
      </c>
      <c r="Y2427" s="29">
        <f>IF(OR(U2427="",V2427="",V2427="Excluded"),"",IF(COUNTIFS($U$5:$U$3004,U2427,$V$5:$V$3004,"&lt;&gt;"&amp;V2427,$V$5:$V$3004,"&lt;&gt;",$V$5:$V$3004,"&lt;&gt;Excluded")&gt;0,"LEAK RISK","OK"))</f>
        <v/>
      </c>
      <c r="Z2427" s="30" t="n"/>
    </row>
    <row r="2428">
      <c r="A2428" s="30" t="n"/>
      <c r="B2428" s="30" t="n"/>
      <c r="C2428" s="30" t="n"/>
      <c r="D2428" s="30" t="n"/>
      <c r="E2428" s="30" t="n"/>
      <c r="F2428" s="30" t="n"/>
      <c r="G2428" s="30" t="n"/>
      <c r="H2428" s="30" t="n"/>
      <c r="I2428" s="31" t="n"/>
      <c r="J2428" s="30" t="n"/>
      <c r="K2428" s="30" t="n"/>
      <c r="L2428" s="30" t="n"/>
      <c r="M2428" s="30" t="n"/>
      <c r="N2428" s="32" t="n"/>
      <c r="O2428" s="30" t="n"/>
      <c r="P2428" s="32" t="n"/>
      <c r="Q2428" s="30" t="n"/>
      <c r="R2428" s="32" t="n"/>
      <c r="S2428" s="30" t="n"/>
      <c r="T2428" s="30" t="n"/>
      <c r="U2428" s="30" t="n"/>
      <c r="V2428" s="30" t="n"/>
      <c r="W2428" s="29">
        <f>IF(H2428="","",IF(H2428="Kenya","Yes","No"))</f>
        <v/>
      </c>
      <c r="X2428" s="29">
        <f>IF(B2428="","",IF(COUNTIF($B$5:$B$3004,B2428)&gt;1,"DUPLICATE","OK"))</f>
        <v/>
      </c>
      <c r="Y2428" s="29">
        <f>IF(OR(U2428="",V2428="",V2428="Excluded"),"",IF(COUNTIFS($U$5:$U$3004,U2428,$V$5:$V$3004,"&lt;&gt;"&amp;V2428,$V$5:$V$3004,"&lt;&gt;",$V$5:$V$3004,"&lt;&gt;Excluded")&gt;0,"LEAK RISK","OK"))</f>
        <v/>
      </c>
      <c r="Z2428" s="30" t="n"/>
    </row>
    <row r="2429">
      <c r="A2429" s="30" t="n"/>
      <c r="B2429" s="30" t="n"/>
      <c r="C2429" s="30" t="n"/>
      <c r="D2429" s="30" t="n"/>
      <c r="E2429" s="30" t="n"/>
      <c r="F2429" s="30" t="n"/>
      <c r="G2429" s="30" t="n"/>
      <c r="H2429" s="30" t="n"/>
      <c r="I2429" s="31" t="n"/>
      <c r="J2429" s="30" t="n"/>
      <c r="K2429" s="30" t="n"/>
      <c r="L2429" s="30" t="n"/>
      <c r="M2429" s="30" t="n"/>
      <c r="N2429" s="32" t="n"/>
      <c r="O2429" s="30" t="n"/>
      <c r="P2429" s="32" t="n"/>
      <c r="Q2429" s="30" t="n"/>
      <c r="R2429" s="32" t="n"/>
      <c r="S2429" s="30" t="n"/>
      <c r="T2429" s="30" t="n"/>
      <c r="U2429" s="30" t="n"/>
      <c r="V2429" s="30" t="n"/>
      <c r="W2429" s="29">
        <f>IF(H2429="","",IF(H2429="Kenya","Yes","No"))</f>
        <v/>
      </c>
      <c r="X2429" s="29">
        <f>IF(B2429="","",IF(COUNTIF($B$5:$B$3004,B2429)&gt;1,"DUPLICATE","OK"))</f>
        <v/>
      </c>
      <c r="Y2429" s="29">
        <f>IF(OR(U2429="",V2429="",V2429="Excluded"),"",IF(COUNTIFS($U$5:$U$3004,U2429,$V$5:$V$3004,"&lt;&gt;"&amp;V2429,$V$5:$V$3004,"&lt;&gt;",$V$5:$V$3004,"&lt;&gt;Excluded")&gt;0,"LEAK RISK","OK"))</f>
        <v/>
      </c>
      <c r="Z2429" s="30" t="n"/>
    </row>
    <row r="2430">
      <c r="A2430" s="30" t="n"/>
      <c r="B2430" s="30" t="n"/>
      <c r="C2430" s="30" t="n"/>
      <c r="D2430" s="30" t="n"/>
      <c r="E2430" s="30" t="n"/>
      <c r="F2430" s="30" t="n"/>
      <c r="G2430" s="30" t="n"/>
      <c r="H2430" s="30" t="n"/>
      <c r="I2430" s="31" t="n"/>
      <c r="J2430" s="30" t="n"/>
      <c r="K2430" s="30" t="n"/>
      <c r="L2430" s="30" t="n"/>
      <c r="M2430" s="30" t="n"/>
      <c r="N2430" s="32" t="n"/>
      <c r="O2430" s="30" t="n"/>
      <c r="P2430" s="32" t="n"/>
      <c r="Q2430" s="30" t="n"/>
      <c r="R2430" s="32" t="n"/>
      <c r="S2430" s="30" t="n"/>
      <c r="T2430" s="30" t="n"/>
      <c r="U2430" s="30" t="n"/>
      <c r="V2430" s="30" t="n"/>
      <c r="W2430" s="29">
        <f>IF(H2430="","",IF(H2430="Kenya","Yes","No"))</f>
        <v/>
      </c>
      <c r="X2430" s="29">
        <f>IF(B2430="","",IF(COUNTIF($B$5:$B$3004,B2430)&gt;1,"DUPLICATE","OK"))</f>
        <v/>
      </c>
      <c r="Y2430" s="29">
        <f>IF(OR(U2430="",V2430="",V2430="Excluded"),"",IF(COUNTIFS($U$5:$U$3004,U2430,$V$5:$V$3004,"&lt;&gt;"&amp;V2430,$V$5:$V$3004,"&lt;&gt;",$V$5:$V$3004,"&lt;&gt;Excluded")&gt;0,"LEAK RISK","OK"))</f>
        <v/>
      </c>
      <c r="Z2430" s="30" t="n"/>
    </row>
    <row r="2431">
      <c r="A2431" s="30" t="n"/>
      <c r="B2431" s="30" t="n"/>
      <c r="C2431" s="30" t="n"/>
      <c r="D2431" s="30" t="n"/>
      <c r="E2431" s="30" t="n"/>
      <c r="F2431" s="30" t="n"/>
      <c r="G2431" s="30" t="n"/>
      <c r="H2431" s="30" t="n"/>
      <c r="I2431" s="31" t="n"/>
      <c r="J2431" s="30" t="n"/>
      <c r="K2431" s="30" t="n"/>
      <c r="L2431" s="30" t="n"/>
      <c r="M2431" s="30" t="n"/>
      <c r="N2431" s="32" t="n"/>
      <c r="O2431" s="30" t="n"/>
      <c r="P2431" s="32" t="n"/>
      <c r="Q2431" s="30" t="n"/>
      <c r="R2431" s="32" t="n"/>
      <c r="S2431" s="30" t="n"/>
      <c r="T2431" s="30" t="n"/>
      <c r="U2431" s="30" t="n"/>
      <c r="V2431" s="30" t="n"/>
      <c r="W2431" s="29">
        <f>IF(H2431="","",IF(H2431="Kenya","Yes","No"))</f>
        <v/>
      </c>
      <c r="X2431" s="29">
        <f>IF(B2431="","",IF(COUNTIF($B$5:$B$3004,B2431)&gt;1,"DUPLICATE","OK"))</f>
        <v/>
      </c>
      <c r="Y2431" s="29">
        <f>IF(OR(U2431="",V2431="",V2431="Excluded"),"",IF(COUNTIFS($U$5:$U$3004,U2431,$V$5:$V$3004,"&lt;&gt;"&amp;V2431,$V$5:$V$3004,"&lt;&gt;",$V$5:$V$3004,"&lt;&gt;Excluded")&gt;0,"LEAK RISK","OK"))</f>
        <v/>
      </c>
      <c r="Z2431" s="30" t="n"/>
    </row>
    <row r="2432">
      <c r="A2432" s="30" t="n"/>
      <c r="B2432" s="30" t="n"/>
      <c r="C2432" s="30" t="n"/>
      <c r="D2432" s="30" t="n"/>
      <c r="E2432" s="30" t="n"/>
      <c r="F2432" s="30" t="n"/>
      <c r="G2432" s="30" t="n"/>
      <c r="H2432" s="30" t="n"/>
      <c r="I2432" s="31" t="n"/>
      <c r="J2432" s="30" t="n"/>
      <c r="K2432" s="30" t="n"/>
      <c r="L2432" s="30" t="n"/>
      <c r="M2432" s="30" t="n"/>
      <c r="N2432" s="32" t="n"/>
      <c r="O2432" s="30" t="n"/>
      <c r="P2432" s="32" t="n"/>
      <c r="Q2432" s="30" t="n"/>
      <c r="R2432" s="32" t="n"/>
      <c r="S2432" s="30" t="n"/>
      <c r="T2432" s="30" t="n"/>
      <c r="U2432" s="30" t="n"/>
      <c r="V2432" s="30" t="n"/>
      <c r="W2432" s="29">
        <f>IF(H2432="","",IF(H2432="Kenya","Yes","No"))</f>
        <v/>
      </c>
      <c r="X2432" s="29">
        <f>IF(B2432="","",IF(COUNTIF($B$5:$B$3004,B2432)&gt;1,"DUPLICATE","OK"))</f>
        <v/>
      </c>
      <c r="Y2432" s="29">
        <f>IF(OR(U2432="",V2432="",V2432="Excluded"),"",IF(COUNTIFS($U$5:$U$3004,U2432,$V$5:$V$3004,"&lt;&gt;"&amp;V2432,$V$5:$V$3004,"&lt;&gt;",$V$5:$V$3004,"&lt;&gt;Excluded")&gt;0,"LEAK RISK","OK"))</f>
        <v/>
      </c>
      <c r="Z2432" s="30" t="n"/>
    </row>
    <row r="2433">
      <c r="A2433" s="30" t="n"/>
      <c r="B2433" s="30" t="n"/>
      <c r="C2433" s="30" t="n"/>
      <c r="D2433" s="30" t="n"/>
      <c r="E2433" s="30" t="n"/>
      <c r="F2433" s="30" t="n"/>
      <c r="G2433" s="30" t="n"/>
      <c r="H2433" s="30" t="n"/>
      <c r="I2433" s="31" t="n"/>
      <c r="J2433" s="30" t="n"/>
      <c r="K2433" s="30" t="n"/>
      <c r="L2433" s="30" t="n"/>
      <c r="M2433" s="30" t="n"/>
      <c r="N2433" s="32" t="n"/>
      <c r="O2433" s="30" t="n"/>
      <c r="P2433" s="32" t="n"/>
      <c r="Q2433" s="30" t="n"/>
      <c r="R2433" s="32" t="n"/>
      <c r="S2433" s="30" t="n"/>
      <c r="T2433" s="30" t="n"/>
      <c r="U2433" s="30" t="n"/>
      <c r="V2433" s="30" t="n"/>
      <c r="W2433" s="29">
        <f>IF(H2433="","",IF(H2433="Kenya","Yes","No"))</f>
        <v/>
      </c>
      <c r="X2433" s="29">
        <f>IF(B2433="","",IF(COUNTIF($B$5:$B$3004,B2433)&gt;1,"DUPLICATE","OK"))</f>
        <v/>
      </c>
      <c r="Y2433" s="29">
        <f>IF(OR(U2433="",V2433="",V2433="Excluded"),"",IF(COUNTIFS($U$5:$U$3004,U2433,$V$5:$V$3004,"&lt;&gt;"&amp;V2433,$V$5:$V$3004,"&lt;&gt;",$V$5:$V$3004,"&lt;&gt;Excluded")&gt;0,"LEAK RISK","OK"))</f>
        <v/>
      </c>
      <c r="Z2433" s="30" t="n"/>
    </row>
    <row r="2434">
      <c r="A2434" s="30" t="n"/>
      <c r="B2434" s="30" t="n"/>
      <c r="C2434" s="30" t="n"/>
      <c r="D2434" s="30" t="n"/>
      <c r="E2434" s="30" t="n"/>
      <c r="F2434" s="30" t="n"/>
      <c r="G2434" s="30" t="n"/>
      <c r="H2434" s="30" t="n"/>
      <c r="I2434" s="31" t="n"/>
      <c r="J2434" s="30" t="n"/>
      <c r="K2434" s="30" t="n"/>
      <c r="L2434" s="30" t="n"/>
      <c r="M2434" s="30" t="n"/>
      <c r="N2434" s="32" t="n"/>
      <c r="O2434" s="30" t="n"/>
      <c r="P2434" s="32" t="n"/>
      <c r="Q2434" s="30" t="n"/>
      <c r="R2434" s="32" t="n"/>
      <c r="S2434" s="30" t="n"/>
      <c r="T2434" s="30" t="n"/>
      <c r="U2434" s="30" t="n"/>
      <c r="V2434" s="30" t="n"/>
      <c r="W2434" s="29">
        <f>IF(H2434="","",IF(H2434="Kenya","Yes","No"))</f>
        <v/>
      </c>
      <c r="X2434" s="29">
        <f>IF(B2434="","",IF(COUNTIF($B$5:$B$3004,B2434)&gt;1,"DUPLICATE","OK"))</f>
        <v/>
      </c>
      <c r="Y2434" s="29">
        <f>IF(OR(U2434="",V2434="",V2434="Excluded"),"",IF(COUNTIFS($U$5:$U$3004,U2434,$V$5:$V$3004,"&lt;&gt;"&amp;V2434,$V$5:$V$3004,"&lt;&gt;",$V$5:$V$3004,"&lt;&gt;Excluded")&gt;0,"LEAK RISK","OK"))</f>
        <v/>
      </c>
      <c r="Z2434" s="30" t="n"/>
    </row>
    <row r="2435">
      <c r="A2435" s="30" t="n"/>
      <c r="B2435" s="30" t="n"/>
      <c r="C2435" s="30" t="n"/>
      <c r="D2435" s="30" t="n"/>
      <c r="E2435" s="30" t="n"/>
      <c r="F2435" s="30" t="n"/>
      <c r="G2435" s="30" t="n"/>
      <c r="H2435" s="30" t="n"/>
      <c r="I2435" s="31" t="n"/>
      <c r="J2435" s="30" t="n"/>
      <c r="K2435" s="30" t="n"/>
      <c r="L2435" s="30" t="n"/>
      <c r="M2435" s="30" t="n"/>
      <c r="N2435" s="32" t="n"/>
      <c r="O2435" s="30" t="n"/>
      <c r="P2435" s="32" t="n"/>
      <c r="Q2435" s="30" t="n"/>
      <c r="R2435" s="32" t="n"/>
      <c r="S2435" s="30" t="n"/>
      <c r="T2435" s="30" t="n"/>
      <c r="U2435" s="30" t="n"/>
      <c r="V2435" s="30" t="n"/>
      <c r="W2435" s="29">
        <f>IF(H2435="","",IF(H2435="Kenya","Yes","No"))</f>
        <v/>
      </c>
      <c r="X2435" s="29">
        <f>IF(B2435="","",IF(COUNTIF($B$5:$B$3004,B2435)&gt;1,"DUPLICATE","OK"))</f>
        <v/>
      </c>
      <c r="Y2435" s="29">
        <f>IF(OR(U2435="",V2435="",V2435="Excluded"),"",IF(COUNTIFS($U$5:$U$3004,U2435,$V$5:$V$3004,"&lt;&gt;"&amp;V2435,$V$5:$V$3004,"&lt;&gt;",$V$5:$V$3004,"&lt;&gt;Excluded")&gt;0,"LEAK RISK","OK"))</f>
        <v/>
      </c>
      <c r="Z2435" s="30" t="n"/>
    </row>
    <row r="2436">
      <c r="A2436" s="30" t="n"/>
      <c r="B2436" s="30" t="n"/>
      <c r="C2436" s="30" t="n"/>
      <c r="D2436" s="30" t="n"/>
      <c r="E2436" s="30" t="n"/>
      <c r="F2436" s="30" t="n"/>
      <c r="G2436" s="30" t="n"/>
      <c r="H2436" s="30" t="n"/>
      <c r="I2436" s="31" t="n"/>
      <c r="J2436" s="30" t="n"/>
      <c r="K2436" s="30" t="n"/>
      <c r="L2436" s="30" t="n"/>
      <c r="M2436" s="30" t="n"/>
      <c r="N2436" s="32" t="n"/>
      <c r="O2436" s="30" t="n"/>
      <c r="P2436" s="32" t="n"/>
      <c r="Q2436" s="30" t="n"/>
      <c r="R2436" s="32" t="n"/>
      <c r="S2436" s="30" t="n"/>
      <c r="T2436" s="30" t="n"/>
      <c r="U2436" s="30" t="n"/>
      <c r="V2436" s="30" t="n"/>
      <c r="W2436" s="29">
        <f>IF(H2436="","",IF(H2436="Kenya","Yes","No"))</f>
        <v/>
      </c>
      <c r="X2436" s="29">
        <f>IF(B2436="","",IF(COUNTIF($B$5:$B$3004,B2436)&gt;1,"DUPLICATE","OK"))</f>
        <v/>
      </c>
      <c r="Y2436" s="29">
        <f>IF(OR(U2436="",V2436="",V2436="Excluded"),"",IF(COUNTIFS($U$5:$U$3004,U2436,$V$5:$V$3004,"&lt;&gt;"&amp;V2436,$V$5:$V$3004,"&lt;&gt;",$V$5:$V$3004,"&lt;&gt;Excluded")&gt;0,"LEAK RISK","OK"))</f>
        <v/>
      </c>
      <c r="Z2436" s="30" t="n"/>
    </row>
    <row r="2437">
      <c r="A2437" s="30" t="n"/>
      <c r="B2437" s="30" t="n"/>
      <c r="C2437" s="30" t="n"/>
      <c r="D2437" s="30" t="n"/>
      <c r="E2437" s="30" t="n"/>
      <c r="F2437" s="30" t="n"/>
      <c r="G2437" s="30" t="n"/>
      <c r="H2437" s="30" t="n"/>
      <c r="I2437" s="31" t="n"/>
      <c r="J2437" s="30" t="n"/>
      <c r="K2437" s="30" t="n"/>
      <c r="L2437" s="30" t="n"/>
      <c r="M2437" s="30" t="n"/>
      <c r="N2437" s="32" t="n"/>
      <c r="O2437" s="30" t="n"/>
      <c r="P2437" s="32" t="n"/>
      <c r="Q2437" s="30" t="n"/>
      <c r="R2437" s="32" t="n"/>
      <c r="S2437" s="30" t="n"/>
      <c r="T2437" s="30" t="n"/>
      <c r="U2437" s="30" t="n"/>
      <c r="V2437" s="30" t="n"/>
      <c r="W2437" s="29">
        <f>IF(H2437="","",IF(H2437="Kenya","Yes","No"))</f>
        <v/>
      </c>
      <c r="X2437" s="29">
        <f>IF(B2437="","",IF(COUNTIF($B$5:$B$3004,B2437)&gt;1,"DUPLICATE","OK"))</f>
        <v/>
      </c>
      <c r="Y2437" s="29">
        <f>IF(OR(U2437="",V2437="",V2437="Excluded"),"",IF(COUNTIFS($U$5:$U$3004,U2437,$V$5:$V$3004,"&lt;&gt;"&amp;V2437,$V$5:$V$3004,"&lt;&gt;",$V$5:$V$3004,"&lt;&gt;Excluded")&gt;0,"LEAK RISK","OK"))</f>
        <v/>
      </c>
      <c r="Z2437" s="30" t="n"/>
    </row>
    <row r="2438">
      <c r="A2438" s="30" t="n"/>
      <c r="B2438" s="30" t="n"/>
      <c r="C2438" s="30" t="n"/>
      <c r="D2438" s="30" t="n"/>
      <c r="E2438" s="30" t="n"/>
      <c r="F2438" s="30" t="n"/>
      <c r="G2438" s="30" t="n"/>
      <c r="H2438" s="30" t="n"/>
      <c r="I2438" s="31" t="n"/>
      <c r="J2438" s="30" t="n"/>
      <c r="K2438" s="30" t="n"/>
      <c r="L2438" s="30" t="n"/>
      <c r="M2438" s="30" t="n"/>
      <c r="N2438" s="32" t="n"/>
      <c r="O2438" s="30" t="n"/>
      <c r="P2438" s="32" t="n"/>
      <c r="Q2438" s="30" t="n"/>
      <c r="R2438" s="32" t="n"/>
      <c r="S2438" s="30" t="n"/>
      <c r="T2438" s="30" t="n"/>
      <c r="U2438" s="30" t="n"/>
      <c r="V2438" s="30" t="n"/>
      <c r="W2438" s="29">
        <f>IF(H2438="","",IF(H2438="Kenya","Yes","No"))</f>
        <v/>
      </c>
      <c r="X2438" s="29">
        <f>IF(B2438="","",IF(COUNTIF($B$5:$B$3004,B2438)&gt;1,"DUPLICATE","OK"))</f>
        <v/>
      </c>
      <c r="Y2438" s="29">
        <f>IF(OR(U2438="",V2438="",V2438="Excluded"),"",IF(COUNTIFS($U$5:$U$3004,U2438,$V$5:$V$3004,"&lt;&gt;"&amp;V2438,$V$5:$V$3004,"&lt;&gt;",$V$5:$V$3004,"&lt;&gt;Excluded")&gt;0,"LEAK RISK","OK"))</f>
        <v/>
      </c>
      <c r="Z2438" s="30" t="n"/>
    </row>
    <row r="2439">
      <c r="A2439" s="30" t="n"/>
      <c r="B2439" s="30" t="n"/>
      <c r="C2439" s="30" t="n"/>
      <c r="D2439" s="30" t="n"/>
      <c r="E2439" s="30" t="n"/>
      <c r="F2439" s="30" t="n"/>
      <c r="G2439" s="30" t="n"/>
      <c r="H2439" s="30" t="n"/>
      <c r="I2439" s="31" t="n"/>
      <c r="J2439" s="30" t="n"/>
      <c r="K2439" s="30" t="n"/>
      <c r="L2439" s="30" t="n"/>
      <c r="M2439" s="30" t="n"/>
      <c r="N2439" s="32" t="n"/>
      <c r="O2439" s="30" t="n"/>
      <c r="P2439" s="32" t="n"/>
      <c r="Q2439" s="30" t="n"/>
      <c r="R2439" s="32" t="n"/>
      <c r="S2439" s="30" t="n"/>
      <c r="T2439" s="30" t="n"/>
      <c r="U2439" s="30" t="n"/>
      <c r="V2439" s="30" t="n"/>
      <c r="W2439" s="29">
        <f>IF(H2439="","",IF(H2439="Kenya","Yes","No"))</f>
        <v/>
      </c>
      <c r="X2439" s="29">
        <f>IF(B2439="","",IF(COUNTIF($B$5:$B$3004,B2439)&gt;1,"DUPLICATE","OK"))</f>
        <v/>
      </c>
      <c r="Y2439" s="29">
        <f>IF(OR(U2439="",V2439="",V2439="Excluded"),"",IF(COUNTIFS($U$5:$U$3004,U2439,$V$5:$V$3004,"&lt;&gt;"&amp;V2439,$V$5:$V$3004,"&lt;&gt;",$V$5:$V$3004,"&lt;&gt;Excluded")&gt;0,"LEAK RISK","OK"))</f>
        <v/>
      </c>
      <c r="Z2439" s="30" t="n"/>
    </row>
    <row r="2440">
      <c r="A2440" s="30" t="n"/>
      <c r="B2440" s="30" t="n"/>
      <c r="C2440" s="30" t="n"/>
      <c r="D2440" s="30" t="n"/>
      <c r="E2440" s="30" t="n"/>
      <c r="F2440" s="30" t="n"/>
      <c r="G2440" s="30" t="n"/>
      <c r="H2440" s="30" t="n"/>
      <c r="I2440" s="31" t="n"/>
      <c r="J2440" s="30" t="n"/>
      <c r="K2440" s="30" t="n"/>
      <c r="L2440" s="30" t="n"/>
      <c r="M2440" s="30" t="n"/>
      <c r="N2440" s="32" t="n"/>
      <c r="O2440" s="30" t="n"/>
      <c r="P2440" s="32" t="n"/>
      <c r="Q2440" s="30" t="n"/>
      <c r="R2440" s="32" t="n"/>
      <c r="S2440" s="30" t="n"/>
      <c r="T2440" s="30" t="n"/>
      <c r="U2440" s="30" t="n"/>
      <c r="V2440" s="30" t="n"/>
      <c r="W2440" s="29">
        <f>IF(H2440="","",IF(H2440="Kenya","Yes","No"))</f>
        <v/>
      </c>
      <c r="X2440" s="29">
        <f>IF(B2440="","",IF(COUNTIF($B$5:$B$3004,B2440)&gt;1,"DUPLICATE","OK"))</f>
        <v/>
      </c>
      <c r="Y2440" s="29">
        <f>IF(OR(U2440="",V2440="",V2440="Excluded"),"",IF(COUNTIFS($U$5:$U$3004,U2440,$V$5:$V$3004,"&lt;&gt;"&amp;V2440,$V$5:$V$3004,"&lt;&gt;",$V$5:$V$3004,"&lt;&gt;Excluded")&gt;0,"LEAK RISK","OK"))</f>
        <v/>
      </c>
      <c r="Z2440" s="30" t="n"/>
    </row>
    <row r="2441">
      <c r="A2441" s="30" t="n"/>
      <c r="B2441" s="30" t="n"/>
      <c r="C2441" s="30" t="n"/>
      <c r="D2441" s="30" t="n"/>
      <c r="E2441" s="30" t="n"/>
      <c r="F2441" s="30" t="n"/>
      <c r="G2441" s="30" t="n"/>
      <c r="H2441" s="30" t="n"/>
      <c r="I2441" s="31" t="n"/>
      <c r="J2441" s="30" t="n"/>
      <c r="K2441" s="30" t="n"/>
      <c r="L2441" s="30" t="n"/>
      <c r="M2441" s="30" t="n"/>
      <c r="N2441" s="32" t="n"/>
      <c r="O2441" s="30" t="n"/>
      <c r="P2441" s="32" t="n"/>
      <c r="Q2441" s="30" t="n"/>
      <c r="R2441" s="32" t="n"/>
      <c r="S2441" s="30" t="n"/>
      <c r="T2441" s="30" t="n"/>
      <c r="U2441" s="30" t="n"/>
      <c r="V2441" s="30" t="n"/>
      <c r="W2441" s="29">
        <f>IF(H2441="","",IF(H2441="Kenya","Yes","No"))</f>
        <v/>
      </c>
      <c r="X2441" s="29">
        <f>IF(B2441="","",IF(COUNTIF($B$5:$B$3004,B2441)&gt;1,"DUPLICATE","OK"))</f>
        <v/>
      </c>
      <c r="Y2441" s="29">
        <f>IF(OR(U2441="",V2441="",V2441="Excluded"),"",IF(COUNTIFS($U$5:$U$3004,U2441,$V$5:$V$3004,"&lt;&gt;"&amp;V2441,$V$5:$V$3004,"&lt;&gt;",$V$5:$V$3004,"&lt;&gt;Excluded")&gt;0,"LEAK RISK","OK"))</f>
        <v/>
      </c>
      <c r="Z2441" s="30" t="n"/>
    </row>
    <row r="2442">
      <c r="A2442" s="30" t="n"/>
      <c r="B2442" s="30" t="n"/>
      <c r="C2442" s="30" t="n"/>
      <c r="D2442" s="30" t="n"/>
      <c r="E2442" s="30" t="n"/>
      <c r="F2442" s="30" t="n"/>
      <c r="G2442" s="30" t="n"/>
      <c r="H2442" s="30" t="n"/>
      <c r="I2442" s="31" t="n"/>
      <c r="J2442" s="30" t="n"/>
      <c r="K2442" s="30" t="n"/>
      <c r="L2442" s="30" t="n"/>
      <c r="M2442" s="30" t="n"/>
      <c r="N2442" s="32" t="n"/>
      <c r="O2442" s="30" t="n"/>
      <c r="P2442" s="32" t="n"/>
      <c r="Q2442" s="30" t="n"/>
      <c r="R2442" s="32" t="n"/>
      <c r="S2442" s="30" t="n"/>
      <c r="T2442" s="30" t="n"/>
      <c r="U2442" s="30" t="n"/>
      <c r="V2442" s="30" t="n"/>
      <c r="W2442" s="29">
        <f>IF(H2442="","",IF(H2442="Kenya","Yes","No"))</f>
        <v/>
      </c>
      <c r="X2442" s="29">
        <f>IF(B2442="","",IF(COUNTIF($B$5:$B$3004,B2442)&gt;1,"DUPLICATE","OK"))</f>
        <v/>
      </c>
      <c r="Y2442" s="29">
        <f>IF(OR(U2442="",V2442="",V2442="Excluded"),"",IF(COUNTIFS($U$5:$U$3004,U2442,$V$5:$V$3004,"&lt;&gt;"&amp;V2442,$V$5:$V$3004,"&lt;&gt;",$V$5:$V$3004,"&lt;&gt;Excluded")&gt;0,"LEAK RISK","OK"))</f>
        <v/>
      </c>
      <c r="Z2442" s="30" t="n"/>
    </row>
    <row r="2443">
      <c r="A2443" s="30" t="n"/>
      <c r="B2443" s="30" t="n"/>
      <c r="C2443" s="30" t="n"/>
      <c r="D2443" s="30" t="n"/>
      <c r="E2443" s="30" t="n"/>
      <c r="F2443" s="30" t="n"/>
      <c r="G2443" s="30" t="n"/>
      <c r="H2443" s="30" t="n"/>
      <c r="I2443" s="31" t="n"/>
      <c r="J2443" s="30" t="n"/>
      <c r="K2443" s="30" t="n"/>
      <c r="L2443" s="30" t="n"/>
      <c r="M2443" s="30" t="n"/>
      <c r="N2443" s="32" t="n"/>
      <c r="O2443" s="30" t="n"/>
      <c r="P2443" s="32" t="n"/>
      <c r="Q2443" s="30" t="n"/>
      <c r="R2443" s="32" t="n"/>
      <c r="S2443" s="30" t="n"/>
      <c r="T2443" s="30" t="n"/>
      <c r="U2443" s="30" t="n"/>
      <c r="V2443" s="30" t="n"/>
      <c r="W2443" s="29">
        <f>IF(H2443="","",IF(H2443="Kenya","Yes","No"))</f>
        <v/>
      </c>
      <c r="X2443" s="29">
        <f>IF(B2443="","",IF(COUNTIF($B$5:$B$3004,B2443)&gt;1,"DUPLICATE","OK"))</f>
        <v/>
      </c>
      <c r="Y2443" s="29">
        <f>IF(OR(U2443="",V2443="",V2443="Excluded"),"",IF(COUNTIFS($U$5:$U$3004,U2443,$V$5:$V$3004,"&lt;&gt;"&amp;V2443,$V$5:$V$3004,"&lt;&gt;",$V$5:$V$3004,"&lt;&gt;Excluded")&gt;0,"LEAK RISK","OK"))</f>
        <v/>
      </c>
      <c r="Z2443" s="30" t="n"/>
    </row>
    <row r="2444">
      <c r="A2444" s="30" t="n"/>
      <c r="B2444" s="30" t="n"/>
      <c r="C2444" s="30" t="n"/>
      <c r="D2444" s="30" t="n"/>
      <c r="E2444" s="30" t="n"/>
      <c r="F2444" s="30" t="n"/>
      <c r="G2444" s="30" t="n"/>
      <c r="H2444" s="30" t="n"/>
      <c r="I2444" s="31" t="n"/>
      <c r="J2444" s="30" t="n"/>
      <c r="K2444" s="30" t="n"/>
      <c r="L2444" s="30" t="n"/>
      <c r="M2444" s="30" t="n"/>
      <c r="N2444" s="32" t="n"/>
      <c r="O2444" s="30" t="n"/>
      <c r="P2444" s="32" t="n"/>
      <c r="Q2444" s="30" t="n"/>
      <c r="R2444" s="32" t="n"/>
      <c r="S2444" s="30" t="n"/>
      <c r="T2444" s="30" t="n"/>
      <c r="U2444" s="30" t="n"/>
      <c r="V2444" s="30" t="n"/>
      <c r="W2444" s="29">
        <f>IF(H2444="","",IF(H2444="Kenya","Yes","No"))</f>
        <v/>
      </c>
      <c r="X2444" s="29">
        <f>IF(B2444="","",IF(COUNTIF($B$5:$B$3004,B2444)&gt;1,"DUPLICATE","OK"))</f>
        <v/>
      </c>
      <c r="Y2444" s="29">
        <f>IF(OR(U2444="",V2444="",V2444="Excluded"),"",IF(COUNTIFS($U$5:$U$3004,U2444,$V$5:$V$3004,"&lt;&gt;"&amp;V2444,$V$5:$V$3004,"&lt;&gt;",$V$5:$V$3004,"&lt;&gt;Excluded")&gt;0,"LEAK RISK","OK"))</f>
        <v/>
      </c>
      <c r="Z2444" s="30" t="n"/>
    </row>
    <row r="2445">
      <c r="A2445" s="30" t="n"/>
      <c r="B2445" s="30" t="n"/>
      <c r="C2445" s="30" t="n"/>
      <c r="D2445" s="30" t="n"/>
      <c r="E2445" s="30" t="n"/>
      <c r="F2445" s="30" t="n"/>
      <c r="G2445" s="30" t="n"/>
      <c r="H2445" s="30" t="n"/>
      <c r="I2445" s="31" t="n"/>
      <c r="J2445" s="30" t="n"/>
      <c r="K2445" s="30" t="n"/>
      <c r="L2445" s="30" t="n"/>
      <c r="M2445" s="30" t="n"/>
      <c r="N2445" s="32" t="n"/>
      <c r="O2445" s="30" t="n"/>
      <c r="P2445" s="32" t="n"/>
      <c r="Q2445" s="30" t="n"/>
      <c r="R2445" s="32" t="n"/>
      <c r="S2445" s="30" t="n"/>
      <c r="T2445" s="30" t="n"/>
      <c r="U2445" s="30" t="n"/>
      <c r="V2445" s="30" t="n"/>
      <c r="W2445" s="29">
        <f>IF(H2445="","",IF(H2445="Kenya","Yes","No"))</f>
        <v/>
      </c>
      <c r="X2445" s="29">
        <f>IF(B2445="","",IF(COUNTIF($B$5:$B$3004,B2445)&gt;1,"DUPLICATE","OK"))</f>
        <v/>
      </c>
      <c r="Y2445" s="29">
        <f>IF(OR(U2445="",V2445="",V2445="Excluded"),"",IF(COUNTIFS($U$5:$U$3004,U2445,$V$5:$V$3004,"&lt;&gt;"&amp;V2445,$V$5:$V$3004,"&lt;&gt;",$V$5:$V$3004,"&lt;&gt;Excluded")&gt;0,"LEAK RISK","OK"))</f>
        <v/>
      </c>
      <c r="Z2445" s="30" t="n"/>
    </row>
    <row r="2446">
      <c r="A2446" s="30" t="n"/>
      <c r="B2446" s="30" t="n"/>
      <c r="C2446" s="30" t="n"/>
      <c r="D2446" s="30" t="n"/>
      <c r="E2446" s="30" t="n"/>
      <c r="F2446" s="30" t="n"/>
      <c r="G2446" s="30" t="n"/>
      <c r="H2446" s="30" t="n"/>
      <c r="I2446" s="31" t="n"/>
      <c r="J2446" s="30" t="n"/>
      <c r="K2446" s="30" t="n"/>
      <c r="L2446" s="30" t="n"/>
      <c r="M2446" s="30" t="n"/>
      <c r="N2446" s="32" t="n"/>
      <c r="O2446" s="30" t="n"/>
      <c r="P2446" s="32" t="n"/>
      <c r="Q2446" s="30" t="n"/>
      <c r="R2446" s="32" t="n"/>
      <c r="S2446" s="30" t="n"/>
      <c r="T2446" s="30" t="n"/>
      <c r="U2446" s="30" t="n"/>
      <c r="V2446" s="30" t="n"/>
      <c r="W2446" s="29">
        <f>IF(H2446="","",IF(H2446="Kenya","Yes","No"))</f>
        <v/>
      </c>
      <c r="X2446" s="29">
        <f>IF(B2446="","",IF(COUNTIF($B$5:$B$3004,B2446)&gt;1,"DUPLICATE","OK"))</f>
        <v/>
      </c>
      <c r="Y2446" s="29">
        <f>IF(OR(U2446="",V2446="",V2446="Excluded"),"",IF(COUNTIFS($U$5:$U$3004,U2446,$V$5:$V$3004,"&lt;&gt;"&amp;V2446,$V$5:$V$3004,"&lt;&gt;",$V$5:$V$3004,"&lt;&gt;Excluded")&gt;0,"LEAK RISK","OK"))</f>
        <v/>
      </c>
      <c r="Z2446" s="30" t="n"/>
    </row>
    <row r="2447">
      <c r="A2447" s="30" t="n"/>
      <c r="B2447" s="30" t="n"/>
      <c r="C2447" s="30" t="n"/>
      <c r="D2447" s="30" t="n"/>
      <c r="E2447" s="30" t="n"/>
      <c r="F2447" s="30" t="n"/>
      <c r="G2447" s="30" t="n"/>
      <c r="H2447" s="30" t="n"/>
      <c r="I2447" s="31" t="n"/>
      <c r="J2447" s="30" t="n"/>
      <c r="K2447" s="30" t="n"/>
      <c r="L2447" s="30" t="n"/>
      <c r="M2447" s="30" t="n"/>
      <c r="N2447" s="32" t="n"/>
      <c r="O2447" s="30" t="n"/>
      <c r="P2447" s="32" t="n"/>
      <c r="Q2447" s="30" t="n"/>
      <c r="R2447" s="32" t="n"/>
      <c r="S2447" s="30" t="n"/>
      <c r="T2447" s="30" t="n"/>
      <c r="U2447" s="30" t="n"/>
      <c r="V2447" s="30" t="n"/>
      <c r="W2447" s="29">
        <f>IF(H2447="","",IF(H2447="Kenya","Yes","No"))</f>
        <v/>
      </c>
      <c r="X2447" s="29">
        <f>IF(B2447="","",IF(COUNTIF($B$5:$B$3004,B2447)&gt;1,"DUPLICATE","OK"))</f>
        <v/>
      </c>
      <c r="Y2447" s="29">
        <f>IF(OR(U2447="",V2447="",V2447="Excluded"),"",IF(COUNTIFS($U$5:$U$3004,U2447,$V$5:$V$3004,"&lt;&gt;"&amp;V2447,$V$5:$V$3004,"&lt;&gt;",$V$5:$V$3004,"&lt;&gt;Excluded")&gt;0,"LEAK RISK","OK"))</f>
        <v/>
      </c>
      <c r="Z2447" s="30" t="n"/>
    </row>
    <row r="2448">
      <c r="A2448" s="30" t="n"/>
      <c r="B2448" s="30" t="n"/>
      <c r="C2448" s="30" t="n"/>
      <c r="D2448" s="30" t="n"/>
      <c r="E2448" s="30" t="n"/>
      <c r="F2448" s="30" t="n"/>
      <c r="G2448" s="30" t="n"/>
      <c r="H2448" s="30" t="n"/>
      <c r="I2448" s="31" t="n"/>
      <c r="J2448" s="30" t="n"/>
      <c r="K2448" s="30" t="n"/>
      <c r="L2448" s="30" t="n"/>
      <c r="M2448" s="30" t="n"/>
      <c r="N2448" s="32" t="n"/>
      <c r="O2448" s="30" t="n"/>
      <c r="P2448" s="32" t="n"/>
      <c r="Q2448" s="30" t="n"/>
      <c r="R2448" s="32" t="n"/>
      <c r="S2448" s="30" t="n"/>
      <c r="T2448" s="30" t="n"/>
      <c r="U2448" s="30" t="n"/>
      <c r="V2448" s="30" t="n"/>
      <c r="W2448" s="29">
        <f>IF(H2448="","",IF(H2448="Kenya","Yes","No"))</f>
        <v/>
      </c>
      <c r="X2448" s="29">
        <f>IF(B2448="","",IF(COUNTIF($B$5:$B$3004,B2448)&gt;1,"DUPLICATE","OK"))</f>
        <v/>
      </c>
      <c r="Y2448" s="29">
        <f>IF(OR(U2448="",V2448="",V2448="Excluded"),"",IF(COUNTIFS($U$5:$U$3004,U2448,$V$5:$V$3004,"&lt;&gt;"&amp;V2448,$V$5:$V$3004,"&lt;&gt;",$V$5:$V$3004,"&lt;&gt;Excluded")&gt;0,"LEAK RISK","OK"))</f>
        <v/>
      </c>
      <c r="Z2448" s="30" t="n"/>
    </row>
    <row r="2449">
      <c r="A2449" s="30" t="n"/>
      <c r="B2449" s="30" t="n"/>
      <c r="C2449" s="30" t="n"/>
      <c r="D2449" s="30" t="n"/>
      <c r="E2449" s="30" t="n"/>
      <c r="F2449" s="30" t="n"/>
      <c r="G2449" s="30" t="n"/>
      <c r="H2449" s="30" t="n"/>
      <c r="I2449" s="31" t="n"/>
      <c r="J2449" s="30" t="n"/>
      <c r="K2449" s="30" t="n"/>
      <c r="L2449" s="30" t="n"/>
      <c r="M2449" s="30" t="n"/>
      <c r="N2449" s="32" t="n"/>
      <c r="O2449" s="30" t="n"/>
      <c r="P2449" s="32" t="n"/>
      <c r="Q2449" s="30" t="n"/>
      <c r="R2449" s="32" t="n"/>
      <c r="S2449" s="30" t="n"/>
      <c r="T2449" s="30" t="n"/>
      <c r="U2449" s="30" t="n"/>
      <c r="V2449" s="30" t="n"/>
      <c r="W2449" s="29">
        <f>IF(H2449="","",IF(H2449="Kenya","Yes","No"))</f>
        <v/>
      </c>
      <c r="X2449" s="29">
        <f>IF(B2449="","",IF(COUNTIF($B$5:$B$3004,B2449)&gt;1,"DUPLICATE","OK"))</f>
        <v/>
      </c>
      <c r="Y2449" s="29">
        <f>IF(OR(U2449="",V2449="",V2449="Excluded"),"",IF(COUNTIFS($U$5:$U$3004,U2449,$V$5:$V$3004,"&lt;&gt;"&amp;V2449,$V$5:$V$3004,"&lt;&gt;",$V$5:$V$3004,"&lt;&gt;Excluded")&gt;0,"LEAK RISK","OK"))</f>
        <v/>
      </c>
      <c r="Z2449" s="30" t="n"/>
    </row>
    <row r="2450">
      <c r="A2450" s="30" t="n"/>
      <c r="B2450" s="30" t="n"/>
      <c r="C2450" s="30" t="n"/>
      <c r="D2450" s="30" t="n"/>
      <c r="E2450" s="30" t="n"/>
      <c r="F2450" s="30" t="n"/>
      <c r="G2450" s="30" t="n"/>
      <c r="H2450" s="30" t="n"/>
      <c r="I2450" s="31" t="n"/>
      <c r="J2450" s="30" t="n"/>
      <c r="K2450" s="30" t="n"/>
      <c r="L2450" s="30" t="n"/>
      <c r="M2450" s="30" t="n"/>
      <c r="N2450" s="32" t="n"/>
      <c r="O2450" s="30" t="n"/>
      <c r="P2450" s="32" t="n"/>
      <c r="Q2450" s="30" t="n"/>
      <c r="R2450" s="32" t="n"/>
      <c r="S2450" s="30" t="n"/>
      <c r="T2450" s="30" t="n"/>
      <c r="U2450" s="30" t="n"/>
      <c r="V2450" s="30" t="n"/>
      <c r="W2450" s="29">
        <f>IF(H2450="","",IF(H2450="Kenya","Yes","No"))</f>
        <v/>
      </c>
      <c r="X2450" s="29">
        <f>IF(B2450="","",IF(COUNTIF($B$5:$B$3004,B2450)&gt;1,"DUPLICATE","OK"))</f>
        <v/>
      </c>
      <c r="Y2450" s="29">
        <f>IF(OR(U2450="",V2450="",V2450="Excluded"),"",IF(COUNTIFS($U$5:$U$3004,U2450,$V$5:$V$3004,"&lt;&gt;"&amp;V2450,$V$5:$V$3004,"&lt;&gt;",$V$5:$V$3004,"&lt;&gt;Excluded")&gt;0,"LEAK RISK","OK"))</f>
        <v/>
      </c>
      <c r="Z2450" s="30" t="n"/>
    </row>
    <row r="2451">
      <c r="A2451" s="30" t="n"/>
      <c r="B2451" s="30" t="n"/>
      <c r="C2451" s="30" t="n"/>
      <c r="D2451" s="30" t="n"/>
      <c r="E2451" s="30" t="n"/>
      <c r="F2451" s="30" t="n"/>
      <c r="G2451" s="30" t="n"/>
      <c r="H2451" s="30" t="n"/>
      <c r="I2451" s="31" t="n"/>
      <c r="J2451" s="30" t="n"/>
      <c r="K2451" s="30" t="n"/>
      <c r="L2451" s="30" t="n"/>
      <c r="M2451" s="30" t="n"/>
      <c r="N2451" s="32" t="n"/>
      <c r="O2451" s="30" t="n"/>
      <c r="P2451" s="32" t="n"/>
      <c r="Q2451" s="30" t="n"/>
      <c r="R2451" s="32" t="n"/>
      <c r="S2451" s="30" t="n"/>
      <c r="T2451" s="30" t="n"/>
      <c r="U2451" s="30" t="n"/>
      <c r="V2451" s="30" t="n"/>
      <c r="W2451" s="29">
        <f>IF(H2451="","",IF(H2451="Kenya","Yes","No"))</f>
        <v/>
      </c>
      <c r="X2451" s="29">
        <f>IF(B2451="","",IF(COUNTIF($B$5:$B$3004,B2451)&gt;1,"DUPLICATE","OK"))</f>
        <v/>
      </c>
      <c r="Y2451" s="29">
        <f>IF(OR(U2451="",V2451="",V2451="Excluded"),"",IF(COUNTIFS($U$5:$U$3004,U2451,$V$5:$V$3004,"&lt;&gt;"&amp;V2451,$V$5:$V$3004,"&lt;&gt;",$V$5:$V$3004,"&lt;&gt;Excluded")&gt;0,"LEAK RISK","OK"))</f>
        <v/>
      </c>
      <c r="Z2451" s="30" t="n"/>
    </row>
    <row r="2452">
      <c r="A2452" s="30" t="n"/>
      <c r="B2452" s="30" t="n"/>
      <c r="C2452" s="30" t="n"/>
      <c r="D2452" s="30" t="n"/>
      <c r="E2452" s="30" t="n"/>
      <c r="F2452" s="30" t="n"/>
      <c r="G2452" s="30" t="n"/>
      <c r="H2452" s="30" t="n"/>
      <c r="I2452" s="31" t="n"/>
      <c r="J2452" s="30" t="n"/>
      <c r="K2452" s="30" t="n"/>
      <c r="L2452" s="30" t="n"/>
      <c r="M2452" s="30" t="n"/>
      <c r="N2452" s="32" t="n"/>
      <c r="O2452" s="30" t="n"/>
      <c r="P2452" s="32" t="n"/>
      <c r="Q2452" s="30" t="n"/>
      <c r="R2452" s="32" t="n"/>
      <c r="S2452" s="30" t="n"/>
      <c r="T2452" s="30" t="n"/>
      <c r="U2452" s="30" t="n"/>
      <c r="V2452" s="30" t="n"/>
      <c r="W2452" s="29">
        <f>IF(H2452="","",IF(H2452="Kenya","Yes","No"))</f>
        <v/>
      </c>
      <c r="X2452" s="29">
        <f>IF(B2452="","",IF(COUNTIF($B$5:$B$3004,B2452)&gt;1,"DUPLICATE","OK"))</f>
        <v/>
      </c>
      <c r="Y2452" s="29">
        <f>IF(OR(U2452="",V2452="",V2452="Excluded"),"",IF(COUNTIFS($U$5:$U$3004,U2452,$V$5:$V$3004,"&lt;&gt;"&amp;V2452,$V$5:$V$3004,"&lt;&gt;",$V$5:$V$3004,"&lt;&gt;Excluded")&gt;0,"LEAK RISK","OK"))</f>
        <v/>
      </c>
      <c r="Z2452" s="30" t="n"/>
    </row>
    <row r="2453">
      <c r="A2453" s="30" t="n"/>
      <c r="B2453" s="30" t="n"/>
      <c r="C2453" s="30" t="n"/>
      <c r="D2453" s="30" t="n"/>
      <c r="E2453" s="30" t="n"/>
      <c r="F2453" s="30" t="n"/>
      <c r="G2453" s="30" t="n"/>
      <c r="H2453" s="30" t="n"/>
      <c r="I2453" s="31" t="n"/>
      <c r="J2453" s="30" t="n"/>
      <c r="K2453" s="30" t="n"/>
      <c r="L2453" s="30" t="n"/>
      <c r="M2453" s="30" t="n"/>
      <c r="N2453" s="32" t="n"/>
      <c r="O2453" s="30" t="n"/>
      <c r="P2453" s="32" t="n"/>
      <c r="Q2453" s="30" t="n"/>
      <c r="R2453" s="32" t="n"/>
      <c r="S2453" s="30" t="n"/>
      <c r="T2453" s="30" t="n"/>
      <c r="U2453" s="30" t="n"/>
      <c r="V2453" s="30" t="n"/>
      <c r="W2453" s="29">
        <f>IF(H2453="","",IF(H2453="Kenya","Yes","No"))</f>
        <v/>
      </c>
      <c r="X2453" s="29">
        <f>IF(B2453="","",IF(COUNTIF($B$5:$B$3004,B2453)&gt;1,"DUPLICATE","OK"))</f>
        <v/>
      </c>
      <c r="Y2453" s="29">
        <f>IF(OR(U2453="",V2453="",V2453="Excluded"),"",IF(COUNTIFS($U$5:$U$3004,U2453,$V$5:$V$3004,"&lt;&gt;"&amp;V2453,$V$5:$V$3004,"&lt;&gt;",$V$5:$V$3004,"&lt;&gt;Excluded")&gt;0,"LEAK RISK","OK"))</f>
        <v/>
      </c>
      <c r="Z2453" s="30" t="n"/>
    </row>
    <row r="2454">
      <c r="A2454" s="30" t="n"/>
      <c r="B2454" s="30" t="n"/>
      <c r="C2454" s="30" t="n"/>
      <c r="D2454" s="30" t="n"/>
      <c r="E2454" s="30" t="n"/>
      <c r="F2454" s="30" t="n"/>
      <c r="G2454" s="30" t="n"/>
      <c r="H2454" s="30" t="n"/>
      <c r="I2454" s="31" t="n"/>
      <c r="J2454" s="30" t="n"/>
      <c r="K2454" s="30" t="n"/>
      <c r="L2454" s="30" t="n"/>
      <c r="M2454" s="30" t="n"/>
      <c r="N2454" s="32" t="n"/>
      <c r="O2454" s="30" t="n"/>
      <c r="P2454" s="32" t="n"/>
      <c r="Q2454" s="30" t="n"/>
      <c r="R2454" s="32" t="n"/>
      <c r="S2454" s="30" t="n"/>
      <c r="T2454" s="30" t="n"/>
      <c r="U2454" s="30" t="n"/>
      <c r="V2454" s="30" t="n"/>
      <c r="W2454" s="29">
        <f>IF(H2454="","",IF(H2454="Kenya","Yes","No"))</f>
        <v/>
      </c>
      <c r="X2454" s="29">
        <f>IF(B2454="","",IF(COUNTIF($B$5:$B$3004,B2454)&gt;1,"DUPLICATE","OK"))</f>
        <v/>
      </c>
      <c r="Y2454" s="29">
        <f>IF(OR(U2454="",V2454="",V2454="Excluded"),"",IF(COUNTIFS($U$5:$U$3004,U2454,$V$5:$V$3004,"&lt;&gt;"&amp;V2454,$V$5:$V$3004,"&lt;&gt;",$V$5:$V$3004,"&lt;&gt;Excluded")&gt;0,"LEAK RISK","OK"))</f>
        <v/>
      </c>
      <c r="Z2454" s="30" t="n"/>
    </row>
    <row r="2455">
      <c r="A2455" s="30" t="n"/>
      <c r="B2455" s="30" t="n"/>
      <c r="C2455" s="30" t="n"/>
      <c r="D2455" s="30" t="n"/>
      <c r="E2455" s="30" t="n"/>
      <c r="F2455" s="30" t="n"/>
      <c r="G2455" s="30" t="n"/>
      <c r="H2455" s="30" t="n"/>
      <c r="I2455" s="31" t="n"/>
      <c r="J2455" s="30" t="n"/>
      <c r="K2455" s="30" t="n"/>
      <c r="L2455" s="30" t="n"/>
      <c r="M2455" s="30" t="n"/>
      <c r="N2455" s="32" t="n"/>
      <c r="O2455" s="30" t="n"/>
      <c r="P2455" s="32" t="n"/>
      <c r="Q2455" s="30" t="n"/>
      <c r="R2455" s="32" t="n"/>
      <c r="S2455" s="30" t="n"/>
      <c r="T2455" s="30" t="n"/>
      <c r="U2455" s="30" t="n"/>
      <c r="V2455" s="30" t="n"/>
      <c r="W2455" s="29">
        <f>IF(H2455="","",IF(H2455="Kenya","Yes","No"))</f>
        <v/>
      </c>
      <c r="X2455" s="29">
        <f>IF(B2455="","",IF(COUNTIF($B$5:$B$3004,B2455)&gt;1,"DUPLICATE","OK"))</f>
        <v/>
      </c>
      <c r="Y2455" s="29">
        <f>IF(OR(U2455="",V2455="",V2455="Excluded"),"",IF(COUNTIFS($U$5:$U$3004,U2455,$V$5:$V$3004,"&lt;&gt;"&amp;V2455,$V$5:$V$3004,"&lt;&gt;",$V$5:$V$3004,"&lt;&gt;Excluded")&gt;0,"LEAK RISK","OK"))</f>
        <v/>
      </c>
      <c r="Z2455" s="30" t="n"/>
    </row>
    <row r="2456">
      <c r="A2456" s="30" t="n"/>
      <c r="B2456" s="30" t="n"/>
      <c r="C2456" s="30" t="n"/>
      <c r="D2456" s="30" t="n"/>
      <c r="E2456" s="30" t="n"/>
      <c r="F2456" s="30" t="n"/>
      <c r="G2456" s="30" t="n"/>
      <c r="H2456" s="30" t="n"/>
      <c r="I2456" s="31" t="n"/>
      <c r="J2456" s="30" t="n"/>
      <c r="K2456" s="30" t="n"/>
      <c r="L2456" s="30" t="n"/>
      <c r="M2456" s="30" t="n"/>
      <c r="N2456" s="32" t="n"/>
      <c r="O2456" s="30" t="n"/>
      <c r="P2456" s="32" t="n"/>
      <c r="Q2456" s="30" t="n"/>
      <c r="R2456" s="32" t="n"/>
      <c r="S2456" s="30" t="n"/>
      <c r="T2456" s="30" t="n"/>
      <c r="U2456" s="30" t="n"/>
      <c r="V2456" s="30" t="n"/>
      <c r="W2456" s="29">
        <f>IF(H2456="","",IF(H2456="Kenya","Yes","No"))</f>
        <v/>
      </c>
      <c r="X2456" s="29">
        <f>IF(B2456="","",IF(COUNTIF($B$5:$B$3004,B2456)&gt;1,"DUPLICATE","OK"))</f>
        <v/>
      </c>
      <c r="Y2456" s="29">
        <f>IF(OR(U2456="",V2456="",V2456="Excluded"),"",IF(COUNTIFS($U$5:$U$3004,U2456,$V$5:$V$3004,"&lt;&gt;"&amp;V2456,$V$5:$V$3004,"&lt;&gt;",$V$5:$V$3004,"&lt;&gt;Excluded")&gt;0,"LEAK RISK","OK"))</f>
        <v/>
      </c>
      <c r="Z2456" s="30" t="n"/>
    </row>
    <row r="2457">
      <c r="A2457" s="30" t="n"/>
      <c r="B2457" s="30" t="n"/>
      <c r="C2457" s="30" t="n"/>
      <c r="D2457" s="30" t="n"/>
      <c r="E2457" s="30" t="n"/>
      <c r="F2457" s="30" t="n"/>
      <c r="G2457" s="30" t="n"/>
      <c r="H2457" s="30" t="n"/>
      <c r="I2457" s="31" t="n"/>
      <c r="J2457" s="30" t="n"/>
      <c r="K2457" s="30" t="n"/>
      <c r="L2457" s="30" t="n"/>
      <c r="M2457" s="30" t="n"/>
      <c r="N2457" s="32" t="n"/>
      <c r="O2457" s="30" t="n"/>
      <c r="P2457" s="32" t="n"/>
      <c r="Q2457" s="30" t="n"/>
      <c r="R2457" s="32" t="n"/>
      <c r="S2457" s="30" t="n"/>
      <c r="T2457" s="30" t="n"/>
      <c r="U2457" s="30" t="n"/>
      <c r="V2457" s="30" t="n"/>
      <c r="W2457" s="29">
        <f>IF(H2457="","",IF(H2457="Kenya","Yes","No"))</f>
        <v/>
      </c>
      <c r="X2457" s="29">
        <f>IF(B2457="","",IF(COUNTIF($B$5:$B$3004,B2457)&gt;1,"DUPLICATE","OK"))</f>
        <v/>
      </c>
      <c r="Y2457" s="29">
        <f>IF(OR(U2457="",V2457="",V2457="Excluded"),"",IF(COUNTIFS($U$5:$U$3004,U2457,$V$5:$V$3004,"&lt;&gt;"&amp;V2457,$V$5:$V$3004,"&lt;&gt;",$V$5:$V$3004,"&lt;&gt;Excluded")&gt;0,"LEAK RISK","OK"))</f>
        <v/>
      </c>
      <c r="Z2457" s="30" t="n"/>
    </row>
    <row r="2458">
      <c r="A2458" s="30" t="n"/>
      <c r="B2458" s="30" t="n"/>
      <c r="C2458" s="30" t="n"/>
      <c r="D2458" s="30" t="n"/>
      <c r="E2458" s="30" t="n"/>
      <c r="F2458" s="30" t="n"/>
      <c r="G2458" s="30" t="n"/>
      <c r="H2458" s="30" t="n"/>
      <c r="I2458" s="31" t="n"/>
      <c r="J2458" s="30" t="n"/>
      <c r="K2458" s="30" t="n"/>
      <c r="L2458" s="30" t="n"/>
      <c r="M2458" s="30" t="n"/>
      <c r="N2458" s="32" t="n"/>
      <c r="O2458" s="30" t="n"/>
      <c r="P2458" s="32" t="n"/>
      <c r="Q2458" s="30" t="n"/>
      <c r="R2458" s="32" t="n"/>
      <c r="S2458" s="30" t="n"/>
      <c r="T2458" s="30" t="n"/>
      <c r="U2458" s="30" t="n"/>
      <c r="V2458" s="30" t="n"/>
      <c r="W2458" s="29">
        <f>IF(H2458="","",IF(H2458="Kenya","Yes","No"))</f>
        <v/>
      </c>
      <c r="X2458" s="29">
        <f>IF(B2458="","",IF(COUNTIF($B$5:$B$3004,B2458)&gt;1,"DUPLICATE","OK"))</f>
        <v/>
      </c>
      <c r="Y2458" s="29">
        <f>IF(OR(U2458="",V2458="",V2458="Excluded"),"",IF(COUNTIFS($U$5:$U$3004,U2458,$V$5:$V$3004,"&lt;&gt;"&amp;V2458,$V$5:$V$3004,"&lt;&gt;",$V$5:$V$3004,"&lt;&gt;Excluded")&gt;0,"LEAK RISK","OK"))</f>
        <v/>
      </c>
      <c r="Z2458" s="30" t="n"/>
    </row>
    <row r="2459">
      <c r="A2459" s="30" t="n"/>
      <c r="B2459" s="30" t="n"/>
      <c r="C2459" s="30" t="n"/>
      <c r="D2459" s="30" t="n"/>
      <c r="E2459" s="30" t="n"/>
      <c r="F2459" s="30" t="n"/>
      <c r="G2459" s="30" t="n"/>
      <c r="H2459" s="30" t="n"/>
      <c r="I2459" s="31" t="n"/>
      <c r="J2459" s="30" t="n"/>
      <c r="K2459" s="30" t="n"/>
      <c r="L2459" s="30" t="n"/>
      <c r="M2459" s="30" t="n"/>
      <c r="N2459" s="32" t="n"/>
      <c r="O2459" s="30" t="n"/>
      <c r="P2459" s="32" t="n"/>
      <c r="Q2459" s="30" t="n"/>
      <c r="R2459" s="32" t="n"/>
      <c r="S2459" s="30" t="n"/>
      <c r="T2459" s="30" t="n"/>
      <c r="U2459" s="30" t="n"/>
      <c r="V2459" s="30" t="n"/>
      <c r="W2459" s="29">
        <f>IF(H2459="","",IF(H2459="Kenya","Yes","No"))</f>
        <v/>
      </c>
      <c r="X2459" s="29">
        <f>IF(B2459="","",IF(COUNTIF($B$5:$B$3004,B2459)&gt;1,"DUPLICATE","OK"))</f>
        <v/>
      </c>
      <c r="Y2459" s="29">
        <f>IF(OR(U2459="",V2459="",V2459="Excluded"),"",IF(COUNTIFS($U$5:$U$3004,U2459,$V$5:$V$3004,"&lt;&gt;"&amp;V2459,$V$5:$V$3004,"&lt;&gt;",$V$5:$V$3004,"&lt;&gt;Excluded")&gt;0,"LEAK RISK","OK"))</f>
        <v/>
      </c>
      <c r="Z2459" s="30" t="n"/>
    </row>
    <row r="2460">
      <c r="A2460" s="30" t="n"/>
      <c r="B2460" s="30" t="n"/>
      <c r="C2460" s="30" t="n"/>
      <c r="D2460" s="30" t="n"/>
      <c r="E2460" s="30" t="n"/>
      <c r="F2460" s="30" t="n"/>
      <c r="G2460" s="30" t="n"/>
      <c r="H2460" s="30" t="n"/>
      <c r="I2460" s="31" t="n"/>
      <c r="J2460" s="30" t="n"/>
      <c r="K2460" s="30" t="n"/>
      <c r="L2460" s="30" t="n"/>
      <c r="M2460" s="30" t="n"/>
      <c r="N2460" s="32" t="n"/>
      <c r="O2460" s="30" t="n"/>
      <c r="P2460" s="32" t="n"/>
      <c r="Q2460" s="30" t="n"/>
      <c r="R2460" s="32" t="n"/>
      <c r="S2460" s="30" t="n"/>
      <c r="T2460" s="30" t="n"/>
      <c r="U2460" s="30" t="n"/>
      <c r="V2460" s="30" t="n"/>
      <c r="W2460" s="29">
        <f>IF(H2460="","",IF(H2460="Kenya","Yes","No"))</f>
        <v/>
      </c>
      <c r="X2460" s="29">
        <f>IF(B2460="","",IF(COUNTIF($B$5:$B$3004,B2460)&gt;1,"DUPLICATE","OK"))</f>
        <v/>
      </c>
      <c r="Y2460" s="29">
        <f>IF(OR(U2460="",V2460="",V2460="Excluded"),"",IF(COUNTIFS($U$5:$U$3004,U2460,$V$5:$V$3004,"&lt;&gt;"&amp;V2460,$V$5:$V$3004,"&lt;&gt;",$V$5:$V$3004,"&lt;&gt;Excluded")&gt;0,"LEAK RISK","OK"))</f>
        <v/>
      </c>
      <c r="Z2460" s="30" t="n"/>
    </row>
    <row r="2461">
      <c r="A2461" s="30" t="n"/>
      <c r="B2461" s="30" t="n"/>
      <c r="C2461" s="30" t="n"/>
      <c r="D2461" s="30" t="n"/>
      <c r="E2461" s="30" t="n"/>
      <c r="F2461" s="30" t="n"/>
      <c r="G2461" s="30" t="n"/>
      <c r="H2461" s="30" t="n"/>
      <c r="I2461" s="31" t="n"/>
      <c r="J2461" s="30" t="n"/>
      <c r="K2461" s="30" t="n"/>
      <c r="L2461" s="30" t="n"/>
      <c r="M2461" s="30" t="n"/>
      <c r="N2461" s="32" t="n"/>
      <c r="O2461" s="30" t="n"/>
      <c r="P2461" s="32" t="n"/>
      <c r="Q2461" s="30" t="n"/>
      <c r="R2461" s="32" t="n"/>
      <c r="S2461" s="30" t="n"/>
      <c r="T2461" s="30" t="n"/>
      <c r="U2461" s="30" t="n"/>
      <c r="V2461" s="30" t="n"/>
      <c r="W2461" s="29">
        <f>IF(H2461="","",IF(H2461="Kenya","Yes","No"))</f>
        <v/>
      </c>
      <c r="X2461" s="29">
        <f>IF(B2461="","",IF(COUNTIF($B$5:$B$3004,B2461)&gt;1,"DUPLICATE","OK"))</f>
        <v/>
      </c>
      <c r="Y2461" s="29">
        <f>IF(OR(U2461="",V2461="",V2461="Excluded"),"",IF(COUNTIFS($U$5:$U$3004,U2461,$V$5:$V$3004,"&lt;&gt;"&amp;V2461,$V$5:$V$3004,"&lt;&gt;",$V$5:$V$3004,"&lt;&gt;Excluded")&gt;0,"LEAK RISK","OK"))</f>
        <v/>
      </c>
      <c r="Z2461" s="30" t="n"/>
    </row>
    <row r="2462">
      <c r="A2462" s="30" t="n"/>
      <c r="B2462" s="30" t="n"/>
      <c r="C2462" s="30" t="n"/>
      <c r="D2462" s="30" t="n"/>
      <c r="E2462" s="30" t="n"/>
      <c r="F2462" s="30" t="n"/>
      <c r="G2462" s="30" t="n"/>
      <c r="H2462" s="30" t="n"/>
      <c r="I2462" s="31" t="n"/>
      <c r="J2462" s="30" t="n"/>
      <c r="K2462" s="30" t="n"/>
      <c r="L2462" s="30" t="n"/>
      <c r="M2462" s="30" t="n"/>
      <c r="N2462" s="32" t="n"/>
      <c r="O2462" s="30" t="n"/>
      <c r="P2462" s="32" t="n"/>
      <c r="Q2462" s="30" t="n"/>
      <c r="R2462" s="32" t="n"/>
      <c r="S2462" s="30" t="n"/>
      <c r="T2462" s="30" t="n"/>
      <c r="U2462" s="30" t="n"/>
      <c r="V2462" s="30" t="n"/>
      <c r="W2462" s="29">
        <f>IF(H2462="","",IF(H2462="Kenya","Yes","No"))</f>
        <v/>
      </c>
      <c r="X2462" s="29">
        <f>IF(B2462="","",IF(COUNTIF($B$5:$B$3004,B2462)&gt;1,"DUPLICATE","OK"))</f>
        <v/>
      </c>
      <c r="Y2462" s="29">
        <f>IF(OR(U2462="",V2462="",V2462="Excluded"),"",IF(COUNTIFS($U$5:$U$3004,U2462,$V$5:$V$3004,"&lt;&gt;"&amp;V2462,$V$5:$V$3004,"&lt;&gt;",$V$5:$V$3004,"&lt;&gt;Excluded")&gt;0,"LEAK RISK","OK"))</f>
        <v/>
      </c>
      <c r="Z2462" s="30" t="n"/>
    </row>
    <row r="2463">
      <c r="A2463" s="30" t="n"/>
      <c r="B2463" s="30" t="n"/>
      <c r="C2463" s="30" t="n"/>
      <c r="D2463" s="30" t="n"/>
      <c r="E2463" s="30" t="n"/>
      <c r="F2463" s="30" t="n"/>
      <c r="G2463" s="30" t="n"/>
      <c r="H2463" s="30" t="n"/>
      <c r="I2463" s="31" t="n"/>
      <c r="J2463" s="30" t="n"/>
      <c r="K2463" s="30" t="n"/>
      <c r="L2463" s="30" t="n"/>
      <c r="M2463" s="30" t="n"/>
      <c r="N2463" s="32" t="n"/>
      <c r="O2463" s="30" t="n"/>
      <c r="P2463" s="32" t="n"/>
      <c r="Q2463" s="30" t="n"/>
      <c r="R2463" s="32" t="n"/>
      <c r="S2463" s="30" t="n"/>
      <c r="T2463" s="30" t="n"/>
      <c r="U2463" s="30" t="n"/>
      <c r="V2463" s="30" t="n"/>
      <c r="W2463" s="29">
        <f>IF(H2463="","",IF(H2463="Kenya","Yes","No"))</f>
        <v/>
      </c>
      <c r="X2463" s="29">
        <f>IF(B2463="","",IF(COUNTIF($B$5:$B$3004,B2463)&gt;1,"DUPLICATE","OK"))</f>
        <v/>
      </c>
      <c r="Y2463" s="29">
        <f>IF(OR(U2463="",V2463="",V2463="Excluded"),"",IF(COUNTIFS($U$5:$U$3004,U2463,$V$5:$V$3004,"&lt;&gt;"&amp;V2463,$V$5:$V$3004,"&lt;&gt;",$V$5:$V$3004,"&lt;&gt;Excluded")&gt;0,"LEAK RISK","OK"))</f>
        <v/>
      </c>
      <c r="Z2463" s="30" t="n"/>
    </row>
    <row r="2464">
      <c r="A2464" s="30" t="n"/>
      <c r="B2464" s="30" t="n"/>
      <c r="C2464" s="30" t="n"/>
      <c r="D2464" s="30" t="n"/>
      <c r="E2464" s="30" t="n"/>
      <c r="F2464" s="30" t="n"/>
      <c r="G2464" s="30" t="n"/>
      <c r="H2464" s="30" t="n"/>
      <c r="I2464" s="31" t="n"/>
      <c r="J2464" s="30" t="n"/>
      <c r="K2464" s="30" t="n"/>
      <c r="L2464" s="30" t="n"/>
      <c r="M2464" s="30" t="n"/>
      <c r="N2464" s="32" t="n"/>
      <c r="O2464" s="30" t="n"/>
      <c r="P2464" s="32" t="n"/>
      <c r="Q2464" s="30" t="n"/>
      <c r="R2464" s="32" t="n"/>
      <c r="S2464" s="30" t="n"/>
      <c r="T2464" s="30" t="n"/>
      <c r="U2464" s="30" t="n"/>
      <c r="V2464" s="30" t="n"/>
      <c r="W2464" s="29">
        <f>IF(H2464="","",IF(H2464="Kenya","Yes","No"))</f>
        <v/>
      </c>
      <c r="X2464" s="29">
        <f>IF(B2464="","",IF(COUNTIF($B$5:$B$3004,B2464)&gt;1,"DUPLICATE","OK"))</f>
        <v/>
      </c>
      <c r="Y2464" s="29">
        <f>IF(OR(U2464="",V2464="",V2464="Excluded"),"",IF(COUNTIFS($U$5:$U$3004,U2464,$V$5:$V$3004,"&lt;&gt;"&amp;V2464,$V$5:$V$3004,"&lt;&gt;",$V$5:$V$3004,"&lt;&gt;Excluded")&gt;0,"LEAK RISK","OK"))</f>
        <v/>
      </c>
      <c r="Z2464" s="30" t="n"/>
    </row>
    <row r="2465">
      <c r="A2465" s="30" t="n"/>
      <c r="B2465" s="30" t="n"/>
      <c r="C2465" s="30" t="n"/>
      <c r="D2465" s="30" t="n"/>
      <c r="E2465" s="30" t="n"/>
      <c r="F2465" s="30" t="n"/>
      <c r="G2465" s="30" t="n"/>
      <c r="H2465" s="30" t="n"/>
      <c r="I2465" s="31" t="n"/>
      <c r="J2465" s="30" t="n"/>
      <c r="K2465" s="30" t="n"/>
      <c r="L2465" s="30" t="n"/>
      <c r="M2465" s="30" t="n"/>
      <c r="N2465" s="32" t="n"/>
      <c r="O2465" s="30" t="n"/>
      <c r="P2465" s="32" t="n"/>
      <c r="Q2465" s="30" t="n"/>
      <c r="R2465" s="32" t="n"/>
      <c r="S2465" s="30" t="n"/>
      <c r="T2465" s="30" t="n"/>
      <c r="U2465" s="30" t="n"/>
      <c r="V2465" s="30" t="n"/>
      <c r="W2465" s="29">
        <f>IF(H2465="","",IF(H2465="Kenya","Yes","No"))</f>
        <v/>
      </c>
      <c r="X2465" s="29">
        <f>IF(B2465="","",IF(COUNTIF($B$5:$B$3004,B2465)&gt;1,"DUPLICATE","OK"))</f>
        <v/>
      </c>
      <c r="Y2465" s="29">
        <f>IF(OR(U2465="",V2465="",V2465="Excluded"),"",IF(COUNTIFS($U$5:$U$3004,U2465,$V$5:$V$3004,"&lt;&gt;"&amp;V2465,$V$5:$V$3004,"&lt;&gt;",$V$5:$V$3004,"&lt;&gt;Excluded")&gt;0,"LEAK RISK","OK"))</f>
        <v/>
      </c>
      <c r="Z2465" s="30" t="n"/>
    </row>
    <row r="2466">
      <c r="A2466" s="30" t="n"/>
      <c r="B2466" s="30" t="n"/>
      <c r="C2466" s="30" t="n"/>
      <c r="D2466" s="30" t="n"/>
      <c r="E2466" s="30" t="n"/>
      <c r="F2466" s="30" t="n"/>
      <c r="G2466" s="30" t="n"/>
      <c r="H2466" s="30" t="n"/>
      <c r="I2466" s="31" t="n"/>
      <c r="J2466" s="30" t="n"/>
      <c r="K2466" s="30" t="n"/>
      <c r="L2466" s="30" t="n"/>
      <c r="M2466" s="30" t="n"/>
      <c r="N2466" s="32" t="n"/>
      <c r="O2466" s="30" t="n"/>
      <c r="P2466" s="32" t="n"/>
      <c r="Q2466" s="30" t="n"/>
      <c r="R2466" s="32" t="n"/>
      <c r="S2466" s="30" t="n"/>
      <c r="T2466" s="30" t="n"/>
      <c r="U2466" s="30" t="n"/>
      <c r="V2466" s="30" t="n"/>
      <c r="W2466" s="29">
        <f>IF(H2466="","",IF(H2466="Kenya","Yes","No"))</f>
        <v/>
      </c>
      <c r="X2466" s="29">
        <f>IF(B2466="","",IF(COUNTIF($B$5:$B$3004,B2466)&gt;1,"DUPLICATE","OK"))</f>
        <v/>
      </c>
      <c r="Y2466" s="29">
        <f>IF(OR(U2466="",V2466="",V2466="Excluded"),"",IF(COUNTIFS($U$5:$U$3004,U2466,$V$5:$V$3004,"&lt;&gt;"&amp;V2466,$V$5:$V$3004,"&lt;&gt;",$V$5:$V$3004,"&lt;&gt;Excluded")&gt;0,"LEAK RISK","OK"))</f>
        <v/>
      </c>
      <c r="Z2466" s="30" t="n"/>
    </row>
    <row r="2467">
      <c r="A2467" s="30" t="n"/>
      <c r="B2467" s="30" t="n"/>
      <c r="C2467" s="30" t="n"/>
      <c r="D2467" s="30" t="n"/>
      <c r="E2467" s="30" t="n"/>
      <c r="F2467" s="30" t="n"/>
      <c r="G2467" s="30" t="n"/>
      <c r="H2467" s="30" t="n"/>
      <c r="I2467" s="31" t="n"/>
      <c r="J2467" s="30" t="n"/>
      <c r="K2467" s="30" t="n"/>
      <c r="L2467" s="30" t="n"/>
      <c r="M2467" s="30" t="n"/>
      <c r="N2467" s="32" t="n"/>
      <c r="O2467" s="30" t="n"/>
      <c r="P2467" s="32" t="n"/>
      <c r="Q2467" s="30" t="n"/>
      <c r="R2467" s="32" t="n"/>
      <c r="S2467" s="30" t="n"/>
      <c r="T2467" s="30" t="n"/>
      <c r="U2467" s="30" t="n"/>
      <c r="V2467" s="30" t="n"/>
      <c r="W2467" s="29">
        <f>IF(H2467="","",IF(H2467="Kenya","Yes","No"))</f>
        <v/>
      </c>
      <c r="X2467" s="29">
        <f>IF(B2467="","",IF(COUNTIF($B$5:$B$3004,B2467)&gt;1,"DUPLICATE","OK"))</f>
        <v/>
      </c>
      <c r="Y2467" s="29">
        <f>IF(OR(U2467="",V2467="",V2467="Excluded"),"",IF(COUNTIFS($U$5:$U$3004,U2467,$V$5:$V$3004,"&lt;&gt;"&amp;V2467,$V$5:$V$3004,"&lt;&gt;",$V$5:$V$3004,"&lt;&gt;Excluded")&gt;0,"LEAK RISK","OK"))</f>
        <v/>
      </c>
      <c r="Z2467" s="30" t="n"/>
    </row>
    <row r="2468">
      <c r="A2468" s="30" t="n"/>
      <c r="B2468" s="30" t="n"/>
      <c r="C2468" s="30" t="n"/>
      <c r="D2468" s="30" t="n"/>
      <c r="E2468" s="30" t="n"/>
      <c r="F2468" s="30" t="n"/>
      <c r="G2468" s="30" t="n"/>
      <c r="H2468" s="30" t="n"/>
      <c r="I2468" s="31" t="n"/>
      <c r="J2468" s="30" t="n"/>
      <c r="K2468" s="30" t="n"/>
      <c r="L2468" s="30" t="n"/>
      <c r="M2468" s="30" t="n"/>
      <c r="N2468" s="32" t="n"/>
      <c r="O2468" s="30" t="n"/>
      <c r="P2468" s="32" t="n"/>
      <c r="Q2468" s="30" t="n"/>
      <c r="R2468" s="32" t="n"/>
      <c r="S2468" s="30" t="n"/>
      <c r="T2468" s="30" t="n"/>
      <c r="U2468" s="30" t="n"/>
      <c r="V2468" s="30" t="n"/>
      <c r="W2468" s="29">
        <f>IF(H2468="","",IF(H2468="Kenya","Yes","No"))</f>
        <v/>
      </c>
      <c r="X2468" s="29">
        <f>IF(B2468="","",IF(COUNTIF($B$5:$B$3004,B2468)&gt;1,"DUPLICATE","OK"))</f>
        <v/>
      </c>
      <c r="Y2468" s="29">
        <f>IF(OR(U2468="",V2468="",V2468="Excluded"),"",IF(COUNTIFS($U$5:$U$3004,U2468,$V$5:$V$3004,"&lt;&gt;"&amp;V2468,$V$5:$V$3004,"&lt;&gt;",$V$5:$V$3004,"&lt;&gt;Excluded")&gt;0,"LEAK RISK","OK"))</f>
        <v/>
      </c>
      <c r="Z2468" s="30" t="n"/>
    </row>
    <row r="2469">
      <c r="A2469" s="30" t="n"/>
      <c r="B2469" s="30" t="n"/>
      <c r="C2469" s="30" t="n"/>
      <c r="D2469" s="30" t="n"/>
      <c r="E2469" s="30" t="n"/>
      <c r="F2469" s="30" t="n"/>
      <c r="G2469" s="30" t="n"/>
      <c r="H2469" s="30" t="n"/>
      <c r="I2469" s="31" t="n"/>
      <c r="J2469" s="30" t="n"/>
      <c r="K2469" s="30" t="n"/>
      <c r="L2469" s="30" t="n"/>
      <c r="M2469" s="30" t="n"/>
      <c r="N2469" s="32" t="n"/>
      <c r="O2469" s="30" t="n"/>
      <c r="P2469" s="32" t="n"/>
      <c r="Q2469" s="30" t="n"/>
      <c r="R2469" s="32" t="n"/>
      <c r="S2469" s="30" t="n"/>
      <c r="T2469" s="30" t="n"/>
      <c r="U2469" s="30" t="n"/>
      <c r="V2469" s="30" t="n"/>
      <c r="W2469" s="29">
        <f>IF(H2469="","",IF(H2469="Kenya","Yes","No"))</f>
        <v/>
      </c>
      <c r="X2469" s="29">
        <f>IF(B2469="","",IF(COUNTIF($B$5:$B$3004,B2469)&gt;1,"DUPLICATE","OK"))</f>
        <v/>
      </c>
      <c r="Y2469" s="29">
        <f>IF(OR(U2469="",V2469="",V2469="Excluded"),"",IF(COUNTIFS($U$5:$U$3004,U2469,$V$5:$V$3004,"&lt;&gt;"&amp;V2469,$V$5:$V$3004,"&lt;&gt;",$V$5:$V$3004,"&lt;&gt;Excluded")&gt;0,"LEAK RISK","OK"))</f>
        <v/>
      </c>
      <c r="Z2469" s="30" t="n"/>
    </row>
    <row r="2470">
      <c r="A2470" s="30" t="n"/>
      <c r="B2470" s="30" t="n"/>
      <c r="C2470" s="30" t="n"/>
      <c r="D2470" s="30" t="n"/>
      <c r="E2470" s="30" t="n"/>
      <c r="F2470" s="30" t="n"/>
      <c r="G2470" s="30" t="n"/>
      <c r="H2470" s="30" t="n"/>
      <c r="I2470" s="31" t="n"/>
      <c r="J2470" s="30" t="n"/>
      <c r="K2470" s="30" t="n"/>
      <c r="L2470" s="30" t="n"/>
      <c r="M2470" s="30" t="n"/>
      <c r="N2470" s="32" t="n"/>
      <c r="O2470" s="30" t="n"/>
      <c r="P2470" s="32" t="n"/>
      <c r="Q2470" s="30" t="n"/>
      <c r="R2470" s="32" t="n"/>
      <c r="S2470" s="30" t="n"/>
      <c r="T2470" s="30" t="n"/>
      <c r="U2470" s="30" t="n"/>
      <c r="V2470" s="30" t="n"/>
      <c r="W2470" s="29">
        <f>IF(H2470="","",IF(H2470="Kenya","Yes","No"))</f>
        <v/>
      </c>
      <c r="X2470" s="29">
        <f>IF(B2470="","",IF(COUNTIF($B$5:$B$3004,B2470)&gt;1,"DUPLICATE","OK"))</f>
        <v/>
      </c>
      <c r="Y2470" s="29">
        <f>IF(OR(U2470="",V2470="",V2470="Excluded"),"",IF(COUNTIFS($U$5:$U$3004,U2470,$V$5:$V$3004,"&lt;&gt;"&amp;V2470,$V$5:$V$3004,"&lt;&gt;",$V$5:$V$3004,"&lt;&gt;Excluded")&gt;0,"LEAK RISK","OK"))</f>
        <v/>
      </c>
      <c r="Z2470" s="30" t="n"/>
    </row>
    <row r="2471">
      <c r="A2471" s="30" t="n"/>
      <c r="B2471" s="30" t="n"/>
      <c r="C2471" s="30" t="n"/>
      <c r="D2471" s="30" t="n"/>
      <c r="E2471" s="30" t="n"/>
      <c r="F2471" s="30" t="n"/>
      <c r="G2471" s="30" t="n"/>
      <c r="H2471" s="30" t="n"/>
      <c r="I2471" s="31" t="n"/>
      <c r="J2471" s="30" t="n"/>
      <c r="K2471" s="30" t="n"/>
      <c r="L2471" s="30" t="n"/>
      <c r="M2471" s="30" t="n"/>
      <c r="N2471" s="32" t="n"/>
      <c r="O2471" s="30" t="n"/>
      <c r="P2471" s="32" t="n"/>
      <c r="Q2471" s="30" t="n"/>
      <c r="R2471" s="32" t="n"/>
      <c r="S2471" s="30" t="n"/>
      <c r="T2471" s="30" t="n"/>
      <c r="U2471" s="30" t="n"/>
      <c r="V2471" s="30" t="n"/>
      <c r="W2471" s="29">
        <f>IF(H2471="","",IF(H2471="Kenya","Yes","No"))</f>
        <v/>
      </c>
      <c r="X2471" s="29">
        <f>IF(B2471="","",IF(COUNTIF($B$5:$B$3004,B2471)&gt;1,"DUPLICATE","OK"))</f>
        <v/>
      </c>
      <c r="Y2471" s="29">
        <f>IF(OR(U2471="",V2471="",V2471="Excluded"),"",IF(COUNTIFS($U$5:$U$3004,U2471,$V$5:$V$3004,"&lt;&gt;"&amp;V2471,$V$5:$V$3004,"&lt;&gt;",$V$5:$V$3004,"&lt;&gt;Excluded")&gt;0,"LEAK RISK","OK"))</f>
        <v/>
      </c>
      <c r="Z2471" s="30" t="n"/>
    </row>
    <row r="2472">
      <c r="A2472" s="30" t="n"/>
      <c r="B2472" s="30" t="n"/>
      <c r="C2472" s="30" t="n"/>
      <c r="D2472" s="30" t="n"/>
      <c r="E2472" s="30" t="n"/>
      <c r="F2472" s="30" t="n"/>
      <c r="G2472" s="30" t="n"/>
      <c r="H2472" s="30" t="n"/>
      <c r="I2472" s="31" t="n"/>
      <c r="J2472" s="30" t="n"/>
      <c r="K2472" s="30" t="n"/>
      <c r="L2472" s="30" t="n"/>
      <c r="M2472" s="30" t="n"/>
      <c r="N2472" s="32" t="n"/>
      <c r="O2472" s="30" t="n"/>
      <c r="P2472" s="32" t="n"/>
      <c r="Q2472" s="30" t="n"/>
      <c r="R2472" s="32" t="n"/>
      <c r="S2472" s="30" t="n"/>
      <c r="T2472" s="30" t="n"/>
      <c r="U2472" s="30" t="n"/>
      <c r="V2472" s="30" t="n"/>
      <c r="W2472" s="29">
        <f>IF(H2472="","",IF(H2472="Kenya","Yes","No"))</f>
        <v/>
      </c>
      <c r="X2472" s="29">
        <f>IF(B2472="","",IF(COUNTIF($B$5:$B$3004,B2472)&gt;1,"DUPLICATE","OK"))</f>
        <v/>
      </c>
      <c r="Y2472" s="29">
        <f>IF(OR(U2472="",V2472="",V2472="Excluded"),"",IF(COUNTIFS($U$5:$U$3004,U2472,$V$5:$V$3004,"&lt;&gt;"&amp;V2472,$V$5:$V$3004,"&lt;&gt;",$V$5:$V$3004,"&lt;&gt;Excluded")&gt;0,"LEAK RISK","OK"))</f>
        <v/>
      </c>
      <c r="Z2472" s="30" t="n"/>
    </row>
    <row r="2473">
      <c r="A2473" s="30" t="n"/>
      <c r="B2473" s="30" t="n"/>
      <c r="C2473" s="30" t="n"/>
      <c r="D2473" s="30" t="n"/>
      <c r="E2473" s="30" t="n"/>
      <c r="F2473" s="30" t="n"/>
      <c r="G2473" s="30" t="n"/>
      <c r="H2473" s="30" t="n"/>
      <c r="I2473" s="31" t="n"/>
      <c r="J2473" s="30" t="n"/>
      <c r="K2473" s="30" t="n"/>
      <c r="L2473" s="30" t="n"/>
      <c r="M2473" s="30" t="n"/>
      <c r="N2473" s="32" t="n"/>
      <c r="O2473" s="30" t="n"/>
      <c r="P2473" s="32" t="n"/>
      <c r="Q2473" s="30" t="n"/>
      <c r="R2473" s="32" t="n"/>
      <c r="S2473" s="30" t="n"/>
      <c r="T2473" s="30" t="n"/>
      <c r="U2473" s="30" t="n"/>
      <c r="V2473" s="30" t="n"/>
      <c r="W2473" s="29">
        <f>IF(H2473="","",IF(H2473="Kenya","Yes","No"))</f>
        <v/>
      </c>
      <c r="X2473" s="29">
        <f>IF(B2473="","",IF(COUNTIF($B$5:$B$3004,B2473)&gt;1,"DUPLICATE","OK"))</f>
        <v/>
      </c>
      <c r="Y2473" s="29">
        <f>IF(OR(U2473="",V2473="",V2473="Excluded"),"",IF(COUNTIFS($U$5:$U$3004,U2473,$V$5:$V$3004,"&lt;&gt;"&amp;V2473,$V$5:$V$3004,"&lt;&gt;",$V$5:$V$3004,"&lt;&gt;Excluded")&gt;0,"LEAK RISK","OK"))</f>
        <v/>
      </c>
      <c r="Z2473" s="30" t="n"/>
    </row>
    <row r="2474">
      <c r="A2474" s="30" t="n"/>
      <c r="B2474" s="30" t="n"/>
      <c r="C2474" s="30" t="n"/>
      <c r="D2474" s="30" t="n"/>
      <c r="E2474" s="30" t="n"/>
      <c r="F2474" s="30" t="n"/>
      <c r="G2474" s="30" t="n"/>
      <c r="H2474" s="30" t="n"/>
      <c r="I2474" s="31" t="n"/>
      <c r="J2474" s="30" t="n"/>
      <c r="K2474" s="30" t="n"/>
      <c r="L2474" s="30" t="n"/>
      <c r="M2474" s="30" t="n"/>
      <c r="N2474" s="32" t="n"/>
      <c r="O2474" s="30" t="n"/>
      <c r="P2474" s="32" t="n"/>
      <c r="Q2474" s="30" t="n"/>
      <c r="R2474" s="32" t="n"/>
      <c r="S2474" s="30" t="n"/>
      <c r="T2474" s="30" t="n"/>
      <c r="U2474" s="30" t="n"/>
      <c r="V2474" s="30" t="n"/>
      <c r="W2474" s="29">
        <f>IF(H2474="","",IF(H2474="Kenya","Yes","No"))</f>
        <v/>
      </c>
      <c r="X2474" s="29">
        <f>IF(B2474="","",IF(COUNTIF($B$5:$B$3004,B2474)&gt;1,"DUPLICATE","OK"))</f>
        <v/>
      </c>
      <c r="Y2474" s="29">
        <f>IF(OR(U2474="",V2474="",V2474="Excluded"),"",IF(COUNTIFS($U$5:$U$3004,U2474,$V$5:$V$3004,"&lt;&gt;"&amp;V2474,$V$5:$V$3004,"&lt;&gt;",$V$5:$V$3004,"&lt;&gt;Excluded")&gt;0,"LEAK RISK","OK"))</f>
        <v/>
      </c>
      <c r="Z2474" s="30" t="n"/>
    </row>
    <row r="2475">
      <c r="A2475" s="30" t="n"/>
      <c r="B2475" s="30" t="n"/>
      <c r="C2475" s="30" t="n"/>
      <c r="D2475" s="30" t="n"/>
      <c r="E2475" s="30" t="n"/>
      <c r="F2475" s="30" t="n"/>
      <c r="G2475" s="30" t="n"/>
      <c r="H2475" s="30" t="n"/>
      <c r="I2475" s="31" t="n"/>
      <c r="J2475" s="30" t="n"/>
      <c r="K2475" s="30" t="n"/>
      <c r="L2475" s="30" t="n"/>
      <c r="M2475" s="30" t="n"/>
      <c r="N2475" s="32" t="n"/>
      <c r="O2475" s="30" t="n"/>
      <c r="P2475" s="32" t="n"/>
      <c r="Q2475" s="30" t="n"/>
      <c r="R2475" s="32" t="n"/>
      <c r="S2475" s="30" t="n"/>
      <c r="T2475" s="30" t="n"/>
      <c r="U2475" s="30" t="n"/>
      <c r="V2475" s="30" t="n"/>
      <c r="W2475" s="29">
        <f>IF(H2475="","",IF(H2475="Kenya","Yes","No"))</f>
        <v/>
      </c>
      <c r="X2475" s="29">
        <f>IF(B2475="","",IF(COUNTIF($B$5:$B$3004,B2475)&gt;1,"DUPLICATE","OK"))</f>
        <v/>
      </c>
      <c r="Y2475" s="29">
        <f>IF(OR(U2475="",V2475="",V2475="Excluded"),"",IF(COUNTIFS($U$5:$U$3004,U2475,$V$5:$V$3004,"&lt;&gt;"&amp;V2475,$V$5:$V$3004,"&lt;&gt;",$V$5:$V$3004,"&lt;&gt;Excluded")&gt;0,"LEAK RISK","OK"))</f>
        <v/>
      </c>
      <c r="Z2475" s="30" t="n"/>
    </row>
    <row r="2476">
      <c r="A2476" s="30" t="n"/>
      <c r="B2476" s="30" t="n"/>
      <c r="C2476" s="30" t="n"/>
      <c r="D2476" s="30" t="n"/>
      <c r="E2476" s="30" t="n"/>
      <c r="F2476" s="30" t="n"/>
      <c r="G2476" s="30" t="n"/>
      <c r="H2476" s="30" t="n"/>
      <c r="I2476" s="31" t="n"/>
      <c r="J2476" s="30" t="n"/>
      <c r="K2476" s="30" t="n"/>
      <c r="L2476" s="30" t="n"/>
      <c r="M2476" s="30" t="n"/>
      <c r="N2476" s="32" t="n"/>
      <c r="O2476" s="30" t="n"/>
      <c r="P2476" s="32" t="n"/>
      <c r="Q2476" s="30" t="n"/>
      <c r="R2476" s="32" t="n"/>
      <c r="S2476" s="30" t="n"/>
      <c r="T2476" s="30" t="n"/>
      <c r="U2476" s="30" t="n"/>
      <c r="V2476" s="30" t="n"/>
      <c r="W2476" s="29">
        <f>IF(H2476="","",IF(H2476="Kenya","Yes","No"))</f>
        <v/>
      </c>
      <c r="X2476" s="29">
        <f>IF(B2476="","",IF(COUNTIF($B$5:$B$3004,B2476)&gt;1,"DUPLICATE","OK"))</f>
        <v/>
      </c>
      <c r="Y2476" s="29">
        <f>IF(OR(U2476="",V2476="",V2476="Excluded"),"",IF(COUNTIFS($U$5:$U$3004,U2476,$V$5:$V$3004,"&lt;&gt;"&amp;V2476,$V$5:$V$3004,"&lt;&gt;",$V$5:$V$3004,"&lt;&gt;Excluded")&gt;0,"LEAK RISK","OK"))</f>
        <v/>
      </c>
      <c r="Z2476" s="30" t="n"/>
    </row>
    <row r="2477">
      <c r="A2477" s="30" t="n"/>
      <c r="B2477" s="30" t="n"/>
      <c r="C2477" s="30" t="n"/>
      <c r="D2477" s="30" t="n"/>
      <c r="E2477" s="30" t="n"/>
      <c r="F2477" s="30" t="n"/>
      <c r="G2477" s="30" t="n"/>
      <c r="H2477" s="30" t="n"/>
      <c r="I2477" s="31" t="n"/>
      <c r="J2477" s="30" t="n"/>
      <c r="K2477" s="30" t="n"/>
      <c r="L2477" s="30" t="n"/>
      <c r="M2477" s="30" t="n"/>
      <c r="N2477" s="32" t="n"/>
      <c r="O2477" s="30" t="n"/>
      <c r="P2477" s="32" t="n"/>
      <c r="Q2477" s="30" t="n"/>
      <c r="R2477" s="32" t="n"/>
      <c r="S2477" s="30" t="n"/>
      <c r="T2477" s="30" t="n"/>
      <c r="U2477" s="30" t="n"/>
      <c r="V2477" s="30" t="n"/>
      <c r="W2477" s="29">
        <f>IF(H2477="","",IF(H2477="Kenya","Yes","No"))</f>
        <v/>
      </c>
      <c r="X2477" s="29">
        <f>IF(B2477="","",IF(COUNTIF($B$5:$B$3004,B2477)&gt;1,"DUPLICATE","OK"))</f>
        <v/>
      </c>
      <c r="Y2477" s="29">
        <f>IF(OR(U2477="",V2477="",V2477="Excluded"),"",IF(COUNTIFS($U$5:$U$3004,U2477,$V$5:$V$3004,"&lt;&gt;"&amp;V2477,$V$5:$V$3004,"&lt;&gt;",$V$5:$V$3004,"&lt;&gt;Excluded")&gt;0,"LEAK RISK","OK"))</f>
        <v/>
      </c>
      <c r="Z2477" s="30" t="n"/>
    </row>
    <row r="2478">
      <c r="A2478" s="30" t="n"/>
      <c r="B2478" s="30" t="n"/>
      <c r="C2478" s="30" t="n"/>
      <c r="D2478" s="30" t="n"/>
      <c r="E2478" s="30" t="n"/>
      <c r="F2478" s="30" t="n"/>
      <c r="G2478" s="30" t="n"/>
      <c r="H2478" s="30" t="n"/>
      <c r="I2478" s="31" t="n"/>
      <c r="J2478" s="30" t="n"/>
      <c r="K2478" s="30" t="n"/>
      <c r="L2478" s="30" t="n"/>
      <c r="M2478" s="30" t="n"/>
      <c r="N2478" s="32" t="n"/>
      <c r="O2478" s="30" t="n"/>
      <c r="P2478" s="32" t="n"/>
      <c r="Q2478" s="30" t="n"/>
      <c r="R2478" s="32" t="n"/>
      <c r="S2478" s="30" t="n"/>
      <c r="T2478" s="30" t="n"/>
      <c r="U2478" s="30" t="n"/>
      <c r="V2478" s="30" t="n"/>
      <c r="W2478" s="29">
        <f>IF(H2478="","",IF(H2478="Kenya","Yes","No"))</f>
        <v/>
      </c>
      <c r="X2478" s="29">
        <f>IF(B2478="","",IF(COUNTIF($B$5:$B$3004,B2478)&gt;1,"DUPLICATE","OK"))</f>
        <v/>
      </c>
      <c r="Y2478" s="29">
        <f>IF(OR(U2478="",V2478="",V2478="Excluded"),"",IF(COUNTIFS($U$5:$U$3004,U2478,$V$5:$V$3004,"&lt;&gt;"&amp;V2478,$V$5:$V$3004,"&lt;&gt;",$V$5:$V$3004,"&lt;&gt;Excluded")&gt;0,"LEAK RISK","OK"))</f>
        <v/>
      </c>
      <c r="Z2478" s="30" t="n"/>
    </row>
    <row r="2479">
      <c r="A2479" s="30" t="n"/>
      <c r="B2479" s="30" t="n"/>
      <c r="C2479" s="30" t="n"/>
      <c r="D2479" s="30" t="n"/>
      <c r="E2479" s="30" t="n"/>
      <c r="F2479" s="30" t="n"/>
      <c r="G2479" s="30" t="n"/>
      <c r="H2479" s="30" t="n"/>
      <c r="I2479" s="31" t="n"/>
      <c r="J2479" s="30" t="n"/>
      <c r="K2479" s="30" t="n"/>
      <c r="L2479" s="30" t="n"/>
      <c r="M2479" s="30" t="n"/>
      <c r="N2479" s="32" t="n"/>
      <c r="O2479" s="30" t="n"/>
      <c r="P2479" s="32" t="n"/>
      <c r="Q2479" s="30" t="n"/>
      <c r="R2479" s="32" t="n"/>
      <c r="S2479" s="30" t="n"/>
      <c r="T2479" s="30" t="n"/>
      <c r="U2479" s="30" t="n"/>
      <c r="V2479" s="30" t="n"/>
      <c r="W2479" s="29">
        <f>IF(H2479="","",IF(H2479="Kenya","Yes","No"))</f>
        <v/>
      </c>
      <c r="X2479" s="29">
        <f>IF(B2479="","",IF(COUNTIF($B$5:$B$3004,B2479)&gt;1,"DUPLICATE","OK"))</f>
        <v/>
      </c>
      <c r="Y2479" s="29">
        <f>IF(OR(U2479="",V2479="",V2479="Excluded"),"",IF(COUNTIFS($U$5:$U$3004,U2479,$V$5:$V$3004,"&lt;&gt;"&amp;V2479,$V$5:$V$3004,"&lt;&gt;",$V$5:$V$3004,"&lt;&gt;Excluded")&gt;0,"LEAK RISK","OK"))</f>
        <v/>
      </c>
      <c r="Z2479" s="30" t="n"/>
    </row>
    <row r="2480">
      <c r="A2480" s="30" t="n"/>
      <c r="B2480" s="30" t="n"/>
      <c r="C2480" s="30" t="n"/>
      <c r="D2480" s="30" t="n"/>
      <c r="E2480" s="30" t="n"/>
      <c r="F2480" s="30" t="n"/>
      <c r="G2480" s="30" t="n"/>
      <c r="H2480" s="30" t="n"/>
      <c r="I2480" s="31" t="n"/>
      <c r="J2480" s="30" t="n"/>
      <c r="K2480" s="30" t="n"/>
      <c r="L2480" s="30" t="n"/>
      <c r="M2480" s="30" t="n"/>
      <c r="N2480" s="32" t="n"/>
      <c r="O2480" s="30" t="n"/>
      <c r="P2480" s="32" t="n"/>
      <c r="Q2480" s="30" t="n"/>
      <c r="R2480" s="32" t="n"/>
      <c r="S2480" s="30" t="n"/>
      <c r="T2480" s="30" t="n"/>
      <c r="U2480" s="30" t="n"/>
      <c r="V2480" s="30" t="n"/>
      <c r="W2480" s="29">
        <f>IF(H2480="","",IF(H2480="Kenya","Yes","No"))</f>
        <v/>
      </c>
      <c r="X2480" s="29">
        <f>IF(B2480="","",IF(COUNTIF($B$5:$B$3004,B2480)&gt;1,"DUPLICATE","OK"))</f>
        <v/>
      </c>
      <c r="Y2480" s="29">
        <f>IF(OR(U2480="",V2480="",V2480="Excluded"),"",IF(COUNTIFS($U$5:$U$3004,U2480,$V$5:$V$3004,"&lt;&gt;"&amp;V2480,$V$5:$V$3004,"&lt;&gt;",$V$5:$V$3004,"&lt;&gt;Excluded")&gt;0,"LEAK RISK","OK"))</f>
        <v/>
      </c>
      <c r="Z2480" s="30" t="n"/>
    </row>
    <row r="2481">
      <c r="A2481" s="30" t="n"/>
      <c r="B2481" s="30" t="n"/>
      <c r="C2481" s="30" t="n"/>
      <c r="D2481" s="30" t="n"/>
      <c r="E2481" s="30" t="n"/>
      <c r="F2481" s="30" t="n"/>
      <c r="G2481" s="30" t="n"/>
      <c r="H2481" s="30" t="n"/>
      <c r="I2481" s="31" t="n"/>
      <c r="J2481" s="30" t="n"/>
      <c r="K2481" s="30" t="n"/>
      <c r="L2481" s="30" t="n"/>
      <c r="M2481" s="30" t="n"/>
      <c r="N2481" s="32" t="n"/>
      <c r="O2481" s="30" t="n"/>
      <c r="P2481" s="32" t="n"/>
      <c r="Q2481" s="30" t="n"/>
      <c r="R2481" s="32" t="n"/>
      <c r="S2481" s="30" t="n"/>
      <c r="T2481" s="30" t="n"/>
      <c r="U2481" s="30" t="n"/>
      <c r="V2481" s="30" t="n"/>
      <c r="W2481" s="29">
        <f>IF(H2481="","",IF(H2481="Kenya","Yes","No"))</f>
        <v/>
      </c>
      <c r="X2481" s="29">
        <f>IF(B2481="","",IF(COUNTIF($B$5:$B$3004,B2481)&gt;1,"DUPLICATE","OK"))</f>
        <v/>
      </c>
      <c r="Y2481" s="29">
        <f>IF(OR(U2481="",V2481="",V2481="Excluded"),"",IF(COUNTIFS($U$5:$U$3004,U2481,$V$5:$V$3004,"&lt;&gt;"&amp;V2481,$V$5:$V$3004,"&lt;&gt;",$V$5:$V$3004,"&lt;&gt;Excluded")&gt;0,"LEAK RISK","OK"))</f>
        <v/>
      </c>
      <c r="Z2481" s="30" t="n"/>
    </row>
    <row r="2482">
      <c r="A2482" s="30" t="n"/>
      <c r="B2482" s="30" t="n"/>
      <c r="C2482" s="30" t="n"/>
      <c r="D2482" s="30" t="n"/>
      <c r="E2482" s="30" t="n"/>
      <c r="F2482" s="30" t="n"/>
      <c r="G2482" s="30" t="n"/>
      <c r="H2482" s="30" t="n"/>
      <c r="I2482" s="31" t="n"/>
      <c r="J2482" s="30" t="n"/>
      <c r="K2482" s="30" t="n"/>
      <c r="L2482" s="30" t="n"/>
      <c r="M2482" s="30" t="n"/>
      <c r="N2482" s="32" t="n"/>
      <c r="O2482" s="30" t="n"/>
      <c r="P2482" s="32" t="n"/>
      <c r="Q2482" s="30" t="n"/>
      <c r="R2482" s="32" t="n"/>
      <c r="S2482" s="30" t="n"/>
      <c r="T2482" s="30" t="n"/>
      <c r="U2482" s="30" t="n"/>
      <c r="V2482" s="30" t="n"/>
      <c r="W2482" s="29">
        <f>IF(H2482="","",IF(H2482="Kenya","Yes","No"))</f>
        <v/>
      </c>
      <c r="X2482" s="29">
        <f>IF(B2482="","",IF(COUNTIF($B$5:$B$3004,B2482)&gt;1,"DUPLICATE","OK"))</f>
        <v/>
      </c>
      <c r="Y2482" s="29">
        <f>IF(OR(U2482="",V2482="",V2482="Excluded"),"",IF(COUNTIFS($U$5:$U$3004,U2482,$V$5:$V$3004,"&lt;&gt;"&amp;V2482,$V$5:$V$3004,"&lt;&gt;",$V$5:$V$3004,"&lt;&gt;Excluded")&gt;0,"LEAK RISK","OK"))</f>
        <v/>
      </c>
      <c r="Z2482" s="30" t="n"/>
    </row>
    <row r="2483">
      <c r="A2483" s="30" t="n"/>
      <c r="B2483" s="30" t="n"/>
      <c r="C2483" s="30" t="n"/>
      <c r="D2483" s="30" t="n"/>
      <c r="E2483" s="30" t="n"/>
      <c r="F2483" s="30" t="n"/>
      <c r="G2483" s="30" t="n"/>
      <c r="H2483" s="30" t="n"/>
      <c r="I2483" s="31" t="n"/>
      <c r="J2483" s="30" t="n"/>
      <c r="K2483" s="30" t="n"/>
      <c r="L2483" s="30" t="n"/>
      <c r="M2483" s="30" t="n"/>
      <c r="N2483" s="32" t="n"/>
      <c r="O2483" s="30" t="n"/>
      <c r="P2483" s="32" t="n"/>
      <c r="Q2483" s="30" t="n"/>
      <c r="R2483" s="32" t="n"/>
      <c r="S2483" s="30" t="n"/>
      <c r="T2483" s="30" t="n"/>
      <c r="U2483" s="30" t="n"/>
      <c r="V2483" s="30" t="n"/>
      <c r="W2483" s="29">
        <f>IF(H2483="","",IF(H2483="Kenya","Yes","No"))</f>
        <v/>
      </c>
      <c r="X2483" s="29">
        <f>IF(B2483="","",IF(COUNTIF($B$5:$B$3004,B2483)&gt;1,"DUPLICATE","OK"))</f>
        <v/>
      </c>
      <c r="Y2483" s="29">
        <f>IF(OR(U2483="",V2483="",V2483="Excluded"),"",IF(COUNTIFS($U$5:$U$3004,U2483,$V$5:$V$3004,"&lt;&gt;"&amp;V2483,$V$5:$V$3004,"&lt;&gt;",$V$5:$V$3004,"&lt;&gt;Excluded")&gt;0,"LEAK RISK","OK"))</f>
        <v/>
      </c>
      <c r="Z2483" s="30" t="n"/>
    </row>
    <row r="2484">
      <c r="A2484" s="30" t="n"/>
      <c r="B2484" s="30" t="n"/>
      <c r="C2484" s="30" t="n"/>
      <c r="D2484" s="30" t="n"/>
      <c r="E2484" s="30" t="n"/>
      <c r="F2484" s="30" t="n"/>
      <c r="G2484" s="30" t="n"/>
      <c r="H2484" s="30" t="n"/>
      <c r="I2484" s="31" t="n"/>
      <c r="J2484" s="30" t="n"/>
      <c r="K2484" s="30" t="n"/>
      <c r="L2484" s="30" t="n"/>
      <c r="M2484" s="30" t="n"/>
      <c r="N2484" s="32" t="n"/>
      <c r="O2484" s="30" t="n"/>
      <c r="P2484" s="32" t="n"/>
      <c r="Q2484" s="30" t="n"/>
      <c r="R2484" s="32" t="n"/>
      <c r="S2484" s="30" t="n"/>
      <c r="T2484" s="30" t="n"/>
      <c r="U2484" s="30" t="n"/>
      <c r="V2484" s="30" t="n"/>
      <c r="W2484" s="29">
        <f>IF(H2484="","",IF(H2484="Kenya","Yes","No"))</f>
        <v/>
      </c>
      <c r="X2484" s="29">
        <f>IF(B2484="","",IF(COUNTIF($B$5:$B$3004,B2484)&gt;1,"DUPLICATE","OK"))</f>
        <v/>
      </c>
      <c r="Y2484" s="29">
        <f>IF(OR(U2484="",V2484="",V2484="Excluded"),"",IF(COUNTIFS($U$5:$U$3004,U2484,$V$5:$V$3004,"&lt;&gt;"&amp;V2484,$V$5:$V$3004,"&lt;&gt;",$V$5:$V$3004,"&lt;&gt;Excluded")&gt;0,"LEAK RISK","OK"))</f>
        <v/>
      </c>
      <c r="Z2484" s="30" t="n"/>
    </row>
    <row r="2485">
      <c r="A2485" s="30" t="n"/>
      <c r="B2485" s="30" t="n"/>
      <c r="C2485" s="30" t="n"/>
      <c r="D2485" s="30" t="n"/>
      <c r="E2485" s="30" t="n"/>
      <c r="F2485" s="30" t="n"/>
      <c r="G2485" s="30" t="n"/>
      <c r="H2485" s="30" t="n"/>
      <c r="I2485" s="31" t="n"/>
      <c r="J2485" s="30" t="n"/>
      <c r="K2485" s="30" t="n"/>
      <c r="L2485" s="30" t="n"/>
      <c r="M2485" s="30" t="n"/>
      <c r="N2485" s="32" t="n"/>
      <c r="O2485" s="30" t="n"/>
      <c r="P2485" s="32" t="n"/>
      <c r="Q2485" s="30" t="n"/>
      <c r="R2485" s="32" t="n"/>
      <c r="S2485" s="30" t="n"/>
      <c r="T2485" s="30" t="n"/>
      <c r="U2485" s="30" t="n"/>
      <c r="V2485" s="30" t="n"/>
      <c r="W2485" s="29">
        <f>IF(H2485="","",IF(H2485="Kenya","Yes","No"))</f>
        <v/>
      </c>
      <c r="X2485" s="29">
        <f>IF(B2485="","",IF(COUNTIF($B$5:$B$3004,B2485)&gt;1,"DUPLICATE","OK"))</f>
        <v/>
      </c>
      <c r="Y2485" s="29">
        <f>IF(OR(U2485="",V2485="",V2485="Excluded"),"",IF(COUNTIFS($U$5:$U$3004,U2485,$V$5:$V$3004,"&lt;&gt;"&amp;V2485,$V$5:$V$3004,"&lt;&gt;",$V$5:$V$3004,"&lt;&gt;Excluded")&gt;0,"LEAK RISK","OK"))</f>
        <v/>
      </c>
      <c r="Z2485" s="30" t="n"/>
    </row>
    <row r="2486">
      <c r="A2486" s="30" t="n"/>
      <c r="B2486" s="30" t="n"/>
      <c r="C2486" s="30" t="n"/>
      <c r="D2486" s="30" t="n"/>
      <c r="E2486" s="30" t="n"/>
      <c r="F2486" s="30" t="n"/>
      <c r="G2486" s="30" t="n"/>
      <c r="H2486" s="30" t="n"/>
      <c r="I2486" s="31" t="n"/>
      <c r="J2486" s="30" t="n"/>
      <c r="K2486" s="30" t="n"/>
      <c r="L2486" s="30" t="n"/>
      <c r="M2486" s="30" t="n"/>
      <c r="N2486" s="32" t="n"/>
      <c r="O2486" s="30" t="n"/>
      <c r="P2486" s="32" t="n"/>
      <c r="Q2486" s="30" t="n"/>
      <c r="R2486" s="32" t="n"/>
      <c r="S2486" s="30" t="n"/>
      <c r="T2486" s="30" t="n"/>
      <c r="U2486" s="30" t="n"/>
      <c r="V2486" s="30" t="n"/>
      <c r="W2486" s="29">
        <f>IF(H2486="","",IF(H2486="Kenya","Yes","No"))</f>
        <v/>
      </c>
      <c r="X2486" s="29">
        <f>IF(B2486="","",IF(COUNTIF($B$5:$B$3004,B2486)&gt;1,"DUPLICATE","OK"))</f>
        <v/>
      </c>
      <c r="Y2486" s="29">
        <f>IF(OR(U2486="",V2486="",V2486="Excluded"),"",IF(COUNTIFS($U$5:$U$3004,U2486,$V$5:$V$3004,"&lt;&gt;"&amp;V2486,$V$5:$V$3004,"&lt;&gt;",$V$5:$V$3004,"&lt;&gt;Excluded")&gt;0,"LEAK RISK","OK"))</f>
        <v/>
      </c>
      <c r="Z2486" s="30" t="n"/>
    </row>
    <row r="2487">
      <c r="A2487" s="30" t="n"/>
      <c r="B2487" s="30" t="n"/>
      <c r="C2487" s="30" t="n"/>
      <c r="D2487" s="30" t="n"/>
      <c r="E2487" s="30" t="n"/>
      <c r="F2487" s="30" t="n"/>
      <c r="G2487" s="30" t="n"/>
      <c r="H2487" s="30" t="n"/>
      <c r="I2487" s="31" t="n"/>
      <c r="J2487" s="30" t="n"/>
      <c r="K2487" s="30" t="n"/>
      <c r="L2487" s="30" t="n"/>
      <c r="M2487" s="30" t="n"/>
      <c r="N2487" s="32" t="n"/>
      <c r="O2487" s="30" t="n"/>
      <c r="P2487" s="32" t="n"/>
      <c r="Q2487" s="30" t="n"/>
      <c r="R2487" s="32" t="n"/>
      <c r="S2487" s="30" t="n"/>
      <c r="T2487" s="30" t="n"/>
      <c r="U2487" s="30" t="n"/>
      <c r="V2487" s="30" t="n"/>
      <c r="W2487" s="29">
        <f>IF(H2487="","",IF(H2487="Kenya","Yes","No"))</f>
        <v/>
      </c>
      <c r="X2487" s="29">
        <f>IF(B2487="","",IF(COUNTIF($B$5:$B$3004,B2487)&gt;1,"DUPLICATE","OK"))</f>
        <v/>
      </c>
      <c r="Y2487" s="29">
        <f>IF(OR(U2487="",V2487="",V2487="Excluded"),"",IF(COUNTIFS($U$5:$U$3004,U2487,$V$5:$V$3004,"&lt;&gt;"&amp;V2487,$V$5:$V$3004,"&lt;&gt;",$V$5:$V$3004,"&lt;&gt;Excluded")&gt;0,"LEAK RISK","OK"))</f>
        <v/>
      </c>
      <c r="Z2487" s="30" t="n"/>
    </row>
    <row r="2488">
      <c r="A2488" s="30" t="n"/>
      <c r="B2488" s="30" t="n"/>
      <c r="C2488" s="30" t="n"/>
      <c r="D2488" s="30" t="n"/>
      <c r="E2488" s="30" t="n"/>
      <c r="F2488" s="30" t="n"/>
      <c r="G2488" s="30" t="n"/>
      <c r="H2488" s="30" t="n"/>
      <c r="I2488" s="31" t="n"/>
      <c r="J2488" s="30" t="n"/>
      <c r="K2488" s="30" t="n"/>
      <c r="L2488" s="30" t="n"/>
      <c r="M2488" s="30" t="n"/>
      <c r="N2488" s="32" t="n"/>
      <c r="O2488" s="30" t="n"/>
      <c r="P2488" s="32" t="n"/>
      <c r="Q2488" s="30" t="n"/>
      <c r="R2488" s="32" t="n"/>
      <c r="S2488" s="30" t="n"/>
      <c r="T2488" s="30" t="n"/>
      <c r="U2488" s="30" t="n"/>
      <c r="V2488" s="30" t="n"/>
      <c r="W2488" s="29">
        <f>IF(H2488="","",IF(H2488="Kenya","Yes","No"))</f>
        <v/>
      </c>
      <c r="X2488" s="29">
        <f>IF(B2488="","",IF(COUNTIF($B$5:$B$3004,B2488)&gt;1,"DUPLICATE","OK"))</f>
        <v/>
      </c>
      <c r="Y2488" s="29">
        <f>IF(OR(U2488="",V2488="",V2488="Excluded"),"",IF(COUNTIFS($U$5:$U$3004,U2488,$V$5:$V$3004,"&lt;&gt;"&amp;V2488,$V$5:$V$3004,"&lt;&gt;",$V$5:$V$3004,"&lt;&gt;Excluded")&gt;0,"LEAK RISK","OK"))</f>
        <v/>
      </c>
      <c r="Z2488" s="30" t="n"/>
    </row>
    <row r="2489">
      <c r="A2489" s="30" t="n"/>
      <c r="B2489" s="30" t="n"/>
      <c r="C2489" s="30" t="n"/>
      <c r="D2489" s="30" t="n"/>
      <c r="E2489" s="30" t="n"/>
      <c r="F2489" s="30" t="n"/>
      <c r="G2489" s="30" t="n"/>
      <c r="H2489" s="30" t="n"/>
      <c r="I2489" s="31" t="n"/>
      <c r="J2489" s="30" t="n"/>
      <c r="K2489" s="30" t="n"/>
      <c r="L2489" s="30" t="n"/>
      <c r="M2489" s="30" t="n"/>
      <c r="N2489" s="32" t="n"/>
      <c r="O2489" s="30" t="n"/>
      <c r="P2489" s="32" t="n"/>
      <c r="Q2489" s="30" t="n"/>
      <c r="R2489" s="32" t="n"/>
      <c r="S2489" s="30" t="n"/>
      <c r="T2489" s="30" t="n"/>
      <c r="U2489" s="30" t="n"/>
      <c r="V2489" s="30" t="n"/>
      <c r="W2489" s="29">
        <f>IF(H2489="","",IF(H2489="Kenya","Yes","No"))</f>
        <v/>
      </c>
      <c r="X2489" s="29">
        <f>IF(B2489="","",IF(COUNTIF($B$5:$B$3004,B2489)&gt;1,"DUPLICATE","OK"))</f>
        <v/>
      </c>
      <c r="Y2489" s="29">
        <f>IF(OR(U2489="",V2489="",V2489="Excluded"),"",IF(COUNTIFS($U$5:$U$3004,U2489,$V$5:$V$3004,"&lt;&gt;"&amp;V2489,$V$5:$V$3004,"&lt;&gt;",$V$5:$V$3004,"&lt;&gt;Excluded")&gt;0,"LEAK RISK","OK"))</f>
        <v/>
      </c>
      <c r="Z2489" s="30" t="n"/>
    </row>
    <row r="2490">
      <c r="A2490" s="30" t="n"/>
      <c r="B2490" s="30" t="n"/>
      <c r="C2490" s="30" t="n"/>
      <c r="D2490" s="30" t="n"/>
      <c r="E2490" s="30" t="n"/>
      <c r="F2490" s="30" t="n"/>
      <c r="G2490" s="30" t="n"/>
      <c r="H2490" s="30" t="n"/>
      <c r="I2490" s="31" t="n"/>
      <c r="J2490" s="30" t="n"/>
      <c r="K2490" s="30" t="n"/>
      <c r="L2490" s="30" t="n"/>
      <c r="M2490" s="30" t="n"/>
      <c r="N2490" s="32" t="n"/>
      <c r="O2490" s="30" t="n"/>
      <c r="P2490" s="32" t="n"/>
      <c r="Q2490" s="30" t="n"/>
      <c r="R2490" s="32" t="n"/>
      <c r="S2490" s="30" t="n"/>
      <c r="T2490" s="30" t="n"/>
      <c r="U2490" s="30" t="n"/>
      <c r="V2490" s="30" t="n"/>
      <c r="W2490" s="29">
        <f>IF(H2490="","",IF(H2490="Kenya","Yes","No"))</f>
        <v/>
      </c>
      <c r="X2490" s="29">
        <f>IF(B2490="","",IF(COUNTIF($B$5:$B$3004,B2490)&gt;1,"DUPLICATE","OK"))</f>
        <v/>
      </c>
      <c r="Y2490" s="29">
        <f>IF(OR(U2490="",V2490="",V2490="Excluded"),"",IF(COUNTIFS($U$5:$U$3004,U2490,$V$5:$V$3004,"&lt;&gt;"&amp;V2490,$V$5:$V$3004,"&lt;&gt;",$V$5:$V$3004,"&lt;&gt;Excluded")&gt;0,"LEAK RISK","OK"))</f>
        <v/>
      </c>
      <c r="Z2490" s="30" t="n"/>
    </row>
    <row r="2491">
      <c r="A2491" s="30" t="n"/>
      <c r="B2491" s="30" t="n"/>
      <c r="C2491" s="30" t="n"/>
      <c r="D2491" s="30" t="n"/>
      <c r="E2491" s="30" t="n"/>
      <c r="F2491" s="30" t="n"/>
      <c r="G2491" s="30" t="n"/>
      <c r="H2491" s="30" t="n"/>
      <c r="I2491" s="31" t="n"/>
      <c r="J2491" s="30" t="n"/>
      <c r="K2491" s="30" t="n"/>
      <c r="L2491" s="30" t="n"/>
      <c r="M2491" s="30" t="n"/>
      <c r="N2491" s="32" t="n"/>
      <c r="O2491" s="30" t="n"/>
      <c r="P2491" s="32" t="n"/>
      <c r="Q2491" s="30" t="n"/>
      <c r="R2491" s="32" t="n"/>
      <c r="S2491" s="30" t="n"/>
      <c r="T2491" s="30" t="n"/>
      <c r="U2491" s="30" t="n"/>
      <c r="V2491" s="30" t="n"/>
      <c r="W2491" s="29">
        <f>IF(H2491="","",IF(H2491="Kenya","Yes","No"))</f>
        <v/>
      </c>
      <c r="X2491" s="29">
        <f>IF(B2491="","",IF(COUNTIF($B$5:$B$3004,B2491)&gt;1,"DUPLICATE","OK"))</f>
        <v/>
      </c>
      <c r="Y2491" s="29">
        <f>IF(OR(U2491="",V2491="",V2491="Excluded"),"",IF(COUNTIFS($U$5:$U$3004,U2491,$V$5:$V$3004,"&lt;&gt;"&amp;V2491,$V$5:$V$3004,"&lt;&gt;",$V$5:$V$3004,"&lt;&gt;Excluded")&gt;0,"LEAK RISK","OK"))</f>
        <v/>
      </c>
      <c r="Z2491" s="30" t="n"/>
    </row>
    <row r="2492">
      <c r="A2492" s="30" t="n"/>
      <c r="B2492" s="30" t="n"/>
      <c r="C2492" s="30" t="n"/>
      <c r="D2492" s="30" t="n"/>
      <c r="E2492" s="30" t="n"/>
      <c r="F2492" s="30" t="n"/>
      <c r="G2492" s="30" t="n"/>
      <c r="H2492" s="30" t="n"/>
      <c r="I2492" s="31" t="n"/>
      <c r="J2492" s="30" t="n"/>
      <c r="K2492" s="30" t="n"/>
      <c r="L2492" s="30" t="n"/>
      <c r="M2492" s="30" t="n"/>
      <c r="N2492" s="32" t="n"/>
      <c r="O2492" s="30" t="n"/>
      <c r="P2492" s="32" t="n"/>
      <c r="Q2492" s="30" t="n"/>
      <c r="R2492" s="32" t="n"/>
      <c r="S2492" s="30" t="n"/>
      <c r="T2492" s="30" t="n"/>
      <c r="U2492" s="30" t="n"/>
      <c r="V2492" s="30" t="n"/>
      <c r="W2492" s="29">
        <f>IF(H2492="","",IF(H2492="Kenya","Yes","No"))</f>
        <v/>
      </c>
      <c r="X2492" s="29">
        <f>IF(B2492="","",IF(COUNTIF($B$5:$B$3004,B2492)&gt;1,"DUPLICATE","OK"))</f>
        <v/>
      </c>
      <c r="Y2492" s="29">
        <f>IF(OR(U2492="",V2492="",V2492="Excluded"),"",IF(COUNTIFS($U$5:$U$3004,U2492,$V$5:$V$3004,"&lt;&gt;"&amp;V2492,$V$5:$V$3004,"&lt;&gt;",$V$5:$V$3004,"&lt;&gt;Excluded")&gt;0,"LEAK RISK","OK"))</f>
        <v/>
      </c>
      <c r="Z2492" s="30" t="n"/>
    </row>
    <row r="2493">
      <c r="A2493" s="30" t="n"/>
      <c r="B2493" s="30" t="n"/>
      <c r="C2493" s="30" t="n"/>
      <c r="D2493" s="30" t="n"/>
      <c r="E2493" s="30" t="n"/>
      <c r="F2493" s="30" t="n"/>
      <c r="G2493" s="30" t="n"/>
      <c r="H2493" s="30" t="n"/>
      <c r="I2493" s="31" t="n"/>
      <c r="J2493" s="30" t="n"/>
      <c r="K2493" s="30" t="n"/>
      <c r="L2493" s="30" t="n"/>
      <c r="M2493" s="30" t="n"/>
      <c r="N2493" s="32" t="n"/>
      <c r="O2493" s="30" t="n"/>
      <c r="P2493" s="32" t="n"/>
      <c r="Q2493" s="30" t="n"/>
      <c r="R2493" s="32" t="n"/>
      <c r="S2493" s="30" t="n"/>
      <c r="T2493" s="30" t="n"/>
      <c r="U2493" s="30" t="n"/>
      <c r="V2493" s="30" t="n"/>
      <c r="W2493" s="29">
        <f>IF(H2493="","",IF(H2493="Kenya","Yes","No"))</f>
        <v/>
      </c>
      <c r="X2493" s="29">
        <f>IF(B2493="","",IF(COUNTIF($B$5:$B$3004,B2493)&gt;1,"DUPLICATE","OK"))</f>
        <v/>
      </c>
      <c r="Y2493" s="29">
        <f>IF(OR(U2493="",V2493="",V2493="Excluded"),"",IF(COUNTIFS($U$5:$U$3004,U2493,$V$5:$V$3004,"&lt;&gt;"&amp;V2493,$V$5:$V$3004,"&lt;&gt;",$V$5:$V$3004,"&lt;&gt;Excluded")&gt;0,"LEAK RISK","OK"))</f>
        <v/>
      </c>
      <c r="Z2493" s="30" t="n"/>
    </row>
    <row r="2494">
      <c r="A2494" s="30" t="n"/>
      <c r="B2494" s="30" t="n"/>
      <c r="C2494" s="30" t="n"/>
      <c r="D2494" s="30" t="n"/>
      <c r="E2494" s="30" t="n"/>
      <c r="F2494" s="30" t="n"/>
      <c r="G2494" s="30" t="n"/>
      <c r="H2494" s="30" t="n"/>
      <c r="I2494" s="31" t="n"/>
      <c r="J2494" s="30" t="n"/>
      <c r="K2494" s="30" t="n"/>
      <c r="L2494" s="30" t="n"/>
      <c r="M2494" s="30" t="n"/>
      <c r="N2494" s="32" t="n"/>
      <c r="O2494" s="30" t="n"/>
      <c r="P2494" s="32" t="n"/>
      <c r="Q2494" s="30" t="n"/>
      <c r="R2494" s="32" t="n"/>
      <c r="S2494" s="30" t="n"/>
      <c r="T2494" s="30" t="n"/>
      <c r="U2494" s="30" t="n"/>
      <c r="V2494" s="30" t="n"/>
      <c r="W2494" s="29">
        <f>IF(H2494="","",IF(H2494="Kenya","Yes","No"))</f>
        <v/>
      </c>
      <c r="X2494" s="29">
        <f>IF(B2494="","",IF(COUNTIF($B$5:$B$3004,B2494)&gt;1,"DUPLICATE","OK"))</f>
        <v/>
      </c>
      <c r="Y2494" s="29">
        <f>IF(OR(U2494="",V2494="",V2494="Excluded"),"",IF(COUNTIFS($U$5:$U$3004,U2494,$V$5:$V$3004,"&lt;&gt;"&amp;V2494,$V$5:$V$3004,"&lt;&gt;",$V$5:$V$3004,"&lt;&gt;Excluded")&gt;0,"LEAK RISK","OK"))</f>
        <v/>
      </c>
      <c r="Z2494" s="30" t="n"/>
    </row>
    <row r="2495">
      <c r="A2495" s="30" t="n"/>
      <c r="B2495" s="30" t="n"/>
      <c r="C2495" s="30" t="n"/>
      <c r="D2495" s="30" t="n"/>
      <c r="E2495" s="30" t="n"/>
      <c r="F2495" s="30" t="n"/>
      <c r="G2495" s="30" t="n"/>
      <c r="H2495" s="30" t="n"/>
      <c r="I2495" s="31" t="n"/>
      <c r="J2495" s="30" t="n"/>
      <c r="K2495" s="30" t="n"/>
      <c r="L2495" s="30" t="n"/>
      <c r="M2495" s="30" t="n"/>
      <c r="N2495" s="32" t="n"/>
      <c r="O2495" s="30" t="n"/>
      <c r="P2495" s="32" t="n"/>
      <c r="Q2495" s="30" t="n"/>
      <c r="R2495" s="32" t="n"/>
      <c r="S2495" s="30" t="n"/>
      <c r="T2495" s="30" t="n"/>
      <c r="U2495" s="30" t="n"/>
      <c r="V2495" s="30" t="n"/>
      <c r="W2495" s="29">
        <f>IF(H2495="","",IF(H2495="Kenya","Yes","No"))</f>
        <v/>
      </c>
      <c r="X2495" s="29">
        <f>IF(B2495="","",IF(COUNTIF($B$5:$B$3004,B2495)&gt;1,"DUPLICATE","OK"))</f>
        <v/>
      </c>
      <c r="Y2495" s="29">
        <f>IF(OR(U2495="",V2495="",V2495="Excluded"),"",IF(COUNTIFS($U$5:$U$3004,U2495,$V$5:$V$3004,"&lt;&gt;"&amp;V2495,$V$5:$V$3004,"&lt;&gt;",$V$5:$V$3004,"&lt;&gt;Excluded")&gt;0,"LEAK RISK","OK"))</f>
        <v/>
      </c>
      <c r="Z2495" s="30" t="n"/>
    </row>
    <row r="2496">
      <c r="A2496" s="30" t="n"/>
      <c r="B2496" s="30" t="n"/>
      <c r="C2496" s="30" t="n"/>
      <c r="D2496" s="30" t="n"/>
      <c r="E2496" s="30" t="n"/>
      <c r="F2496" s="30" t="n"/>
      <c r="G2496" s="30" t="n"/>
      <c r="H2496" s="30" t="n"/>
      <c r="I2496" s="31" t="n"/>
      <c r="J2496" s="30" t="n"/>
      <c r="K2496" s="30" t="n"/>
      <c r="L2496" s="30" t="n"/>
      <c r="M2496" s="30" t="n"/>
      <c r="N2496" s="32" t="n"/>
      <c r="O2496" s="30" t="n"/>
      <c r="P2496" s="32" t="n"/>
      <c r="Q2496" s="30" t="n"/>
      <c r="R2496" s="32" t="n"/>
      <c r="S2496" s="30" t="n"/>
      <c r="T2496" s="30" t="n"/>
      <c r="U2496" s="30" t="n"/>
      <c r="V2496" s="30" t="n"/>
      <c r="W2496" s="29">
        <f>IF(H2496="","",IF(H2496="Kenya","Yes","No"))</f>
        <v/>
      </c>
      <c r="X2496" s="29">
        <f>IF(B2496="","",IF(COUNTIF($B$5:$B$3004,B2496)&gt;1,"DUPLICATE","OK"))</f>
        <v/>
      </c>
      <c r="Y2496" s="29">
        <f>IF(OR(U2496="",V2496="",V2496="Excluded"),"",IF(COUNTIFS($U$5:$U$3004,U2496,$V$5:$V$3004,"&lt;&gt;"&amp;V2496,$V$5:$V$3004,"&lt;&gt;",$V$5:$V$3004,"&lt;&gt;Excluded")&gt;0,"LEAK RISK","OK"))</f>
        <v/>
      </c>
      <c r="Z2496" s="30" t="n"/>
    </row>
    <row r="2497">
      <c r="A2497" s="30" t="n"/>
      <c r="B2497" s="30" t="n"/>
      <c r="C2497" s="30" t="n"/>
      <c r="D2497" s="30" t="n"/>
      <c r="E2497" s="30" t="n"/>
      <c r="F2497" s="30" t="n"/>
      <c r="G2497" s="30" t="n"/>
      <c r="H2497" s="30" t="n"/>
      <c r="I2497" s="31" t="n"/>
      <c r="J2497" s="30" t="n"/>
      <c r="K2497" s="30" t="n"/>
      <c r="L2497" s="30" t="n"/>
      <c r="M2497" s="30" t="n"/>
      <c r="N2497" s="32" t="n"/>
      <c r="O2497" s="30" t="n"/>
      <c r="P2497" s="32" t="n"/>
      <c r="Q2497" s="30" t="n"/>
      <c r="R2497" s="32" t="n"/>
      <c r="S2497" s="30" t="n"/>
      <c r="T2497" s="30" t="n"/>
      <c r="U2497" s="30" t="n"/>
      <c r="V2497" s="30" t="n"/>
      <c r="W2497" s="29">
        <f>IF(H2497="","",IF(H2497="Kenya","Yes","No"))</f>
        <v/>
      </c>
      <c r="X2497" s="29">
        <f>IF(B2497="","",IF(COUNTIF($B$5:$B$3004,B2497)&gt;1,"DUPLICATE","OK"))</f>
        <v/>
      </c>
      <c r="Y2497" s="29">
        <f>IF(OR(U2497="",V2497="",V2497="Excluded"),"",IF(COUNTIFS($U$5:$U$3004,U2497,$V$5:$V$3004,"&lt;&gt;"&amp;V2497,$V$5:$V$3004,"&lt;&gt;",$V$5:$V$3004,"&lt;&gt;Excluded")&gt;0,"LEAK RISK","OK"))</f>
        <v/>
      </c>
      <c r="Z2497" s="30" t="n"/>
    </row>
    <row r="2498">
      <c r="A2498" s="30" t="n"/>
      <c r="B2498" s="30" t="n"/>
      <c r="C2498" s="30" t="n"/>
      <c r="D2498" s="30" t="n"/>
      <c r="E2498" s="30" t="n"/>
      <c r="F2498" s="30" t="n"/>
      <c r="G2498" s="30" t="n"/>
      <c r="H2498" s="30" t="n"/>
      <c r="I2498" s="31" t="n"/>
      <c r="J2498" s="30" t="n"/>
      <c r="K2498" s="30" t="n"/>
      <c r="L2498" s="30" t="n"/>
      <c r="M2498" s="30" t="n"/>
      <c r="N2498" s="32" t="n"/>
      <c r="O2498" s="30" t="n"/>
      <c r="P2498" s="32" t="n"/>
      <c r="Q2498" s="30" t="n"/>
      <c r="R2498" s="32" t="n"/>
      <c r="S2498" s="30" t="n"/>
      <c r="T2498" s="30" t="n"/>
      <c r="U2498" s="30" t="n"/>
      <c r="V2498" s="30" t="n"/>
      <c r="W2498" s="29">
        <f>IF(H2498="","",IF(H2498="Kenya","Yes","No"))</f>
        <v/>
      </c>
      <c r="X2498" s="29">
        <f>IF(B2498="","",IF(COUNTIF($B$5:$B$3004,B2498)&gt;1,"DUPLICATE","OK"))</f>
        <v/>
      </c>
      <c r="Y2498" s="29">
        <f>IF(OR(U2498="",V2498="",V2498="Excluded"),"",IF(COUNTIFS($U$5:$U$3004,U2498,$V$5:$V$3004,"&lt;&gt;"&amp;V2498,$V$5:$V$3004,"&lt;&gt;",$V$5:$V$3004,"&lt;&gt;Excluded")&gt;0,"LEAK RISK","OK"))</f>
        <v/>
      </c>
      <c r="Z2498" s="30" t="n"/>
    </row>
    <row r="2499">
      <c r="A2499" s="30" t="n"/>
      <c r="B2499" s="30" t="n"/>
      <c r="C2499" s="30" t="n"/>
      <c r="D2499" s="30" t="n"/>
      <c r="E2499" s="30" t="n"/>
      <c r="F2499" s="30" t="n"/>
      <c r="G2499" s="30" t="n"/>
      <c r="H2499" s="30" t="n"/>
      <c r="I2499" s="31" t="n"/>
      <c r="J2499" s="30" t="n"/>
      <c r="K2499" s="30" t="n"/>
      <c r="L2499" s="30" t="n"/>
      <c r="M2499" s="30" t="n"/>
      <c r="N2499" s="32" t="n"/>
      <c r="O2499" s="30" t="n"/>
      <c r="P2499" s="32" t="n"/>
      <c r="Q2499" s="30" t="n"/>
      <c r="R2499" s="32" t="n"/>
      <c r="S2499" s="30" t="n"/>
      <c r="T2499" s="30" t="n"/>
      <c r="U2499" s="30" t="n"/>
      <c r="V2499" s="30" t="n"/>
      <c r="W2499" s="29">
        <f>IF(H2499="","",IF(H2499="Kenya","Yes","No"))</f>
        <v/>
      </c>
      <c r="X2499" s="29">
        <f>IF(B2499="","",IF(COUNTIF($B$5:$B$3004,B2499)&gt;1,"DUPLICATE","OK"))</f>
        <v/>
      </c>
      <c r="Y2499" s="29">
        <f>IF(OR(U2499="",V2499="",V2499="Excluded"),"",IF(COUNTIFS($U$5:$U$3004,U2499,$V$5:$V$3004,"&lt;&gt;"&amp;V2499,$V$5:$V$3004,"&lt;&gt;",$V$5:$V$3004,"&lt;&gt;Excluded")&gt;0,"LEAK RISK","OK"))</f>
        <v/>
      </c>
      <c r="Z2499" s="30" t="n"/>
    </row>
    <row r="2500">
      <c r="A2500" s="30" t="n"/>
      <c r="B2500" s="30" t="n"/>
      <c r="C2500" s="30" t="n"/>
      <c r="D2500" s="30" t="n"/>
      <c r="E2500" s="30" t="n"/>
      <c r="F2500" s="30" t="n"/>
      <c r="G2500" s="30" t="n"/>
      <c r="H2500" s="30" t="n"/>
      <c r="I2500" s="31" t="n"/>
      <c r="J2500" s="30" t="n"/>
      <c r="K2500" s="30" t="n"/>
      <c r="L2500" s="30" t="n"/>
      <c r="M2500" s="30" t="n"/>
      <c r="N2500" s="32" t="n"/>
      <c r="O2500" s="30" t="n"/>
      <c r="P2500" s="32" t="n"/>
      <c r="Q2500" s="30" t="n"/>
      <c r="R2500" s="32" t="n"/>
      <c r="S2500" s="30" t="n"/>
      <c r="T2500" s="30" t="n"/>
      <c r="U2500" s="30" t="n"/>
      <c r="V2500" s="30" t="n"/>
      <c r="W2500" s="29">
        <f>IF(H2500="","",IF(H2500="Kenya","Yes","No"))</f>
        <v/>
      </c>
      <c r="X2500" s="29">
        <f>IF(B2500="","",IF(COUNTIF($B$5:$B$3004,B2500)&gt;1,"DUPLICATE","OK"))</f>
        <v/>
      </c>
      <c r="Y2500" s="29">
        <f>IF(OR(U2500="",V2500="",V2500="Excluded"),"",IF(COUNTIFS($U$5:$U$3004,U2500,$V$5:$V$3004,"&lt;&gt;"&amp;V2500,$V$5:$V$3004,"&lt;&gt;",$V$5:$V$3004,"&lt;&gt;Excluded")&gt;0,"LEAK RISK","OK"))</f>
        <v/>
      </c>
      <c r="Z2500" s="30" t="n"/>
    </row>
    <row r="2501">
      <c r="A2501" s="30" t="n"/>
      <c r="B2501" s="30" t="n"/>
      <c r="C2501" s="30" t="n"/>
      <c r="D2501" s="30" t="n"/>
      <c r="E2501" s="30" t="n"/>
      <c r="F2501" s="30" t="n"/>
      <c r="G2501" s="30" t="n"/>
      <c r="H2501" s="30" t="n"/>
      <c r="I2501" s="31" t="n"/>
      <c r="J2501" s="30" t="n"/>
      <c r="K2501" s="30" t="n"/>
      <c r="L2501" s="30" t="n"/>
      <c r="M2501" s="30" t="n"/>
      <c r="N2501" s="32" t="n"/>
      <c r="O2501" s="30" t="n"/>
      <c r="P2501" s="32" t="n"/>
      <c r="Q2501" s="30" t="n"/>
      <c r="R2501" s="32" t="n"/>
      <c r="S2501" s="30" t="n"/>
      <c r="T2501" s="30" t="n"/>
      <c r="U2501" s="30" t="n"/>
      <c r="V2501" s="30" t="n"/>
      <c r="W2501" s="29">
        <f>IF(H2501="","",IF(H2501="Kenya","Yes","No"))</f>
        <v/>
      </c>
      <c r="X2501" s="29">
        <f>IF(B2501="","",IF(COUNTIF($B$5:$B$3004,B2501)&gt;1,"DUPLICATE","OK"))</f>
        <v/>
      </c>
      <c r="Y2501" s="29">
        <f>IF(OR(U2501="",V2501="",V2501="Excluded"),"",IF(COUNTIFS($U$5:$U$3004,U2501,$V$5:$V$3004,"&lt;&gt;"&amp;V2501,$V$5:$V$3004,"&lt;&gt;",$V$5:$V$3004,"&lt;&gt;Excluded")&gt;0,"LEAK RISK","OK"))</f>
        <v/>
      </c>
      <c r="Z2501" s="30" t="n"/>
    </row>
    <row r="2502">
      <c r="A2502" s="30" t="n"/>
      <c r="B2502" s="30" t="n"/>
      <c r="C2502" s="30" t="n"/>
      <c r="D2502" s="30" t="n"/>
      <c r="E2502" s="30" t="n"/>
      <c r="F2502" s="30" t="n"/>
      <c r="G2502" s="30" t="n"/>
      <c r="H2502" s="30" t="n"/>
      <c r="I2502" s="31" t="n"/>
      <c r="J2502" s="30" t="n"/>
      <c r="K2502" s="30" t="n"/>
      <c r="L2502" s="30" t="n"/>
      <c r="M2502" s="30" t="n"/>
      <c r="N2502" s="32" t="n"/>
      <c r="O2502" s="30" t="n"/>
      <c r="P2502" s="32" t="n"/>
      <c r="Q2502" s="30" t="n"/>
      <c r="R2502" s="32" t="n"/>
      <c r="S2502" s="30" t="n"/>
      <c r="T2502" s="30" t="n"/>
      <c r="U2502" s="30" t="n"/>
      <c r="V2502" s="30" t="n"/>
      <c r="W2502" s="29">
        <f>IF(H2502="","",IF(H2502="Kenya","Yes","No"))</f>
        <v/>
      </c>
      <c r="X2502" s="29">
        <f>IF(B2502="","",IF(COUNTIF($B$5:$B$3004,B2502)&gt;1,"DUPLICATE","OK"))</f>
        <v/>
      </c>
      <c r="Y2502" s="29">
        <f>IF(OR(U2502="",V2502="",V2502="Excluded"),"",IF(COUNTIFS($U$5:$U$3004,U2502,$V$5:$V$3004,"&lt;&gt;"&amp;V2502,$V$5:$V$3004,"&lt;&gt;",$V$5:$V$3004,"&lt;&gt;Excluded")&gt;0,"LEAK RISK","OK"))</f>
        <v/>
      </c>
      <c r="Z2502" s="30" t="n"/>
    </row>
    <row r="2503">
      <c r="A2503" s="30" t="n"/>
      <c r="B2503" s="30" t="n"/>
      <c r="C2503" s="30" t="n"/>
      <c r="D2503" s="30" t="n"/>
      <c r="E2503" s="30" t="n"/>
      <c r="F2503" s="30" t="n"/>
      <c r="G2503" s="30" t="n"/>
      <c r="H2503" s="30" t="n"/>
      <c r="I2503" s="31" t="n"/>
      <c r="J2503" s="30" t="n"/>
      <c r="K2503" s="30" t="n"/>
      <c r="L2503" s="30" t="n"/>
      <c r="M2503" s="30" t="n"/>
      <c r="N2503" s="32" t="n"/>
      <c r="O2503" s="30" t="n"/>
      <c r="P2503" s="32" t="n"/>
      <c r="Q2503" s="30" t="n"/>
      <c r="R2503" s="32" t="n"/>
      <c r="S2503" s="30" t="n"/>
      <c r="T2503" s="30" t="n"/>
      <c r="U2503" s="30" t="n"/>
      <c r="V2503" s="30" t="n"/>
      <c r="W2503" s="29">
        <f>IF(H2503="","",IF(H2503="Kenya","Yes","No"))</f>
        <v/>
      </c>
      <c r="X2503" s="29">
        <f>IF(B2503="","",IF(COUNTIF($B$5:$B$3004,B2503)&gt;1,"DUPLICATE","OK"))</f>
        <v/>
      </c>
      <c r="Y2503" s="29">
        <f>IF(OR(U2503="",V2503="",V2503="Excluded"),"",IF(COUNTIFS($U$5:$U$3004,U2503,$V$5:$V$3004,"&lt;&gt;"&amp;V2503,$V$5:$V$3004,"&lt;&gt;",$V$5:$V$3004,"&lt;&gt;Excluded")&gt;0,"LEAK RISK","OK"))</f>
        <v/>
      </c>
      <c r="Z2503" s="30" t="n"/>
    </row>
    <row r="2504">
      <c r="A2504" s="30" t="n"/>
      <c r="B2504" s="30" t="n"/>
      <c r="C2504" s="30" t="n"/>
      <c r="D2504" s="30" t="n"/>
      <c r="E2504" s="30" t="n"/>
      <c r="F2504" s="30" t="n"/>
      <c r="G2504" s="30" t="n"/>
      <c r="H2504" s="30" t="n"/>
      <c r="I2504" s="31" t="n"/>
      <c r="J2504" s="30" t="n"/>
      <c r="K2504" s="30" t="n"/>
      <c r="L2504" s="30" t="n"/>
      <c r="M2504" s="30" t="n"/>
      <c r="N2504" s="32" t="n"/>
      <c r="O2504" s="30" t="n"/>
      <c r="P2504" s="32" t="n"/>
      <c r="Q2504" s="30" t="n"/>
      <c r="R2504" s="32" t="n"/>
      <c r="S2504" s="30" t="n"/>
      <c r="T2504" s="30" t="n"/>
      <c r="U2504" s="30" t="n"/>
      <c r="V2504" s="30" t="n"/>
      <c r="W2504" s="29">
        <f>IF(H2504="","",IF(H2504="Kenya","Yes","No"))</f>
        <v/>
      </c>
      <c r="X2504" s="29">
        <f>IF(B2504="","",IF(COUNTIF($B$5:$B$3004,B2504)&gt;1,"DUPLICATE","OK"))</f>
        <v/>
      </c>
      <c r="Y2504" s="29">
        <f>IF(OR(U2504="",V2504="",V2504="Excluded"),"",IF(COUNTIFS($U$5:$U$3004,U2504,$V$5:$V$3004,"&lt;&gt;"&amp;V2504,$V$5:$V$3004,"&lt;&gt;",$V$5:$V$3004,"&lt;&gt;Excluded")&gt;0,"LEAK RISK","OK"))</f>
        <v/>
      </c>
      <c r="Z2504" s="30" t="n"/>
    </row>
    <row r="2505">
      <c r="A2505" s="30" t="n"/>
      <c r="B2505" s="30" t="n"/>
      <c r="C2505" s="30" t="n"/>
      <c r="D2505" s="30" t="n"/>
      <c r="E2505" s="30" t="n"/>
      <c r="F2505" s="30" t="n"/>
      <c r="G2505" s="30" t="n"/>
      <c r="H2505" s="30" t="n"/>
      <c r="I2505" s="31" t="n"/>
      <c r="J2505" s="30" t="n"/>
      <c r="K2505" s="30" t="n"/>
      <c r="L2505" s="30" t="n"/>
      <c r="M2505" s="30" t="n"/>
      <c r="N2505" s="32" t="n"/>
      <c r="O2505" s="30" t="n"/>
      <c r="P2505" s="32" t="n"/>
      <c r="Q2505" s="30" t="n"/>
      <c r="R2505" s="32" t="n"/>
      <c r="S2505" s="30" t="n"/>
      <c r="T2505" s="30" t="n"/>
      <c r="U2505" s="30" t="n"/>
      <c r="V2505" s="30" t="n"/>
      <c r="W2505" s="29">
        <f>IF(H2505="","",IF(H2505="Kenya","Yes","No"))</f>
        <v/>
      </c>
      <c r="X2505" s="29">
        <f>IF(B2505="","",IF(COUNTIF($B$5:$B$3004,B2505)&gt;1,"DUPLICATE","OK"))</f>
        <v/>
      </c>
      <c r="Y2505" s="29">
        <f>IF(OR(U2505="",V2505="",V2505="Excluded"),"",IF(COUNTIFS($U$5:$U$3004,U2505,$V$5:$V$3004,"&lt;&gt;"&amp;V2505,$V$5:$V$3004,"&lt;&gt;",$V$5:$V$3004,"&lt;&gt;Excluded")&gt;0,"LEAK RISK","OK"))</f>
        <v/>
      </c>
      <c r="Z2505" s="30" t="n"/>
    </row>
    <row r="2506">
      <c r="A2506" s="30" t="n"/>
      <c r="B2506" s="30" t="n"/>
      <c r="C2506" s="30" t="n"/>
      <c r="D2506" s="30" t="n"/>
      <c r="E2506" s="30" t="n"/>
      <c r="F2506" s="30" t="n"/>
      <c r="G2506" s="30" t="n"/>
      <c r="H2506" s="30" t="n"/>
      <c r="I2506" s="31" t="n"/>
      <c r="J2506" s="30" t="n"/>
      <c r="K2506" s="30" t="n"/>
      <c r="L2506" s="30" t="n"/>
      <c r="M2506" s="30" t="n"/>
      <c r="N2506" s="32" t="n"/>
      <c r="O2506" s="30" t="n"/>
      <c r="P2506" s="32" t="n"/>
      <c r="Q2506" s="30" t="n"/>
      <c r="R2506" s="32" t="n"/>
      <c r="S2506" s="30" t="n"/>
      <c r="T2506" s="30" t="n"/>
      <c r="U2506" s="30" t="n"/>
      <c r="V2506" s="30" t="n"/>
      <c r="W2506" s="29">
        <f>IF(H2506="","",IF(H2506="Kenya","Yes","No"))</f>
        <v/>
      </c>
      <c r="X2506" s="29">
        <f>IF(B2506="","",IF(COUNTIF($B$5:$B$3004,B2506)&gt;1,"DUPLICATE","OK"))</f>
        <v/>
      </c>
      <c r="Y2506" s="29">
        <f>IF(OR(U2506="",V2506="",V2506="Excluded"),"",IF(COUNTIFS($U$5:$U$3004,U2506,$V$5:$V$3004,"&lt;&gt;"&amp;V2506,$V$5:$V$3004,"&lt;&gt;",$V$5:$V$3004,"&lt;&gt;Excluded")&gt;0,"LEAK RISK","OK"))</f>
        <v/>
      </c>
      <c r="Z2506" s="30" t="n"/>
    </row>
    <row r="2507">
      <c r="A2507" s="30" t="n"/>
      <c r="B2507" s="30" t="n"/>
      <c r="C2507" s="30" t="n"/>
      <c r="D2507" s="30" t="n"/>
      <c r="E2507" s="30" t="n"/>
      <c r="F2507" s="30" t="n"/>
      <c r="G2507" s="30" t="n"/>
      <c r="H2507" s="30" t="n"/>
      <c r="I2507" s="31" t="n"/>
      <c r="J2507" s="30" t="n"/>
      <c r="K2507" s="30" t="n"/>
      <c r="L2507" s="30" t="n"/>
      <c r="M2507" s="30" t="n"/>
      <c r="N2507" s="32" t="n"/>
      <c r="O2507" s="30" t="n"/>
      <c r="P2507" s="32" t="n"/>
      <c r="Q2507" s="30" t="n"/>
      <c r="R2507" s="32" t="n"/>
      <c r="S2507" s="30" t="n"/>
      <c r="T2507" s="30" t="n"/>
      <c r="U2507" s="30" t="n"/>
      <c r="V2507" s="30" t="n"/>
      <c r="W2507" s="29">
        <f>IF(H2507="","",IF(H2507="Kenya","Yes","No"))</f>
        <v/>
      </c>
      <c r="X2507" s="29">
        <f>IF(B2507="","",IF(COUNTIF($B$5:$B$3004,B2507)&gt;1,"DUPLICATE","OK"))</f>
        <v/>
      </c>
      <c r="Y2507" s="29">
        <f>IF(OR(U2507="",V2507="",V2507="Excluded"),"",IF(COUNTIFS($U$5:$U$3004,U2507,$V$5:$V$3004,"&lt;&gt;"&amp;V2507,$V$5:$V$3004,"&lt;&gt;",$V$5:$V$3004,"&lt;&gt;Excluded")&gt;0,"LEAK RISK","OK"))</f>
        <v/>
      </c>
      <c r="Z2507" s="30" t="n"/>
    </row>
    <row r="2508">
      <c r="A2508" s="30" t="n"/>
      <c r="B2508" s="30" t="n"/>
      <c r="C2508" s="30" t="n"/>
      <c r="D2508" s="30" t="n"/>
      <c r="E2508" s="30" t="n"/>
      <c r="F2508" s="30" t="n"/>
      <c r="G2508" s="30" t="n"/>
      <c r="H2508" s="30" t="n"/>
      <c r="I2508" s="31" t="n"/>
      <c r="J2508" s="30" t="n"/>
      <c r="K2508" s="30" t="n"/>
      <c r="L2508" s="30" t="n"/>
      <c r="M2508" s="30" t="n"/>
      <c r="N2508" s="32" t="n"/>
      <c r="O2508" s="30" t="n"/>
      <c r="P2508" s="32" t="n"/>
      <c r="Q2508" s="30" t="n"/>
      <c r="R2508" s="32" t="n"/>
      <c r="S2508" s="30" t="n"/>
      <c r="T2508" s="30" t="n"/>
      <c r="U2508" s="30" t="n"/>
      <c r="V2508" s="30" t="n"/>
      <c r="W2508" s="29">
        <f>IF(H2508="","",IF(H2508="Kenya","Yes","No"))</f>
        <v/>
      </c>
      <c r="X2508" s="29">
        <f>IF(B2508="","",IF(COUNTIF($B$5:$B$3004,B2508)&gt;1,"DUPLICATE","OK"))</f>
        <v/>
      </c>
      <c r="Y2508" s="29">
        <f>IF(OR(U2508="",V2508="",V2508="Excluded"),"",IF(COUNTIFS($U$5:$U$3004,U2508,$V$5:$V$3004,"&lt;&gt;"&amp;V2508,$V$5:$V$3004,"&lt;&gt;",$V$5:$V$3004,"&lt;&gt;Excluded")&gt;0,"LEAK RISK","OK"))</f>
        <v/>
      </c>
      <c r="Z2508" s="30" t="n"/>
    </row>
    <row r="2509">
      <c r="A2509" s="30" t="n"/>
      <c r="B2509" s="30" t="n"/>
      <c r="C2509" s="30" t="n"/>
      <c r="D2509" s="30" t="n"/>
      <c r="E2509" s="30" t="n"/>
      <c r="F2509" s="30" t="n"/>
      <c r="G2509" s="30" t="n"/>
      <c r="H2509" s="30" t="n"/>
      <c r="I2509" s="31" t="n"/>
      <c r="J2509" s="30" t="n"/>
      <c r="K2509" s="30" t="n"/>
      <c r="L2509" s="30" t="n"/>
      <c r="M2509" s="30" t="n"/>
      <c r="N2509" s="32" t="n"/>
      <c r="O2509" s="30" t="n"/>
      <c r="P2509" s="32" t="n"/>
      <c r="Q2509" s="30" t="n"/>
      <c r="R2509" s="32" t="n"/>
      <c r="S2509" s="30" t="n"/>
      <c r="T2509" s="30" t="n"/>
      <c r="U2509" s="30" t="n"/>
      <c r="V2509" s="30" t="n"/>
      <c r="W2509" s="29">
        <f>IF(H2509="","",IF(H2509="Kenya","Yes","No"))</f>
        <v/>
      </c>
      <c r="X2509" s="29">
        <f>IF(B2509="","",IF(COUNTIF($B$5:$B$3004,B2509)&gt;1,"DUPLICATE","OK"))</f>
        <v/>
      </c>
      <c r="Y2509" s="29">
        <f>IF(OR(U2509="",V2509="",V2509="Excluded"),"",IF(COUNTIFS($U$5:$U$3004,U2509,$V$5:$V$3004,"&lt;&gt;"&amp;V2509,$V$5:$V$3004,"&lt;&gt;",$V$5:$V$3004,"&lt;&gt;Excluded")&gt;0,"LEAK RISK","OK"))</f>
        <v/>
      </c>
      <c r="Z2509" s="30" t="n"/>
    </row>
    <row r="2510">
      <c r="A2510" s="30" t="n"/>
      <c r="B2510" s="30" t="n"/>
      <c r="C2510" s="30" t="n"/>
      <c r="D2510" s="30" t="n"/>
      <c r="E2510" s="30" t="n"/>
      <c r="F2510" s="30" t="n"/>
      <c r="G2510" s="30" t="n"/>
      <c r="H2510" s="30" t="n"/>
      <c r="I2510" s="31" t="n"/>
      <c r="J2510" s="30" t="n"/>
      <c r="K2510" s="30" t="n"/>
      <c r="L2510" s="30" t="n"/>
      <c r="M2510" s="30" t="n"/>
      <c r="N2510" s="32" t="n"/>
      <c r="O2510" s="30" t="n"/>
      <c r="P2510" s="32" t="n"/>
      <c r="Q2510" s="30" t="n"/>
      <c r="R2510" s="32" t="n"/>
      <c r="S2510" s="30" t="n"/>
      <c r="T2510" s="30" t="n"/>
      <c r="U2510" s="30" t="n"/>
      <c r="V2510" s="30" t="n"/>
      <c r="W2510" s="29">
        <f>IF(H2510="","",IF(H2510="Kenya","Yes","No"))</f>
        <v/>
      </c>
      <c r="X2510" s="29">
        <f>IF(B2510="","",IF(COUNTIF($B$5:$B$3004,B2510)&gt;1,"DUPLICATE","OK"))</f>
        <v/>
      </c>
      <c r="Y2510" s="29">
        <f>IF(OR(U2510="",V2510="",V2510="Excluded"),"",IF(COUNTIFS($U$5:$U$3004,U2510,$V$5:$V$3004,"&lt;&gt;"&amp;V2510,$V$5:$V$3004,"&lt;&gt;",$V$5:$V$3004,"&lt;&gt;Excluded")&gt;0,"LEAK RISK","OK"))</f>
        <v/>
      </c>
      <c r="Z2510" s="30" t="n"/>
    </row>
    <row r="2511">
      <c r="A2511" s="30" t="n"/>
      <c r="B2511" s="30" t="n"/>
      <c r="C2511" s="30" t="n"/>
      <c r="D2511" s="30" t="n"/>
      <c r="E2511" s="30" t="n"/>
      <c r="F2511" s="30" t="n"/>
      <c r="G2511" s="30" t="n"/>
      <c r="H2511" s="30" t="n"/>
      <c r="I2511" s="31" t="n"/>
      <c r="J2511" s="30" t="n"/>
      <c r="K2511" s="30" t="n"/>
      <c r="L2511" s="30" t="n"/>
      <c r="M2511" s="30" t="n"/>
      <c r="N2511" s="32" t="n"/>
      <c r="O2511" s="30" t="n"/>
      <c r="P2511" s="32" t="n"/>
      <c r="Q2511" s="30" t="n"/>
      <c r="R2511" s="32" t="n"/>
      <c r="S2511" s="30" t="n"/>
      <c r="T2511" s="30" t="n"/>
      <c r="U2511" s="30" t="n"/>
      <c r="V2511" s="30" t="n"/>
      <c r="W2511" s="29">
        <f>IF(H2511="","",IF(H2511="Kenya","Yes","No"))</f>
        <v/>
      </c>
      <c r="X2511" s="29">
        <f>IF(B2511="","",IF(COUNTIF($B$5:$B$3004,B2511)&gt;1,"DUPLICATE","OK"))</f>
        <v/>
      </c>
      <c r="Y2511" s="29">
        <f>IF(OR(U2511="",V2511="",V2511="Excluded"),"",IF(COUNTIFS($U$5:$U$3004,U2511,$V$5:$V$3004,"&lt;&gt;"&amp;V2511,$V$5:$V$3004,"&lt;&gt;",$V$5:$V$3004,"&lt;&gt;Excluded")&gt;0,"LEAK RISK","OK"))</f>
        <v/>
      </c>
      <c r="Z2511" s="30" t="n"/>
    </row>
    <row r="2512">
      <c r="A2512" s="30" t="n"/>
      <c r="B2512" s="30" t="n"/>
      <c r="C2512" s="30" t="n"/>
      <c r="D2512" s="30" t="n"/>
      <c r="E2512" s="30" t="n"/>
      <c r="F2512" s="30" t="n"/>
      <c r="G2512" s="30" t="n"/>
      <c r="H2512" s="30" t="n"/>
      <c r="I2512" s="31" t="n"/>
      <c r="J2512" s="30" t="n"/>
      <c r="K2512" s="30" t="n"/>
      <c r="L2512" s="30" t="n"/>
      <c r="M2512" s="30" t="n"/>
      <c r="N2512" s="32" t="n"/>
      <c r="O2512" s="30" t="n"/>
      <c r="P2512" s="32" t="n"/>
      <c r="Q2512" s="30" t="n"/>
      <c r="R2512" s="32" t="n"/>
      <c r="S2512" s="30" t="n"/>
      <c r="T2512" s="30" t="n"/>
      <c r="U2512" s="30" t="n"/>
      <c r="V2512" s="30" t="n"/>
      <c r="W2512" s="29">
        <f>IF(H2512="","",IF(H2512="Kenya","Yes","No"))</f>
        <v/>
      </c>
      <c r="X2512" s="29">
        <f>IF(B2512="","",IF(COUNTIF($B$5:$B$3004,B2512)&gt;1,"DUPLICATE","OK"))</f>
        <v/>
      </c>
      <c r="Y2512" s="29">
        <f>IF(OR(U2512="",V2512="",V2512="Excluded"),"",IF(COUNTIFS($U$5:$U$3004,U2512,$V$5:$V$3004,"&lt;&gt;"&amp;V2512,$V$5:$V$3004,"&lt;&gt;",$V$5:$V$3004,"&lt;&gt;Excluded")&gt;0,"LEAK RISK","OK"))</f>
        <v/>
      </c>
      <c r="Z2512" s="30" t="n"/>
    </row>
    <row r="2513">
      <c r="A2513" s="30" t="n"/>
      <c r="B2513" s="30" t="n"/>
      <c r="C2513" s="30" t="n"/>
      <c r="D2513" s="30" t="n"/>
      <c r="E2513" s="30" t="n"/>
      <c r="F2513" s="30" t="n"/>
      <c r="G2513" s="30" t="n"/>
      <c r="H2513" s="30" t="n"/>
      <c r="I2513" s="31" t="n"/>
      <c r="J2513" s="30" t="n"/>
      <c r="K2513" s="30" t="n"/>
      <c r="L2513" s="30" t="n"/>
      <c r="M2513" s="30" t="n"/>
      <c r="N2513" s="32" t="n"/>
      <c r="O2513" s="30" t="n"/>
      <c r="P2513" s="32" t="n"/>
      <c r="Q2513" s="30" t="n"/>
      <c r="R2513" s="32" t="n"/>
      <c r="S2513" s="30" t="n"/>
      <c r="T2513" s="30" t="n"/>
      <c r="U2513" s="30" t="n"/>
      <c r="V2513" s="30" t="n"/>
      <c r="W2513" s="29">
        <f>IF(H2513="","",IF(H2513="Kenya","Yes","No"))</f>
        <v/>
      </c>
      <c r="X2513" s="29">
        <f>IF(B2513="","",IF(COUNTIF($B$5:$B$3004,B2513)&gt;1,"DUPLICATE","OK"))</f>
        <v/>
      </c>
      <c r="Y2513" s="29">
        <f>IF(OR(U2513="",V2513="",V2513="Excluded"),"",IF(COUNTIFS($U$5:$U$3004,U2513,$V$5:$V$3004,"&lt;&gt;"&amp;V2513,$V$5:$V$3004,"&lt;&gt;",$V$5:$V$3004,"&lt;&gt;Excluded")&gt;0,"LEAK RISK","OK"))</f>
        <v/>
      </c>
      <c r="Z2513" s="30" t="n"/>
    </row>
    <row r="2514">
      <c r="A2514" s="30" t="n"/>
      <c r="B2514" s="30" t="n"/>
      <c r="C2514" s="30" t="n"/>
      <c r="D2514" s="30" t="n"/>
      <c r="E2514" s="30" t="n"/>
      <c r="F2514" s="30" t="n"/>
      <c r="G2514" s="30" t="n"/>
      <c r="H2514" s="30" t="n"/>
      <c r="I2514" s="31" t="n"/>
      <c r="J2514" s="30" t="n"/>
      <c r="K2514" s="30" t="n"/>
      <c r="L2514" s="30" t="n"/>
      <c r="M2514" s="30" t="n"/>
      <c r="N2514" s="32" t="n"/>
      <c r="O2514" s="30" t="n"/>
      <c r="P2514" s="32" t="n"/>
      <c r="Q2514" s="30" t="n"/>
      <c r="R2514" s="32" t="n"/>
      <c r="S2514" s="30" t="n"/>
      <c r="T2514" s="30" t="n"/>
      <c r="U2514" s="30" t="n"/>
      <c r="V2514" s="30" t="n"/>
      <c r="W2514" s="29">
        <f>IF(H2514="","",IF(H2514="Kenya","Yes","No"))</f>
        <v/>
      </c>
      <c r="X2514" s="29">
        <f>IF(B2514="","",IF(COUNTIF($B$5:$B$3004,B2514)&gt;1,"DUPLICATE","OK"))</f>
        <v/>
      </c>
      <c r="Y2514" s="29">
        <f>IF(OR(U2514="",V2514="",V2514="Excluded"),"",IF(COUNTIFS($U$5:$U$3004,U2514,$V$5:$V$3004,"&lt;&gt;"&amp;V2514,$V$5:$V$3004,"&lt;&gt;",$V$5:$V$3004,"&lt;&gt;Excluded")&gt;0,"LEAK RISK","OK"))</f>
        <v/>
      </c>
      <c r="Z2514" s="30" t="n"/>
    </row>
    <row r="2515">
      <c r="A2515" s="30" t="n"/>
      <c r="B2515" s="30" t="n"/>
      <c r="C2515" s="30" t="n"/>
      <c r="D2515" s="30" t="n"/>
      <c r="E2515" s="30" t="n"/>
      <c r="F2515" s="30" t="n"/>
      <c r="G2515" s="30" t="n"/>
      <c r="H2515" s="30" t="n"/>
      <c r="I2515" s="31" t="n"/>
      <c r="J2515" s="30" t="n"/>
      <c r="K2515" s="30" t="n"/>
      <c r="L2515" s="30" t="n"/>
      <c r="M2515" s="30" t="n"/>
      <c r="N2515" s="32" t="n"/>
      <c r="O2515" s="30" t="n"/>
      <c r="P2515" s="32" t="n"/>
      <c r="Q2515" s="30" t="n"/>
      <c r="R2515" s="32" t="n"/>
      <c r="S2515" s="30" t="n"/>
      <c r="T2515" s="30" t="n"/>
      <c r="U2515" s="30" t="n"/>
      <c r="V2515" s="30" t="n"/>
      <c r="W2515" s="29">
        <f>IF(H2515="","",IF(H2515="Kenya","Yes","No"))</f>
        <v/>
      </c>
      <c r="X2515" s="29">
        <f>IF(B2515="","",IF(COUNTIF($B$5:$B$3004,B2515)&gt;1,"DUPLICATE","OK"))</f>
        <v/>
      </c>
      <c r="Y2515" s="29">
        <f>IF(OR(U2515="",V2515="",V2515="Excluded"),"",IF(COUNTIFS($U$5:$U$3004,U2515,$V$5:$V$3004,"&lt;&gt;"&amp;V2515,$V$5:$V$3004,"&lt;&gt;",$V$5:$V$3004,"&lt;&gt;Excluded")&gt;0,"LEAK RISK","OK"))</f>
        <v/>
      </c>
      <c r="Z2515" s="30" t="n"/>
    </row>
    <row r="2516">
      <c r="A2516" s="30" t="n"/>
      <c r="B2516" s="30" t="n"/>
      <c r="C2516" s="30" t="n"/>
      <c r="D2516" s="30" t="n"/>
      <c r="E2516" s="30" t="n"/>
      <c r="F2516" s="30" t="n"/>
      <c r="G2516" s="30" t="n"/>
      <c r="H2516" s="30" t="n"/>
      <c r="I2516" s="31" t="n"/>
      <c r="J2516" s="30" t="n"/>
      <c r="K2516" s="30" t="n"/>
      <c r="L2516" s="30" t="n"/>
      <c r="M2516" s="30" t="n"/>
      <c r="N2516" s="32" t="n"/>
      <c r="O2516" s="30" t="n"/>
      <c r="P2516" s="32" t="n"/>
      <c r="Q2516" s="30" t="n"/>
      <c r="R2516" s="32" t="n"/>
      <c r="S2516" s="30" t="n"/>
      <c r="T2516" s="30" t="n"/>
      <c r="U2516" s="30" t="n"/>
      <c r="V2516" s="30" t="n"/>
      <c r="W2516" s="29">
        <f>IF(H2516="","",IF(H2516="Kenya","Yes","No"))</f>
        <v/>
      </c>
      <c r="X2516" s="29">
        <f>IF(B2516="","",IF(COUNTIF($B$5:$B$3004,B2516)&gt;1,"DUPLICATE","OK"))</f>
        <v/>
      </c>
      <c r="Y2516" s="29">
        <f>IF(OR(U2516="",V2516="",V2516="Excluded"),"",IF(COUNTIFS($U$5:$U$3004,U2516,$V$5:$V$3004,"&lt;&gt;"&amp;V2516,$V$5:$V$3004,"&lt;&gt;",$V$5:$V$3004,"&lt;&gt;Excluded")&gt;0,"LEAK RISK","OK"))</f>
        <v/>
      </c>
      <c r="Z2516" s="30" t="n"/>
    </row>
    <row r="2517">
      <c r="A2517" s="30" t="n"/>
      <c r="B2517" s="30" t="n"/>
      <c r="C2517" s="30" t="n"/>
      <c r="D2517" s="30" t="n"/>
      <c r="E2517" s="30" t="n"/>
      <c r="F2517" s="30" t="n"/>
      <c r="G2517" s="30" t="n"/>
      <c r="H2517" s="30" t="n"/>
      <c r="I2517" s="31" t="n"/>
      <c r="J2517" s="30" t="n"/>
      <c r="K2517" s="30" t="n"/>
      <c r="L2517" s="30" t="n"/>
      <c r="M2517" s="30" t="n"/>
      <c r="N2517" s="32" t="n"/>
      <c r="O2517" s="30" t="n"/>
      <c r="P2517" s="32" t="n"/>
      <c r="Q2517" s="30" t="n"/>
      <c r="R2517" s="32" t="n"/>
      <c r="S2517" s="30" t="n"/>
      <c r="T2517" s="30" t="n"/>
      <c r="U2517" s="30" t="n"/>
      <c r="V2517" s="30" t="n"/>
      <c r="W2517" s="29">
        <f>IF(H2517="","",IF(H2517="Kenya","Yes","No"))</f>
        <v/>
      </c>
      <c r="X2517" s="29">
        <f>IF(B2517="","",IF(COUNTIF($B$5:$B$3004,B2517)&gt;1,"DUPLICATE","OK"))</f>
        <v/>
      </c>
      <c r="Y2517" s="29">
        <f>IF(OR(U2517="",V2517="",V2517="Excluded"),"",IF(COUNTIFS($U$5:$U$3004,U2517,$V$5:$V$3004,"&lt;&gt;"&amp;V2517,$V$5:$V$3004,"&lt;&gt;",$V$5:$V$3004,"&lt;&gt;Excluded")&gt;0,"LEAK RISK","OK"))</f>
        <v/>
      </c>
      <c r="Z2517" s="30" t="n"/>
    </row>
    <row r="2518">
      <c r="A2518" s="30" t="n"/>
      <c r="B2518" s="30" t="n"/>
      <c r="C2518" s="30" t="n"/>
      <c r="D2518" s="30" t="n"/>
      <c r="E2518" s="30" t="n"/>
      <c r="F2518" s="30" t="n"/>
      <c r="G2518" s="30" t="n"/>
      <c r="H2518" s="30" t="n"/>
      <c r="I2518" s="31" t="n"/>
      <c r="J2518" s="30" t="n"/>
      <c r="K2518" s="30" t="n"/>
      <c r="L2518" s="30" t="n"/>
      <c r="M2518" s="30" t="n"/>
      <c r="N2518" s="32" t="n"/>
      <c r="O2518" s="30" t="n"/>
      <c r="P2518" s="32" t="n"/>
      <c r="Q2518" s="30" t="n"/>
      <c r="R2518" s="32" t="n"/>
      <c r="S2518" s="30" t="n"/>
      <c r="T2518" s="30" t="n"/>
      <c r="U2518" s="30" t="n"/>
      <c r="V2518" s="30" t="n"/>
      <c r="W2518" s="29">
        <f>IF(H2518="","",IF(H2518="Kenya","Yes","No"))</f>
        <v/>
      </c>
      <c r="X2518" s="29">
        <f>IF(B2518="","",IF(COUNTIF($B$5:$B$3004,B2518)&gt;1,"DUPLICATE","OK"))</f>
        <v/>
      </c>
      <c r="Y2518" s="29">
        <f>IF(OR(U2518="",V2518="",V2518="Excluded"),"",IF(COUNTIFS($U$5:$U$3004,U2518,$V$5:$V$3004,"&lt;&gt;"&amp;V2518,$V$5:$V$3004,"&lt;&gt;",$V$5:$V$3004,"&lt;&gt;Excluded")&gt;0,"LEAK RISK","OK"))</f>
        <v/>
      </c>
      <c r="Z2518" s="30" t="n"/>
    </row>
    <row r="2519">
      <c r="A2519" s="30" t="n"/>
      <c r="B2519" s="30" t="n"/>
      <c r="C2519" s="30" t="n"/>
      <c r="D2519" s="30" t="n"/>
      <c r="E2519" s="30" t="n"/>
      <c r="F2519" s="30" t="n"/>
      <c r="G2519" s="30" t="n"/>
      <c r="H2519" s="30" t="n"/>
      <c r="I2519" s="31" t="n"/>
      <c r="J2519" s="30" t="n"/>
      <c r="K2519" s="30" t="n"/>
      <c r="L2519" s="30" t="n"/>
      <c r="M2519" s="30" t="n"/>
      <c r="N2519" s="32" t="n"/>
      <c r="O2519" s="30" t="n"/>
      <c r="P2519" s="32" t="n"/>
      <c r="Q2519" s="30" t="n"/>
      <c r="R2519" s="32" t="n"/>
      <c r="S2519" s="30" t="n"/>
      <c r="T2519" s="30" t="n"/>
      <c r="U2519" s="30" t="n"/>
      <c r="V2519" s="30" t="n"/>
      <c r="W2519" s="29">
        <f>IF(H2519="","",IF(H2519="Kenya","Yes","No"))</f>
        <v/>
      </c>
      <c r="X2519" s="29">
        <f>IF(B2519="","",IF(COUNTIF($B$5:$B$3004,B2519)&gt;1,"DUPLICATE","OK"))</f>
        <v/>
      </c>
      <c r="Y2519" s="29">
        <f>IF(OR(U2519="",V2519="",V2519="Excluded"),"",IF(COUNTIFS($U$5:$U$3004,U2519,$V$5:$V$3004,"&lt;&gt;"&amp;V2519,$V$5:$V$3004,"&lt;&gt;",$V$5:$V$3004,"&lt;&gt;Excluded")&gt;0,"LEAK RISK","OK"))</f>
        <v/>
      </c>
      <c r="Z2519" s="30" t="n"/>
    </row>
    <row r="2520">
      <c r="A2520" s="30" t="n"/>
      <c r="B2520" s="30" t="n"/>
      <c r="C2520" s="30" t="n"/>
      <c r="D2520" s="30" t="n"/>
      <c r="E2520" s="30" t="n"/>
      <c r="F2520" s="30" t="n"/>
      <c r="G2520" s="30" t="n"/>
      <c r="H2520" s="30" t="n"/>
      <c r="I2520" s="31" t="n"/>
      <c r="J2520" s="30" t="n"/>
      <c r="K2520" s="30" t="n"/>
      <c r="L2520" s="30" t="n"/>
      <c r="M2520" s="30" t="n"/>
      <c r="N2520" s="32" t="n"/>
      <c r="O2520" s="30" t="n"/>
      <c r="P2520" s="32" t="n"/>
      <c r="Q2520" s="30" t="n"/>
      <c r="R2520" s="32" t="n"/>
      <c r="S2520" s="30" t="n"/>
      <c r="T2520" s="30" t="n"/>
      <c r="U2520" s="30" t="n"/>
      <c r="V2520" s="30" t="n"/>
      <c r="W2520" s="29">
        <f>IF(H2520="","",IF(H2520="Kenya","Yes","No"))</f>
        <v/>
      </c>
      <c r="X2520" s="29">
        <f>IF(B2520="","",IF(COUNTIF($B$5:$B$3004,B2520)&gt;1,"DUPLICATE","OK"))</f>
        <v/>
      </c>
      <c r="Y2520" s="29">
        <f>IF(OR(U2520="",V2520="",V2520="Excluded"),"",IF(COUNTIFS($U$5:$U$3004,U2520,$V$5:$V$3004,"&lt;&gt;"&amp;V2520,$V$5:$V$3004,"&lt;&gt;",$V$5:$V$3004,"&lt;&gt;Excluded")&gt;0,"LEAK RISK","OK"))</f>
        <v/>
      </c>
      <c r="Z2520" s="30" t="n"/>
    </row>
    <row r="2521">
      <c r="A2521" s="30" t="n"/>
      <c r="B2521" s="30" t="n"/>
      <c r="C2521" s="30" t="n"/>
      <c r="D2521" s="30" t="n"/>
      <c r="E2521" s="30" t="n"/>
      <c r="F2521" s="30" t="n"/>
      <c r="G2521" s="30" t="n"/>
      <c r="H2521" s="30" t="n"/>
      <c r="I2521" s="31" t="n"/>
      <c r="J2521" s="30" t="n"/>
      <c r="K2521" s="30" t="n"/>
      <c r="L2521" s="30" t="n"/>
      <c r="M2521" s="30" t="n"/>
      <c r="N2521" s="32" t="n"/>
      <c r="O2521" s="30" t="n"/>
      <c r="P2521" s="32" t="n"/>
      <c r="Q2521" s="30" t="n"/>
      <c r="R2521" s="32" t="n"/>
      <c r="S2521" s="30" t="n"/>
      <c r="T2521" s="30" t="n"/>
      <c r="U2521" s="30" t="n"/>
      <c r="V2521" s="30" t="n"/>
      <c r="W2521" s="29">
        <f>IF(H2521="","",IF(H2521="Kenya","Yes","No"))</f>
        <v/>
      </c>
      <c r="X2521" s="29">
        <f>IF(B2521="","",IF(COUNTIF($B$5:$B$3004,B2521)&gt;1,"DUPLICATE","OK"))</f>
        <v/>
      </c>
      <c r="Y2521" s="29">
        <f>IF(OR(U2521="",V2521="",V2521="Excluded"),"",IF(COUNTIFS($U$5:$U$3004,U2521,$V$5:$V$3004,"&lt;&gt;"&amp;V2521,$V$5:$V$3004,"&lt;&gt;",$V$5:$V$3004,"&lt;&gt;Excluded")&gt;0,"LEAK RISK","OK"))</f>
        <v/>
      </c>
      <c r="Z2521" s="30" t="n"/>
    </row>
    <row r="2522">
      <c r="A2522" s="30" t="n"/>
      <c r="B2522" s="30" t="n"/>
      <c r="C2522" s="30" t="n"/>
      <c r="D2522" s="30" t="n"/>
      <c r="E2522" s="30" t="n"/>
      <c r="F2522" s="30" t="n"/>
      <c r="G2522" s="30" t="n"/>
      <c r="H2522" s="30" t="n"/>
      <c r="I2522" s="31" t="n"/>
      <c r="J2522" s="30" t="n"/>
      <c r="K2522" s="30" t="n"/>
      <c r="L2522" s="30" t="n"/>
      <c r="M2522" s="30" t="n"/>
      <c r="N2522" s="32" t="n"/>
      <c r="O2522" s="30" t="n"/>
      <c r="P2522" s="32" t="n"/>
      <c r="Q2522" s="30" t="n"/>
      <c r="R2522" s="32" t="n"/>
      <c r="S2522" s="30" t="n"/>
      <c r="T2522" s="30" t="n"/>
      <c r="U2522" s="30" t="n"/>
      <c r="V2522" s="30" t="n"/>
      <c r="W2522" s="29">
        <f>IF(H2522="","",IF(H2522="Kenya","Yes","No"))</f>
        <v/>
      </c>
      <c r="X2522" s="29">
        <f>IF(B2522="","",IF(COUNTIF($B$5:$B$3004,B2522)&gt;1,"DUPLICATE","OK"))</f>
        <v/>
      </c>
      <c r="Y2522" s="29">
        <f>IF(OR(U2522="",V2522="",V2522="Excluded"),"",IF(COUNTIFS($U$5:$U$3004,U2522,$V$5:$V$3004,"&lt;&gt;"&amp;V2522,$V$5:$V$3004,"&lt;&gt;",$V$5:$V$3004,"&lt;&gt;Excluded")&gt;0,"LEAK RISK","OK"))</f>
        <v/>
      </c>
      <c r="Z2522" s="30" t="n"/>
    </row>
    <row r="2523">
      <c r="A2523" s="30" t="n"/>
      <c r="B2523" s="30" t="n"/>
      <c r="C2523" s="30" t="n"/>
      <c r="D2523" s="30" t="n"/>
      <c r="E2523" s="30" t="n"/>
      <c r="F2523" s="30" t="n"/>
      <c r="G2523" s="30" t="n"/>
      <c r="H2523" s="30" t="n"/>
      <c r="I2523" s="31" t="n"/>
      <c r="J2523" s="30" t="n"/>
      <c r="K2523" s="30" t="n"/>
      <c r="L2523" s="30" t="n"/>
      <c r="M2523" s="30" t="n"/>
      <c r="N2523" s="32" t="n"/>
      <c r="O2523" s="30" t="n"/>
      <c r="P2523" s="32" t="n"/>
      <c r="Q2523" s="30" t="n"/>
      <c r="R2523" s="32" t="n"/>
      <c r="S2523" s="30" t="n"/>
      <c r="T2523" s="30" t="n"/>
      <c r="U2523" s="30" t="n"/>
      <c r="V2523" s="30" t="n"/>
      <c r="W2523" s="29">
        <f>IF(H2523="","",IF(H2523="Kenya","Yes","No"))</f>
        <v/>
      </c>
      <c r="X2523" s="29">
        <f>IF(B2523="","",IF(COUNTIF($B$5:$B$3004,B2523)&gt;1,"DUPLICATE","OK"))</f>
        <v/>
      </c>
      <c r="Y2523" s="29">
        <f>IF(OR(U2523="",V2523="",V2523="Excluded"),"",IF(COUNTIFS($U$5:$U$3004,U2523,$V$5:$V$3004,"&lt;&gt;"&amp;V2523,$V$5:$V$3004,"&lt;&gt;",$V$5:$V$3004,"&lt;&gt;Excluded")&gt;0,"LEAK RISK","OK"))</f>
        <v/>
      </c>
      <c r="Z2523" s="30" t="n"/>
    </row>
    <row r="2524">
      <c r="A2524" s="30" t="n"/>
      <c r="B2524" s="30" t="n"/>
      <c r="C2524" s="30" t="n"/>
      <c r="D2524" s="30" t="n"/>
      <c r="E2524" s="30" t="n"/>
      <c r="F2524" s="30" t="n"/>
      <c r="G2524" s="30" t="n"/>
      <c r="H2524" s="30" t="n"/>
      <c r="I2524" s="31" t="n"/>
      <c r="J2524" s="30" t="n"/>
      <c r="K2524" s="30" t="n"/>
      <c r="L2524" s="30" t="n"/>
      <c r="M2524" s="30" t="n"/>
      <c r="N2524" s="32" t="n"/>
      <c r="O2524" s="30" t="n"/>
      <c r="P2524" s="32" t="n"/>
      <c r="Q2524" s="30" t="n"/>
      <c r="R2524" s="32" t="n"/>
      <c r="S2524" s="30" t="n"/>
      <c r="T2524" s="30" t="n"/>
      <c r="U2524" s="30" t="n"/>
      <c r="V2524" s="30" t="n"/>
      <c r="W2524" s="29">
        <f>IF(H2524="","",IF(H2524="Kenya","Yes","No"))</f>
        <v/>
      </c>
      <c r="X2524" s="29">
        <f>IF(B2524="","",IF(COUNTIF($B$5:$B$3004,B2524)&gt;1,"DUPLICATE","OK"))</f>
        <v/>
      </c>
      <c r="Y2524" s="29">
        <f>IF(OR(U2524="",V2524="",V2524="Excluded"),"",IF(COUNTIFS($U$5:$U$3004,U2524,$V$5:$V$3004,"&lt;&gt;"&amp;V2524,$V$5:$V$3004,"&lt;&gt;",$V$5:$V$3004,"&lt;&gt;Excluded")&gt;0,"LEAK RISK","OK"))</f>
        <v/>
      </c>
      <c r="Z2524" s="30" t="n"/>
    </row>
    <row r="2525">
      <c r="A2525" s="30" t="n"/>
      <c r="B2525" s="30" t="n"/>
      <c r="C2525" s="30" t="n"/>
      <c r="D2525" s="30" t="n"/>
      <c r="E2525" s="30" t="n"/>
      <c r="F2525" s="30" t="n"/>
      <c r="G2525" s="30" t="n"/>
      <c r="H2525" s="30" t="n"/>
      <c r="I2525" s="31" t="n"/>
      <c r="J2525" s="30" t="n"/>
      <c r="K2525" s="30" t="n"/>
      <c r="L2525" s="30" t="n"/>
      <c r="M2525" s="30" t="n"/>
      <c r="N2525" s="32" t="n"/>
      <c r="O2525" s="30" t="n"/>
      <c r="P2525" s="32" t="n"/>
      <c r="Q2525" s="30" t="n"/>
      <c r="R2525" s="32" t="n"/>
      <c r="S2525" s="30" t="n"/>
      <c r="T2525" s="30" t="n"/>
      <c r="U2525" s="30" t="n"/>
      <c r="V2525" s="30" t="n"/>
      <c r="W2525" s="29">
        <f>IF(H2525="","",IF(H2525="Kenya","Yes","No"))</f>
        <v/>
      </c>
      <c r="X2525" s="29">
        <f>IF(B2525="","",IF(COUNTIF($B$5:$B$3004,B2525)&gt;1,"DUPLICATE","OK"))</f>
        <v/>
      </c>
      <c r="Y2525" s="29">
        <f>IF(OR(U2525="",V2525="",V2525="Excluded"),"",IF(COUNTIFS($U$5:$U$3004,U2525,$V$5:$V$3004,"&lt;&gt;"&amp;V2525,$V$5:$V$3004,"&lt;&gt;",$V$5:$V$3004,"&lt;&gt;Excluded")&gt;0,"LEAK RISK","OK"))</f>
        <v/>
      </c>
      <c r="Z2525" s="30" t="n"/>
    </row>
    <row r="2526">
      <c r="A2526" s="30" t="n"/>
      <c r="B2526" s="30" t="n"/>
      <c r="C2526" s="30" t="n"/>
      <c r="D2526" s="30" t="n"/>
      <c r="E2526" s="30" t="n"/>
      <c r="F2526" s="30" t="n"/>
      <c r="G2526" s="30" t="n"/>
      <c r="H2526" s="30" t="n"/>
      <c r="I2526" s="31" t="n"/>
      <c r="J2526" s="30" t="n"/>
      <c r="K2526" s="30" t="n"/>
      <c r="L2526" s="30" t="n"/>
      <c r="M2526" s="30" t="n"/>
      <c r="N2526" s="32" t="n"/>
      <c r="O2526" s="30" t="n"/>
      <c r="P2526" s="32" t="n"/>
      <c r="Q2526" s="30" t="n"/>
      <c r="R2526" s="32" t="n"/>
      <c r="S2526" s="30" t="n"/>
      <c r="T2526" s="30" t="n"/>
      <c r="U2526" s="30" t="n"/>
      <c r="V2526" s="30" t="n"/>
      <c r="W2526" s="29">
        <f>IF(H2526="","",IF(H2526="Kenya","Yes","No"))</f>
        <v/>
      </c>
      <c r="X2526" s="29">
        <f>IF(B2526="","",IF(COUNTIF($B$5:$B$3004,B2526)&gt;1,"DUPLICATE","OK"))</f>
        <v/>
      </c>
      <c r="Y2526" s="29">
        <f>IF(OR(U2526="",V2526="",V2526="Excluded"),"",IF(COUNTIFS($U$5:$U$3004,U2526,$V$5:$V$3004,"&lt;&gt;"&amp;V2526,$V$5:$V$3004,"&lt;&gt;",$V$5:$V$3004,"&lt;&gt;Excluded")&gt;0,"LEAK RISK","OK"))</f>
        <v/>
      </c>
      <c r="Z2526" s="30" t="n"/>
    </row>
    <row r="2527">
      <c r="A2527" s="30" t="n"/>
      <c r="B2527" s="30" t="n"/>
      <c r="C2527" s="30" t="n"/>
      <c r="D2527" s="30" t="n"/>
      <c r="E2527" s="30" t="n"/>
      <c r="F2527" s="30" t="n"/>
      <c r="G2527" s="30" t="n"/>
      <c r="H2527" s="30" t="n"/>
      <c r="I2527" s="31" t="n"/>
      <c r="J2527" s="30" t="n"/>
      <c r="K2527" s="30" t="n"/>
      <c r="L2527" s="30" t="n"/>
      <c r="M2527" s="30" t="n"/>
      <c r="N2527" s="32" t="n"/>
      <c r="O2527" s="30" t="n"/>
      <c r="P2527" s="32" t="n"/>
      <c r="Q2527" s="30" t="n"/>
      <c r="R2527" s="32" t="n"/>
      <c r="S2527" s="30" t="n"/>
      <c r="T2527" s="30" t="n"/>
      <c r="U2527" s="30" t="n"/>
      <c r="V2527" s="30" t="n"/>
      <c r="W2527" s="29">
        <f>IF(H2527="","",IF(H2527="Kenya","Yes","No"))</f>
        <v/>
      </c>
      <c r="X2527" s="29">
        <f>IF(B2527="","",IF(COUNTIF($B$5:$B$3004,B2527)&gt;1,"DUPLICATE","OK"))</f>
        <v/>
      </c>
      <c r="Y2527" s="29">
        <f>IF(OR(U2527="",V2527="",V2527="Excluded"),"",IF(COUNTIFS($U$5:$U$3004,U2527,$V$5:$V$3004,"&lt;&gt;"&amp;V2527,$V$5:$V$3004,"&lt;&gt;",$V$5:$V$3004,"&lt;&gt;Excluded")&gt;0,"LEAK RISK","OK"))</f>
        <v/>
      </c>
      <c r="Z2527" s="30" t="n"/>
    </row>
    <row r="2528">
      <c r="A2528" s="30" t="n"/>
      <c r="B2528" s="30" t="n"/>
      <c r="C2528" s="30" t="n"/>
      <c r="D2528" s="30" t="n"/>
      <c r="E2528" s="30" t="n"/>
      <c r="F2528" s="30" t="n"/>
      <c r="G2528" s="30" t="n"/>
      <c r="H2528" s="30" t="n"/>
      <c r="I2528" s="31" t="n"/>
      <c r="J2528" s="30" t="n"/>
      <c r="K2528" s="30" t="n"/>
      <c r="L2528" s="30" t="n"/>
      <c r="M2528" s="30" t="n"/>
      <c r="N2528" s="32" t="n"/>
      <c r="O2528" s="30" t="n"/>
      <c r="P2528" s="32" t="n"/>
      <c r="Q2528" s="30" t="n"/>
      <c r="R2528" s="32" t="n"/>
      <c r="S2528" s="30" t="n"/>
      <c r="T2528" s="30" t="n"/>
      <c r="U2528" s="30" t="n"/>
      <c r="V2528" s="30" t="n"/>
      <c r="W2528" s="29">
        <f>IF(H2528="","",IF(H2528="Kenya","Yes","No"))</f>
        <v/>
      </c>
      <c r="X2528" s="29">
        <f>IF(B2528="","",IF(COUNTIF($B$5:$B$3004,B2528)&gt;1,"DUPLICATE","OK"))</f>
        <v/>
      </c>
      <c r="Y2528" s="29">
        <f>IF(OR(U2528="",V2528="",V2528="Excluded"),"",IF(COUNTIFS($U$5:$U$3004,U2528,$V$5:$V$3004,"&lt;&gt;"&amp;V2528,$V$5:$V$3004,"&lt;&gt;",$V$5:$V$3004,"&lt;&gt;Excluded")&gt;0,"LEAK RISK","OK"))</f>
        <v/>
      </c>
      <c r="Z2528" s="30" t="n"/>
    </row>
    <row r="2529">
      <c r="A2529" s="30" t="n"/>
      <c r="B2529" s="30" t="n"/>
      <c r="C2529" s="30" t="n"/>
      <c r="D2529" s="30" t="n"/>
      <c r="E2529" s="30" t="n"/>
      <c r="F2529" s="30" t="n"/>
      <c r="G2529" s="30" t="n"/>
      <c r="H2529" s="30" t="n"/>
      <c r="I2529" s="31" t="n"/>
      <c r="J2529" s="30" t="n"/>
      <c r="K2529" s="30" t="n"/>
      <c r="L2529" s="30" t="n"/>
      <c r="M2529" s="30" t="n"/>
      <c r="N2529" s="32" t="n"/>
      <c r="O2529" s="30" t="n"/>
      <c r="P2529" s="32" t="n"/>
      <c r="Q2529" s="30" t="n"/>
      <c r="R2529" s="32" t="n"/>
      <c r="S2529" s="30" t="n"/>
      <c r="T2529" s="30" t="n"/>
      <c r="U2529" s="30" t="n"/>
      <c r="V2529" s="30" t="n"/>
      <c r="W2529" s="29">
        <f>IF(H2529="","",IF(H2529="Kenya","Yes","No"))</f>
        <v/>
      </c>
      <c r="X2529" s="29">
        <f>IF(B2529="","",IF(COUNTIF($B$5:$B$3004,B2529)&gt;1,"DUPLICATE","OK"))</f>
        <v/>
      </c>
      <c r="Y2529" s="29">
        <f>IF(OR(U2529="",V2529="",V2529="Excluded"),"",IF(COUNTIFS($U$5:$U$3004,U2529,$V$5:$V$3004,"&lt;&gt;"&amp;V2529,$V$5:$V$3004,"&lt;&gt;",$V$5:$V$3004,"&lt;&gt;Excluded")&gt;0,"LEAK RISK","OK"))</f>
        <v/>
      </c>
      <c r="Z2529" s="30" t="n"/>
    </row>
    <row r="2530">
      <c r="A2530" s="30" t="n"/>
      <c r="B2530" s="30" t="n"/>
      <c r="C2530" s="30" t="n"/>
      <c r="D2530" s="30" t="n"/>
      <c r="E2530" s="30" t="n"/>
      <c r="F2530" s="30" t="n"/>
      <c r="G2530" s="30" t="n"/>
      <c r="H2530" s="30" t="n"/>
      <c r="I2530" s="31" t="n"/>
      <c r="J2530" s="30" t="n"/>
      <c r="K2530" s="30" t="n"/>
      <c r="L2530" s="30" t="n"/>
      <c r="M2530" s="30" t="n"/>
      <c r="N2530" s="32" t="n"/>
      <c r="O2530" s="30" t="n"/>
      <c r="P2530" s="32" t="n"/>
      <c r="Q2530" s="30" t="n"/>
      <c r="R2530" s="32" t="n"/>
      <c r="S2530" s="30" t="n"/>
      <c r="T2530" s="30" t="n"/>
      <c r="U2530" s="30" t="n"/>
      <c r="V2530" s="30" t="n"/>
      <c r="W2530" s="29">
        <f>IF(H2530="","",IF(H2530="Kenya","Yes","No"))</f>
        <v/>
      </c>
      <c r="X2530" s="29">
        <f>IF(B2530="","",IF(COUNTIF($B$5:$B$3004,B2530)&gt;1,"DUPLICATE","OK"))</f>
        <v/>
      </c>
      <c r="Y2530" s="29">
        <f>IF(OR(U2530="",V2530="",V2530="Excluded"),"",IF(COUNTIFS($U$5:$U$3004,U2530,$V$5:$V$3004,"&lt;&gt;"&amp;V2530,$V$5:$V$3004,"&lt;&gt;",$V$5:$V$3004,"&lt;&gt;Excluded")&gt;0,"LEAK RISK","OK"))</f>
        <v/>
      </c>
      <c r="Z2530" s="30" t="n"/>
    </row>
    <row r="2531">
      <c r="A2531" s="30" t="n"/>
      <c r="B2531" s="30" t="n"/>
      <c r="C2531" s="30" t="n"/>
      <c r="D2531" s="30" t="n"/>
      <c r="E2531" s="30" t="n"/>
      <c r="F2531" s="30" t="n"/>
      <c r="G2531" s="30" t="n"/>
      <c r="H2531" s="30" t="n"/>
      <c r="I2531" s="31" t="n"/>
      <c r="J2531" s="30" t="n"/>
      <c r="K2531" s="30" t="n"/>
      <c r="L2531" s="30" t="n"/>
      <c r="M2531" s="30" t="n"/>
      <c r="N2531" s="32" t="n"/>
      <c r="O2531" s="30" t="n"/>
      <c r="P2531" s="32" t="n"/>
      <c r="Q2531" s="30" t="n"/>
      <c r="R2531" s="32" t="n"/>
      <c r="S2531" s="30" t="n"/>
      <c r="T2531" s="30" t="n"/>
      <c r="U2531" s="30" t="n"/>
      <c r="V2531" s="30" t="n"/>
      <c r="W2531" s="29">
        <f>IF(H2531="","",IF(H2531="Kenya","Yes","No"))</f>
        <v/>
      </c>
      <c r="X2531" s="29">
        <f>IF(B2531="","",IF(COUNTIF($B$5:$B$3004,B2531)&gt;1,"DUPLICATE","OK"))</f>
        <v/>
      </c>
      <c r="Y2531" s="29">
        <f>IF(OR(U2531="",V2531="",V2531="Excluded"),"",IF(COUNTIFS($U$5:$U$3004,U2531,$V$5:$V$3004,"&lt;&gt;"&amp;V2531,$V$5:$V$3004,"&lt;&gt;",$V$5:$V$3004,"&lt;&gt;Excluded")&gt;0,"LEAK RISK","OK"))</f>
        <v/>
      </c>
      <c r="Z2531" s="30" t="n"/>
    </row>
    <row r="2532">
      <c r="A2532" s="30" t="n"/>
      <c r="B2532" s="30" t="n"/>
      <c r="C2532" s="30" t="n"/>
      <c r="D2532" s="30" t="n"/>
      <c r="E2532" s="30" t="n"/>
      <c r="F2532" s="30" t="n"/>
      <c r="G2532" s="30" t="n"/>
      <c r="H2532" s="30" t="n"/>
      <c r="I2532" s="31" t="n"/>
      <c r="J2532" s="30" t="n"/>
      <c r="K2532" s="30" t="n"/>
      <c r="L2532" s="30" t="n"/>
      <c r="M2532" s="30" t="n"/>
      <c r="N2532" s="32" t="n"/>
      <c r="O2532" s="30" t="n"/>
      <c r="P2532" s="32" t="n"/>
      <c r="Q2532" s="30" t="n"/>
      <c r="R2532" s="32" t="n"/>
      <c r="S2532" s="30" t="n"/>
      <c r="T2532" s="30" t="n"/>
      <c r="U2532" s="30" t="n"/>
      <c r="V2532" s="30" t="n"/>
      <c r="W2532" s="29">
        <f>IF(H2532="","",IF(H2532="Kenya","Yes","No"))</f>
        <v/>
      </c>
      <c r="X2532" s="29">
        <f>IF(B2532="","",IF(COUNTIF($B$5:$B$3004,B2532)&gt;1,"DUPLICATE","OK"))</f>
        <v/>
      </c>
      <c r="Y2532" s="29">
        <f>IF(OR(U2532="",V2532="",V2532="Excluded"),"",IF(COUNTIFS($U$5:$U$3004,U2532,$V$5:$V$3004,"&lt;&gt;"&amp;V2532,$V$5:$V$3004,"&lt;&gt;",$V$5:$V$3004,"&lt;&gt;Excluded")&gt;0,"LEAK RISK","OK"))</f>
        <v/>
      </c>
      <c r="Z2532" s="30" t="n"/>
    </row>
    <row r="2533">
      <c r="A2533" s="30" t="n"/>
      <c r="B2533" s="30" t="n"/>
      <c r="C2533" s="30" t="n"/>
      <c r="D2533" s="30" t="n"/>
      <c r="E2533" s="30" t="n"/>
      <c r="F2533" s="30" t="n"/>
      <c r="G2533" s="30" t="n"/>
      <c r="H2533" s="30" t="n"/>
      <c r="I2533" s="31" t="n"/>
      <c r="J2533" s="30" t="n"/>
      <c r="K2533" s="30" t="n"/>
      <c r="L2533" s="30" t="n"/>
      <c r="M2533" s="30" t="n"/>
      <c r="N2533" s="32" t="n"/>
      <c r="O2533" s="30" t="n"/>
      <c r="P2533" s="32" t="n"/>
      <c r="Q2533" s="30" t="n"/>
      <c r="R2533" s="32" t="n"/>
      <c r="S2533" s="30" t="n"/>
      <c r="T2533" s="30" t="n"/>
      <c r="U2533" s="30" t="n"/>
      <c r="V2533" s="30" t="n"/>
      <c r="W2533" s="29">
        <f>IF(H2533="","",IF(H2533="Kenya","Yes","No"))</f>
        <v/>
      </c>
      <c r="X2533" s="29">
        <f>IF(B2533="","",IF(COUNTIF($B$5:$B$3004,B2533)&gt;1,"DUPLICATE","OK"))</f>
        <v/>
      </c>
      <c r="Y2533" s="29">
        <f>IF(OR(U2533="",V2533="",V2533="Excluded"),"",IF(COUNTIFS($U$5:$U$3004,U2533,$V$5:$V$3004,"&lt;&gt;"&amp;V2533,$V$5:$V$3004,"&lt;&gt;",$V$5:$V$3004,"&lt;&gt;Excluded")&gt;0,"LEAK RISK","OK"))</f>
        <v/>
      </c>
      <c r="Z2533" s="30" t="n"/>
    </row>
    <row r="2534">
      <c r="A2534" s="30" t="n"/>
      <c r="B2534" s="30" t="n"/>
      <c r="C2534" s="30" t="n"/>
      <c r="D2534" s="30" t="n"/>
      <c r="E2534" s="30" t="n"/>
      <c r="F2534" s="30" t="n"/>
      <c r="G2534" s="30" t="n"/>
      <c r="H2534" s="30" t="n"/>
      <c r="I2534" s="31" t="n"/>
      <c r="J2534" s="30" t="n"/>
      <c r="K2534" s="30" t="n"/>
      <c r="L2534" s="30" t="n"/>
      <c r="M2534" s="30" t="n"/>
      <c r="N2534" s="32" t="n"/>
      <c r="O2534" s="30" t="n"/>
      <c r="P2534" s="32" t="n"/>
      <c r="Q2534" s="30" t="n"/>
      <c r="R2534" s="32" t="n"/>
      <c r="S2534" s="30" t="n"/>
      <c r="T2534" s="30" t="n"/>
      <c r="U2534" s="30" t="n"/>
      <c r="V2534" s="30" t="n"/>
      <c r="W2534" s="29">
        <f>IF(H2534="","",IF(H2534="Kenya","Yes","No"))</f>
        <v/>
      </c>
      <c r="X2534" s="29">
        <f>IF(B2534="","",IF(COUNTIF($B$5:$B$3004,B2534)&gt;1,"DUPLICATE","OK"))</f>
        <v/>
      </c>
      <c r="Y2534" s="29">
        <f>IF(OR(U2534="",V2534="",V2534="Excluded"),"",IF(COUNTIFS($U$5:$U$3004,U2534,$V$5:$V$3004,"&lt;&gt;"&amp;V2534,$V$5:$V$3004,"&lt;&gt;",$V$5:$V$3004,"&lt;&gt;Excluded")&gt;0,"LEAK RISK","OK"))</f>
        <v/>
      </c>
      <c r="Z2534" s="30" t="n"/>
    </row>
    <row r="2535">
      <c r="A2535" s="30" t="n"/>
      <c r="B2535" s="30" t="n"/>
      <c r="C2535" s="30" t="n"/>
      <c r="D2535" s="30" t="n"/>
      <c r="E2535" s="30" t="n"/>
      <c r="F2535" s="30" t="n"/>
      <c r="G2535" s="30" t="n"/>
      <c r="H2535" s="30" t="n"/>
      <c r="I2535" s="31" t="n"/>
      <c r="J2535" s="30" t="n"/>
      <c r="K2535" s="30" t="n"/>
      <c r="L2535" s="30" t="n"/>
      <c r="M2535" s="30" t="n"/>
      <c r="N2535" s="32" t="n"/>
      <c r="O2535" s="30" t="n"/>
      <c r="P2535" s="32" t="n"/>
      <c r="Q2535" s="30" t="n"/>
      <c r="R2535" s="32" t="n"/>
      <c r="S2535" s="30" t="n"/>
      <c r="T2535" s="30" t="n"/>
      <c r="U2535" s="30" t="n"/>
      <c r="V2535" s="30" t="n"/>
      <c r="W2535" s="29">
        <f>IF(H2535="","",IF(H2535="Kenya","Yes","No"))</f>
        <v/>
      </c>
      <c r="X2535" s="29">
        <f>IF(B2535="","",IF(COUNTIF($B$5:$B$3004,B2535)&gt;1,"DUPLICATE","OK"))</f>
        <v/>
      </c>
      <c r="Y2535" s="29">
        <f>IF(OR(U2535="",V2535="",V2535="Excluded"),"",IF(COUNTIFS($U$5:$U$3004,U2535,$V$5:$V$3004,"&lt;&gt;"&amp;V2535,$V$5:$V$3004,"&lt;&gt;",$V$5:$V$3004,"&lt;&gt;Excluded")&gt;0,"LEAK RISK","OK"))</f>
        <v/>
      </c>
      <c r="Z2535" s="30" t="n"/>
    </row>
    <row r="2536">
      <c r="A2536" s="30" t="n"/>
      <c r="B2536" s="30" t="n"/>
      <c r="C2536" s="30" t="n"/>
      <c r="D2536" s="30" t="n"/>
      <c r="E2536" s="30" t="n"/>
      <c r="F2536" s="30" t="n"/>
      <c r="G2536" s="30" t="n"/>
      <c r="H2536" s="30" t="n"/>
      <c r="I2536" s="31" t="n"/>
      <c r="J2536" s="30" t="n"/>
      <c r="K2536" s="30" t="n"/>
      <c r="L2536" s="30" t="n"/>
      <c r="M2536" s="30" t="n"/>
      <c r="N2536" s="32" t="n"/>
      <c r="O2536" s="30" t="n"/>
      <c r="P2536" s="32" t="n"/>
      <c r="Q2536" s="30" t="n"/>
      <c r="R2536" s="32" t="n"/>
      <c r="S2536" s="30" t="n"/>
      <c r="T2536" s="30" t="n"/>
      <c r="U2536" s="30" t="n"/>
      <c r="V2536" s="30" t="n"/>
      <c r="W2536" s="29">
        <f>IF(H2536="","",IF(H2536="Kenya","Yes","No"))</f>
        <v/>
      </c>
      <c r="X2536" s="29">
        <f>IF(B2536="","",IF(COUNTIF($B$5:$B$3004,B2536)&gt;1,"DUPLICATE","OK"))</f>
        <v/>
      </c>
      <c r="Y2536" s="29">
        <f>IF(OR(U2536="",V2536="",V2536="Excluded"),"",IF(COUNTIFS($U$5:$U$3004,U2536,$V$5:$V$3004,"&lt;&gt;"&amp;V2536,$V$5:$V$3004,"&lt;&gt;",$V$5:$V$3004,"&lt;&gt;Excluded")&gt;0,"LEAK RISK","OK"))</f>
        <v/>
      </c>
      <c r="Z2536" s="30" t="n"/>
    </row>
    <row r="2537">
      <c r="A2537" s="30" t="n"/>
      <c r="B2537" s="30" t="n"/>
      <c r="C2537" s="30" t="n"/>
      <c r="D2537" s="30" t="n"/>
      <c r="E2537" s="30" t="n"/>
      <c r="F2537" s="30" t="n"/>
      <c r="G2537" s="30" t="n"/>
      <c r="H2537" s="30" t="n"/>
      <c r="I2537" s="31" t="n"/>
      <c r="J2537" s="30" t="n"/>
      <c r="K2537" s="30" t="n"/>
      <c r="L2537" s="30" t="n"/>
      <c r="M2537" s="30" t="n"/>
      <c r="N2537" s="32" t="n"/>
      <c r="O2537" s="30" t="n"/>
      <c r="P2537" s="32" t="n"/>
      <c r="Q2537" s="30" t="n"/>
      <c r="R2537" s="32" t="n"/>
      <c r="S2537" s="30" t="n"/>
      <c r="T2537" s="30" t="n"/>
      <c r="U2537" s="30" t="n"/>
      <c r="V2537" s="30" t="n"/>
      <c r="W2537" s="29">
        <f>IF(H2537="","",IF(H2537="Kenya","Yes","No"))</f>
        <v/>
      </c>
      <c r="X2537" s="29">
        <f>IF(B2537="","",IF(COUNTIF($B$5:$B$3004,B2537)&gt;1,"DUPLICATE","OK"))</f>
        <v/>
      </c>
      <c r="Y2537" s="29">
        <f>IF(OR(U2537="",V2537="",V2537="Excluded"),"",IF(COUNTIFS($U$5:$U$3004,U2537,$V$5:$V$3004,"&lt;&gt;"&amp;V2537,$V$5:$V$3004,"&lt;&gt;",$V$5:$V$3004,"&lt;&gt;Excluded")&gt;0,"LEAK RISK","OK"))</f>
        <v/>
      </c>
      <c r="Z2537" s="30" t="n"/>
    </row>
    <row r="2538">
      <c r="A2538" s="30" t="n"/>
      <c r="B2538" s="30" t="n"/>
      <c r="C2538" s="30" t="n"/>
      <c r="D2538" s="30" t="n"/>
      <c r="E2538" s="30" t="n"/>
      <c r="F2538" s="30" t="n"/>
      <c r="G2538" s="30" t="n"/>
      <c r="H2538" s="30" t="n"/>
      <c r="I2538" s="31" t="n"/>
      <c r="J2538" s="30" t="n"/>
      <c r="K2538" s="30" t="n"/>
      <c r="L2538" s="30" t="n"/>
      <c r="M2538" s="30" t="n"/>
      <c r="N2538" s="32" t="n"/>
      <c r="O2538" s="30" t="n"/>
      <c r="P2538" s="32" t="n"/>
      <c r="Q2538" s="30" t="n"/>
      <c r="R2538" s="32" t="n"/>
      <c r="S2538" s="30" t="n"/>
      <c r="T2538" s="30" t="n"/>
      <c r="U2538" s="30" t="n"/>
      <c r="V2538" s="30" t="n"/>
      <c r="W2538" s="29">
        <f>IF(H2538="","",IF(H2538="Kenya","Yes","No"))</f>
        <v/>
      </c>
      <c r="X2538" s="29">
        <f>IF(B2538="","",IF(COUNTIF($B$5:$B$3004,B2538)&gt;1,"DUPLICATE","OK"))</f>
        <v/>
      </c>
      <c r="Y2538" s="29">
        <f>IF(OR(U2538="",V2538="",V2538="Excluded"),"",IF(COUNTIFS($U$5:$U$3004,U2538,$V$5:$V$3004,"&lt;&gt;"&amp;V2538,$V$5:$V$3004,"&lt;&gt;",$V$5:$V$3004,"&lt;&gt;Excluded")&gt;0,"LEAK RISK","OK"))</f>
        <v/>
      </c>
      <c r="Z2538" s="30" t="n"/>
    </row>
    <row r="2539">
      <c r="A2539" s="30" t="n"/>
      <c r="B2539" s="30" t="n"/>
      <c r="C2539" s="30" t="n"/>
      <c r="D2539" s="30" t="n"/>
      <c r="E2539" s="30" t="n"/>
      <c r="F2539" s="30" t="n"/>
      <c r="G2539" s="30" t="n"/>
      <c r="H2539" s="30" t="n"/>
      <c r="I2539" s="31" t="n"/>
      <c r="J2539" s="30" t="n"/>
      <c r="K2539" s="30" t="n"/>
      <c r="L2539" s="30" t="n"/>
      <c r="M2539" s="30" t="n"/>
      <c r="N2539" s="32" t="n"/>
      <c r="O2539" s="30" t="n"/>
      <c r="P2539" s="32" t="n"/>
      <c r="Q2539" s="30" t="n"/>
      <c r="R2539" s="32" t="n"/>
      <c r="S2539" s="30" t="n"/>
      <c r="T2539" s="30" t="n"/>
      <c r="U2539" s="30" t="n"/>
      <c r="V2539" s="30" t="n"/>
      <c r="W2539" s="29">
        <f>IF(H2539="","",IF(H2539="Kenya","Yes","No"))</f>
        <v/>
      </c>
      <c r="X2539" s="29">
        <f>IF(B2539="","",IF(COUNTIF($B$5:$B$3004,B2539)&gt;1,"DUPLICATE","OK"))</f>
        <v/>
      </c>
      <c r="Y2539" s="29">
        <f>IF(OR(U2539="",V2539="",V2539="Excluded"),"",IF(COUNTIFS($U$5:$U$3004,U2539,$V$5:$V$3004,"&lt;&gt;"&amp;V2539,$V$5:$V$3004,"&lt;&gt;",$V$5:$V$3004,"&lt;&gt;Excluded")&gt;0,"LEAK RISK","OK"))</f>
        <v/>
      </c>
      <c r="Z2539" s="30" t="n"/>
    </row>
    <row r="2540">
      <c r="A2540" s="30" t="n"/>
      <c r="B2540" s="30" t="n"/>
      <c r="C2540" s="30" t="n"/>
      <c r="D2540" s="30" t="n"/>
      <c r="E2540" s="30" t="n"/>
      <c r="F2540" s="30" t="n"/>
      <c r="G2540" s="30" t="n"/>
      <c r="H2540" s="30" t="n"/>
      <c r="I2540" s="31" t="n"/>
      <c r="J2540" s="30" t="n"/>
      <c r="K2540" s="30" t="n"/>
      <c r="L2540" s="30" t="n"/>
      <c r="M2540" s="30" t="n"/>
      <c r="N2540" s="32" t="n"/>
      <c r="O2540" s="30" t="n"/>
      <c r="P2540" s="32" t="n"/>
      <c r="Q2540" s="30" t="n"/>
      <c r="R2540" s="32" t="n"/>
      <c r="S2540" s="30" t="n"/>
      <c r="T2540" s="30" t="n"/>
      <c r="U2540" s="30" t="n"/>
      <c r="V2540" s="30" t="n"/>
      <c r="W2540" s="29">
        <f>IF(H2540="","",IF(H2540="Kenya","Yes","No"))</f>
        <v/>
      </c>
      <c r="X2540" s="29">
        <f>IF(B2540="","",IF(COUNTIF($B$5:$B$3004,B2540)&gt;1,"DUPLICATE","OK"))</f>
        <v/>
      </c>
      <c r="Y2540" s="29">
        <f>IF(OR(U2540="",V2540="",V2540="Excluded"),"",IF(COUNTIFS($U$5:$U$3004,U2540,$V$5:$V$3004,"&lt;&gt;"&amp;V2540,$V$5:$V$3004,"&lt;&gt;",$V$5:$V$3004,"&lt;&gt;Excluded")&gt;0,"LEAK RISK","OK"))</f>
        <v/>
      </c>
      <c r="Z2540" s="30" t="n"/>
    </row>
    <row r="2541">
      <c r="A2541" s="30" t="n"/>
      <c r="B2541" s="30" t="n"/>
      <c r="C2541" s="30" t="n"/>
      <c r="D2541" s="30" t="n"/>
      <c r="E2541" s="30" t="n"/>
      <c r="F2541" s="30" t="n"/>
      <c r="G2541" s="30" t="n"/>
      <c r="H2541" s="30" t="n"/>
      <c r="I2541" s="31" t="n"/>
      <c r="J2541" s="30" t="n"/>
      <c r="K2541" s="30" t="n"/>
      <c r="L2541" s="30" t="n"/>
      <c r="M2541" s="30" t="n"/>
      <c r="N2541" s="32" t="n"/>
      <c r="O2541" s="30" t="n"/>
      <c r="P2541" s="32" t="n"/>
      <c r="Q2541" s="30" t="n"/>
      <c r="R2541" s="32" t="n"/>
      <c r="S2541" s="30" t="n"/>
      <c r="T2541" s="30" t="n"/>
      <c r="U2541" s="30" t="n"/>
      <c r="V2541" s="30" t="n"/>
      <c r="W2541" s="29">
        <f>IF(H2541="","",IF(H2541="Kenya","Yes","No"))</f>
        <v/>
      </c>
      <c r="X2541" s="29">
        <f>IF(B2541="","",IF(COUNTIF($B$5:$B$3004,B2541)&gt;1,"DUPLICATE","OK"))</f>
        <v/>
      </c>
      <c r="Y2541" s="29">
        <f>IF(OR(U2541="",V2541="",V2541="Excluded"),"",IF(COUNTIFS($U$5:$U$3004,U2541,$V$5:$V$3004,"&lt;&gt;"&amp;V2541,$V$5:$V$3004,"&lt;&gt;",$V$5:$V$3004,"&lt;&gt;Excluded")&gt;0,"LEAK RISK","OK"))</f>
        <v/>
      </c>
      <c r="Z2541" s="30" t="n"/>
    </row>
    <row r="2542">
      <c r="A2542" s="30" t="n"/>
      <c r="B2542" s="30" t="n"/>
      <c r="C2542" s="30" t="n"/>
      <c r="D2542" s="30" t="n"/>
      <c r="E2542" s="30" t="n"/>
      <c r="F2542" s="30" t="n"/>
      <c r="G2542" s="30" t="n"/>
      <c r="H2542" s="30" t="n"/>
      <c r="I2542" s="31" t="n"/>
      <c r="J2542" s="30" t="n"/>
      <c r="K2542" s="30" t="n"/>
      <c r="L2542" s="30" t="n"/>
      <c r="M2542" s="30" t="n"/>
      <c r="N2542" s="32" t="n"/>
      <c r="O2542" s="30" t="n"/>
      <c r="P2542" s="32" t="n"/>
      <c r="Q2542" s="30" t="n"/>
      <c r="R2542" s="32" t="n"/>
      <c r="S2542" s="30" t="n"/>
      <c r="T2542" s="30" t="n"/>
      <c r="U2542" s="30" t="n"/>
      <c r="V2542" s="30" t="n"/>
      <c r="W2542" s="29">
        <f>IF(H2542="","",IF(H2542="Kenya","Yes","No"))</f>
        <v/>
      </c>
      <c r="X2542" s="29">
        <f>IF(B2542="","",IF(COUNTIF($B$5:$B$3004,B2542)&gt;1,"DUPLICATE","OK"))</f>
        <v/>
      </c>
      <c r="Y2542" s="29">
        <f>IF(OR(U2542="",V2542="",V2542="Excluded"),"",IF(COUNTIFS($U$5:$U$3004,U2542,$V$5:$V$3004,"&lt;&gt;"&amp;V2542,$V$5:$V$3004,"&lt;&gt;",$V$5:$V$3004,"&lt;&gt;Excluded")&gt;0,"LEAK RISK","OK"))</f>
        <v/>
      </c>
      <c r="Z2542" s="30" t="n"/>
    </row>
    <row r="2543">
      <c r="A2543" s="30" t="n"/>
      <c r="B2543" s="30" t="n"/>
      <c r="C2543" s="30" t="n"/>
      <c r="D2543" s="30" t="n"/>
      <c r="E2543" s="30" t="n"/>
      <c r="F2543" s="30" t="n"/>
      <c r="G2543" s="30" t="n"/>
      <c r="H2543" s="30" t="n"/>
      <c r="I2543" s="31" t="n"/>
      <c r="J2543" s="30" t="n"/>
      <c r="K2543" s="30" t="n"/>
      <c r="L2543" s="30" t="n"/>
      <c r="M2543" s="30" t="n"/>
      <c r="N2543" s="32" t="n"/>
      <c r="O2543" s="30" t="n"/>
      <c r="P2543" s="32" t="n"/>
      <c r="Q2543" s="30" t="n"/>
      <c r="R2543" s="32" t="n"/>
      <c r="S2543" s="30" t="n"/>
      <c r="T2543" s="30" t="n"/>
      <c r="U2543" s="30" t="n"/>
      <c r="V2543" s="30" t="n"/>
      <c r="W2543" s="29">
        <f>IF(H2543="","",IF(H2543="Kenya","Yes","No"))</f>
        <v/>
      </c>
      <c r="X2543" s="29">
        <f>IF(B2543="","",IF(COUNTIF($B$5:$B$3004,B2543)&gt;1,"DUPLICATE","OK"))</f>
        <v/>
      </c>
      <c r="Y2543" s="29">
        <f>IF(OR(U2543="",V2543="",V2543="Excluded"),"",IF(COUNTIFS($U$5:$U$3004,U2543,$V$5:$V$3004,"&lt;&gt;"&amp;V2543,$V$5:$V$3004,"&lt;&gt;",$V$5:$V$3004,"&lt;&gt;Excluded")&gt;0,"LEAK RISK","OK"))</f>
        <v/>
      </c>
      <c r="Z2543" s="30" t="n"/>
    </row>
    <row r="2544">
      <c r="A2544" s="30" t="n"/>
      <c r="B2544" s="30" t="n"/>
      <c r="C2544" s="30" t="n"/>
      <c r="D2544" s="30" t="n"/>
      <c r="E2544" s="30" t="n"/>
      <c r="F2544" s="30" t="n"/>
      <c r="G2544" s="30" t="n"/>
      <c r="H2544" s="30" t="n"/>
      <c r="I2544" s="31" t="n"/>
      <c r="J2544" s="30" t="n"/>
      <c r="K2544" s="30" t="n"/>
      <c r="L2544" s="30" t="n"/>
      <c r="M2544" s="30" t="n"/>
      <c r="N2544" s="32" t="n"/>
      <c r="O2544" s="30" t="n"/>
      <c r="P2544" s="32" t="n"/>
      <c r="Q2544" s="30" t="n"/>
      <c r="R2544" s="32" t="n"/>
      <c r="S2544" s="30" t="n"/>
      <c r="T2544" s="30" t="n"/>
      <c r="U2544" s="30" t="n"/>
      <c r="V2544" s="30" t="n"/>
      <c r="W2544" s="29">
        <f>IF(H2544="","",IF(H2544="Kenya","Yes","No"))</f>
        <v/>
      </c>
      <c r="X2544" s="29">
        <f>IF(B2544="","",IF(COUNTIF($B$5:$B$3004,B2544)&gt;1,"DUPLICATE","OK"))</f>
        <v/>
      </c>
      <c r="Y2544" s="29">
        <f>IF(OR(U2544="",V2544="",V2544="Excluded"),"",IF(COUNTIFS($U$5:$U$3004,U2544,$V$5:$V$3004,"&lt;&gt;"&amp;V2544,$V$5:$V$3004,"&lt;&gt;",$V$5:$V$3004,"&lt;&gt;Excluded")&gt;0,"LEAK RISK","OK"))</f>
        <v/>
      </c>
      <c r="Z2544" s="30" t="n"/>
    </row>
    <row r="2545">
      <c r="A2545" s="30" t="n"/>
      <c r="B2545" s="30" t="n"/>
      <c r="C2545" s="30" t="n"/>
      <c r="D2545" s="30" t="n"/>
      <c r="E2545" s="30" t="n"/>
      <c r="F2545" s="30" t="n"/>
      <c r="G2545" s="30" t="n"/>
      <c r="H2545" s="30" t="n"/>
      <c r="I2545" s="31" t="n"/>
      <c r="J2545" s="30" t="n"/>
      <c r="K2545" s="30" t="n"/>
      <c r="L2545" s="30" t="n"/>
      <c r="M2545" s="30" t="n"/>
      <c r="N2545" s="32" t="n"/>
      <c r="O2545" s="30" t="n"/>
      <c r="P2545" s="32" t="n"/>
      <c r="Q2545" s="30" t="n"/>
      <c r="R2545" s="32" t="n"/>
      <c r="S2545" s="30" t="n"/>
      <c r="T2545" s="30" t="n"/>
      <c r="U2545" s="30" t="n"/>
      <c r="V2545" s="30" t="n"/>
      <c r="W2545" s="29">
        <f>IF(H2545="","",IF(H2545="Kenya","Yes","No"))</f>
        <v/>
      </c>
      <c r="X2545" s="29">
        <f>IF(B2545="","",IF(COUNTIF($B$5:$B$3004,B2545)&gt;1,"DUPLICATE","OK"))</f>
        <v/>
      </c>
      <c r="Y2545" s="29">
        <f>IF(OR(U2545="",V2545="",V2545="Excluded"),"",IF(COUNTIFS($U$5:$U$3004,U2545,$V$5:$V$3004,"&lt;&gt;"&amp;V2545,$V$5:$V$3004,"&lt;&gt;",$V$5:$V$3004,"&lt;&gt;Excluded")&gt;0,"LEAK RISK","OK"))</f>
        <v/>
      </c>
      <c r="Z2545" s="30" t="n"/>
    </row>
    <row r="2546">
      <c r="A2546" s="30" t="n"/>
      <c r="B2546" s="30" t="n"/>
      <c r="C2546" s="30" t="n"/>
      <c r="D2546" s="30" t="n"/>
      <c r="E2546" s="30" t="n"/>
      <c r="F2546" s="30" t="n"/>
      <c r="G2546" s="30" t="n"/>
      <c r="H2546" s="30" t="n"/>
      <c r="I2546" s="31" t="n"/>
      <c r="J2546" s="30" t="n"/>
      <c r="K2546" s="30" t="n"/>
      <c r="L2546" s="30" t="n"/>
      <c r="M2546" s="30" t="n"/>
      <c r="N2546" s="32" t="n"/>
      <c r="O2546" s="30" t="n"/>
      <c r="P2546" s="32" t="n"/>
      <c r="Q2546" s="30" t="n"/>
      <c r="R2546" s="32" t="n"/>
      <c r="S2546" s="30" t="n"/>
      <c r="T2546" s="30" t="n"/>
      <c r="U2546" s="30" t="n"/>
      <c r="V2546" s="30" t="n"/>
      <c r="W2546" s="29">
        <f>IF(H2546="","",IF(H2546="Kenya","Yes","No"))</f>
        <v/>
      </c>
      <c r="X2546" s="29">
        <f>IF(B2546="","",IF(COUNTIF($B$5:$B$3004,B2546)&gt;1,"DUPLICATE","OK"))</f>
        <v/>
      </c>
      <c r="Y2546" s="29">
        <f>IF(OR(U2546="",V2546="",V2546="Excluded"),"",IF(COUNTIFS($U$5:$U$3004,U2546,$V$5:$V$3004,"&lt;&gt;"&amp;V2546,$V$5:$V$3004,"&lt;&gt;",$V$5:$V$3004,"&lt;&gt;Excluded")&gt;0,"LEAK RISK","OK"))</f>
        <v/>
      </c>
      <c r="Z2546" s="30" t="n"/>
    </row>
    <row r="2547">
      <c r="A2547" s="30" t="n"/>
      <c r="B2547" s="30" t="n"/>
      <c r="C2547" s="30" t="n"/>
      <c r="D2547" s="30" t="n"/>
      <c r="E2547" s="30" t="n"/>
      <c r="F2547" s="30" t="n"/>
      <c r="G2547" s="30" t="n"/>
      <c r="H2547" s="30" t="n"/>
      <c r="I2547" s="31" t="n"/>
      <c r="J2547" s="30" t="n"/>
      <c r="K2547" s="30" t="n"/>
      <c r="L2547" s="30" t="n"/>
      <c r="M2547" s="30" t="n"/>
      <c r="N2547" s="32" t="n"/>
      <c r="O2547" s="30" t="n"/>
      <c r="P2547" s="32" t="n"/>
      <c r="Q2547" s="30" t="n"/>
      <c r="R2547" s="32" t="n"/>
      <c r="S2547" s="30" t="n"/>
      <c r="T2547" s="30" t="n"/>
      <c r="U2547" s="30" t="n"/>
      <c r="V2547" s="30" t="n"/>
      <c r="W2547" s="29">
        <f>IF(H2547="","",IF(H2547="Kenya","Yes","No"))</f>
        <v/>
      </c>
      <c r="X2547" s="29">
        <f>IF(B2547="","",IF(COUNTIF($B$5:$B$3004,B2547)&gt;1,"DUPLICATE","OK"))</f>
        <v/>
      </c>
      <c r="Y2547" s="29">
        <f>IF(OR(U2547="",V2547="",V2547="Excluded"),"",IF(COUNTIFS($U$5:$U$3004,U2547,$V$5:$V$3004,"&lt;&gt;"&amp;V2547,$V$5:$V$3004,"&lt;&gt;",$V$5:$V$3004,"&lt;&gt;Excluded")&gt;0,"LEAK RISK","OK"))</f>
        <v/>
      </c>
      <c r="Z2547" s="30" t="n"/>
    </row>
    <row r="2548">
      <c r="A2548" s="30" t="n"/>
      <c r="B2548" s="30" t="n"/>
      <c r="C2548" s="30" t="n"/>
      <c r="D2548" s="30" t="n"/>
      <c r="E2548" s="30" t="n"/>
      <c r="F2548" s="30" t="n"/>
      <c r="G2548" s="30" t="n"/>
      <c r="H2548" s="30" t="n"/>
      <c r="I2548" s="31" t="n"/>
      <c r="J2548" s="30" t="n"/>
      <c r="K2548" s="30" t="n"/>
      <c r="L2548" s="30" t="n"/>
      <c r="M2548" s="30" t="n"/>
      <c r="N2548" s="32" t="n"/>
      <c r="O2548" s="30" t="n"/>
      <c r="P2548" s="32" t="n"/>
      <c r="Q2548" s="30" t="n"/>
      <c r="R2548" s="32" t="n"/>
      <c r="S2548" s="30" t="n"/>
      <c r="T2548" s="30" t="n"/>
      <c r="U2548" s="30" t="n"/>
      <c r="V2548" s="30" t="n"/>
      <c r="W2548" s="29">
        <f>IF(H2548="","",IF(H2548="Kenya","Yes","No"))</f>
        <v/>
      </c>
      <c r="X2548" s="29">
        <f>IF(B2548="","",IF(COUNTIF($B$5:$B$3004,B2548)&gt;1,"DUPLICATE","OK"))</f>
        <v/>
      </c>
      <c r="Y2548" s="29">
        <f>IF(OR(U2548="",V2548="",V2548="Excluded"),"",IF(COUNTIFS($U$5:$U$3004,U2548,$V$5:$V$3004,"&lt;&gt;"&amp;V2548,$V$5:$V$3004,"&lt;&gt;",$V$5:$V$3004,"&lt;&gt;Excluded")&gt;0,"LEAK RISK","OK"))</f>
        <v/>
      </c>
      <c r="Z2548" s="30" t="n"/>
    </row>
    <row r="2549">
      <c r="A2549" s="30" t="n"/>
      <c r="B2549" s="30" t="n"/>
      <c r="C2549" s="30" t="n"/>
      <c r="D2549" s="30" t="n"/>
      <c r="E2549" s="30" t="n"/>
      <c r="F2549" s="30" t="n"/>
      <c r="G2549" s="30" t="n"/>
      <c r="H2549" s="30" t="n"/>
      <c r="I2549" s="31" t="n"/>
      <c r="J2549" s="30" t="n"/>
      <c r="K2549" s="30" t="n"/>
      <c r="L2549" s="30" t="n"/>
      <c r="M2549" s="30" t="n"/>
      <c r="N2549" s="32" t="n"/>
      <c r="O2549" s="30" t="n"/>
      <c r="P2549" s="32" t="n"/>
      <c r="Q2549" s="30" t="n"/>
      <c r="R2549" s="32" t="n"/>
      <c r="S2549" s="30" t="n"/>
      <c r="T2549" s="30" t="n"/>
      <c r="U2549" s="30" t="n"/>
      <c r="V2549" s="30" t="n"/>
      <c r="W2549" s="29">
        <f>IF(H2549="","",IF(H2549="Kenya","Yes","No"))</f>
        <v/>
      </c>
      <c r="X2549" s="29">
        <f>IF(B2549="","",IF(COUNTIF($B$5:$B$3004,B2549)&gt;1,"DUPLICATE","OK"))</f>
        <v/>
      </c>
      <c r="Y2549" s="29">
        <f>IF(OR(U2549="",V2549="",V2549="Excluded"),"",IF(COUNTIFS($U$5:$U$3004,U2549,$V$5:$V$3004,"&lt;&gt;"&amp;V2549,$V$5:$V$3004,"&lt;&gt;",$V$5:$V$3004,"&lt;&gt;Excluded")&gt;0,"LEAK RISK","OK"))</f>
        <v/>
      </c>
      <c r="Z2549" s="30" t="n"/>
    </row>
    <row r="2550">
      <c r="A2550" s="30" t="n"/>
      <c r="B2550" s="30" t="n"/>
      <c r="C2550" s="30" t="n"/>
      <c r="D2550" s="30" t="n"/>
      <c r="E2550" s="30" t="n"/>
      <c r="F2550" s="30" t="n"/>
      <c r="G2550" s="30" t="n"/>
      <c r="H2550" s="30" t="n"/>
      <c r="I2550" s="31" t="n"/>
      <c r="J2550" s="30" t="n"/>
      <c r="K2550" s="30" t="n"/>
      <c r="L2550" s="30" t="n"/>
      <c r="M2550" s="30" t="n"/>
      <c r="N2550" s="32" t="n"/>
      <c r="O2550" s="30" t="n"/>
      <c r="P2550" s="32" t="n"/>
      <c r="Q2550" s="30" t="n"/>
      <c r="R2550" s="32" t="n"/>
      <c r="S2550" s="30" t="n"/>
      <c r="T2550" s="30" t="n"/>
      <c r="U2550" s="30" t="n"/>
      <c r="V2550" s="30" t="n"/>
      <c r="W2550" s="29">
        <f>IF(H2550="","",IF(H2550="Kenya","Yes","No"))</f>
        <v/>
      </c>
      <c r="X2550" s="29">
        <f>IF(B2550="","",IF(COUNTIF($B$5:$B$3004,B2550)&gt;1,"DUPLICATE","OK"))</f>
        <v/>
      </c>
      <c r="Y2550" s="29">
        <f>IF(OR(U2550="",V2550="",V2550="Excluded"),"",IF(COUNTIFS($U$5:$U$3004,U2550,$V$5:$V$3004,"&lt;&gt;"&amp;V2550,$V$5:$V$3004,"&lt;&gt;",$V$5:$V$3004,"&lt;&gt;Excluded")&gt;0,"LEAK RISK","OK"))</f>
        <v/>
      </c>
      <c r="Z2550" s="30" t="n"/>
    </row>
    <row r="2551">
      <c r="A2551" s="30" t="n"/>
      <c r="B2551" s="30" t="n"/>
      <c r="C2551" s="30" t="n"/>
      <c r="D2551" s="30" t="n"/>
      <c r="E2551" s="30" t="n"/>
      <c r="F2551" s="30" t="n"/>
      <c r="G2551" s="30" t="n"/>
      <c r="H2551" s="30" t="n"/>
      <c r="I2551" s="31" t="n"/>
      <c r="J2551" s="30" t="n"/>
      <c r="K2551" s="30" t="n"/>
      <c r="L2551" s="30" t="n"/>
      <c r="M2551" s="30" t="n"/>
      <c r="N2551" s="32" t="n"/>
      <c r="O2551" s="30" t="n"/>
      <c r="P2551" s="32" t="n"/>
      <c r="Q2551" s="30" t="n"/>
      <c r="R2551" s="32" t="n"/>
      <c r="S2551" s="30" t="n"/>
      <c r="T2551" s="30" t="n"/>
      <c r="U2551" s="30" t="n"/>
      <c r="V2551" s="30" t="n"/>
      <c r="W2551" s="29">
        <f>IF(H2551="","",IF(H2551="Kenya","Yes","No"))</f>
        <v/>
      </c>
      <c r="X2551" s="29">
        <f>IF(B2551="","",IF(COUNTIF($B$5:$B$3004,B2551)&gt;1,"DUPLICATE","OK"))</f>
        <v/>
      </c>
      <c r="Y2551" s="29">
        <f>IF(OR(U2551="",V2551="",V2551="Excluded"),"",IF(COUNTIFS($U$5:$U$3004,U2551,$V$5:$V$3004,"&lt;&gt;"&amp;V2551,$V$5:$V$3004,"&lt;&gt;",$V$5:$V$3004,"&lt;&gt;Excluded")&gt;0,"LEAK RISK","OK"))</f>
        <v/>
      </c>
      <c r="Z2551" s="30" t="n"/>
    </row>
    <row r="2552">
      <c r="A2552" s="30" t="n"/>
      <c r="B2552" s="30" t="n"/>
      <c r="C2552" s="30" t="n"/>
      <c r="D2552" s="30" t="n"/>
      <c r="E2552" s="30" t="n"/>
      <c r="F2552" s="30" t="n"/>
      <c r="G2552" s="30" t="n"/>
      <c r="H2552" s="30" t="n"/>
      <c r="I2552" s="31" t="n"/>
      <c r="J2552" s="30" t="n"/>
      <c r="K2552" s="30" t="n"/>
      <c r="L2552" s="30" t="n"/>
      <c r="M2552" s="30" t="n"/>
      <c r="N2552" s="32" t="n"/>
      <c r="O2552" s="30" t="n"/>
      <c r="P2552" s="32" t="n"/>
      <c r="Q2552" s="30" t="n"/>
      <c r="R2552" s="32" t="n"/>
      <c r="S2552" s="30" t="n"/>
      <c r="T2552" s="30" t="n"/>
      <c r="U2552" s="30" t="n"/>
      <c r="V2552" s="30" t="n"/>
      <c r="W2552" s="29">
        <f>IF(H2552="","",IF(H2552="Kenya","Yes","No"))</f>
        <v/>
      </c>
      <c r="X2552" s="29">
        <f>IF(B2552="","",IF(COUNTIF($B$5:$B$3004,B2552)&gt;1,"DUPLICATE","OK"))</f>
        <v/>
      </c>
      <c r="Y2552" s="29">
        <f>IF(OR(U2552="",V2552="",V2552="Excluded"),"",IF(COUNTIFS($U$5:$U$3004,U2552,$V$5:$V$3004,"&lt;&gt;"&amp;V2552,$V$5:$V$3004,"&lt;&gt;",$V$5:$V$3004,"&lt;&gt;Excluded")&gt;0,"LEAK RISK","OK"))</f>
        <v/>
      </c>
      <c r="Z2552" s="30" t="n"/>
    </row>
    <row r="2553">
      <c r="A2553" s="30" t="n"/>
      <c r="B2553" s="30" t="n"/>
      <c r="C2553" s="30" t="n"/>
      <c r="D2553" s="30" t="n"/>
      <c r="E2553" s="30" t="n"/>
      <c r="F2553" s="30" t="n"/>
      <c r="G2553" s="30" t="n"/>
      <c r="H2553" s="30" t="n"/>
      <c r="I2553" s="31" t="n"/>
      <c r="J2553" s="30" t="n"/>
      <c r="K2553" s="30" t="n"/>
      <c r="L2553" s="30" t="n"/>
      <c r="M2553" s="30" t="n"/>
      <c r="N2553" s="32" t="n"/>
      <c r="O2553" s="30" t="n"/>
      <c r="P2553" s="32" t="n"/>
      <c r="Q2553" s="30" t="n"/>
      <c r="R2553" s="32" t="n"/>
      <c r="S2553" s="30" t="n"/>
      <c r="T2553" s="30" t="n"/>
      <c r="U2553" s="30" t="n"/>
      <c r="V2553" s="30" t="n"/>
      <c r="W2553" s="29">
        <f>IF(H2553="","",IF(H2553="Kenya","Yes","No"))</f>
        <v/>
      </c>
      <c r="X2553" s="29">
        <f>IF(B2553="","",IF(COUNTIF($B$5:$B$3004,B2553)&gt;1,"DUPLICATE","OK"))</f>
        <v/>
      </c>
      <c r="Y2553" s="29">
        <f>IF(OR(U2553="",V2553="",V2553="Excluded"),"",IF(COUNTIFS($U$5:$U$3004,U2553,$V$5:$V$3004,"&lt;&gt;"&amp;V2553,$V$5:$V$3004,"&lt;&gt;",$V$5:$V$3004,"&lt;&gt;Excluded")&gt;0,"LEAK RISK","OK"))</f>
        <v/>
      </c>
      <c r="Z2553" s="30" t="n"/>
    </row>
    <row r="2554">
      <c r="A2554" s="30" t="n"/>
      <c r="B2554" s="30" t="n"/>
      <c r="C2554" s="30" t="n"/>
      <c r="D2554" s="30" t="n"/>
      <c r="E2554" s="30" t="n"/>
      <c r="F2554" s="30" t="n"/>
      <c r="G2554" s="30" t="n"/>
      <c r="H2554" s="30" t="n"/>
      <c r="I2554" s="31" t="n"/>
      <c r="J2554" s="30" t="n"/>
      <c r="K2554" s="30" t="n"/>
      <c r="L2554" s="30" t="n"/>
      <c r="M2554" s="30" t="n"/>
      <c r="N2554" s="32" t="n"/>
      <c r="O2554" s="30" t="n"/>
      <c r="P2554" s="32" t="n"/>
      <c r="Q2554" s="30" t="n"/>
      <c r="R2554" s="32" t="n"/>
      <c r="S2554" s="30" t="n"/>
      <c r="T2554" s="30" t="n"/>
      <c r="U2554" s="30" t="n"/>
      <c r="V2554" s="30" t="n"/>
      <c r="W2554" s="29">
        <f>IF(H2554="","",IF(H2554="Kenya","Yes","No"))</f>
        <v/>
      </c>
      <c r="X2554" s="29">
        <f>IF(B2554="","",IF(COUNTIF($B$5:$B$3004,B2554)&gt;1,"DUPLICATE","OK"))</f>
        <v/>
      </c>
      <c r="Y2554" s="29">
        <f>IF(OR(U2554="",V2554="",V2554="Excluded"),"",IF(COUNTIFS($U$5:$U$3004,U2554,$V$5:$V$3004,"&lt;&gt;"&amp;V2554,$V$5:$V$3004,"&lt;&gt;",$V$5:$V$3004,"&lt;&gt;Excluded")&gt;0,"LEAK RISK","OK"))</f>
        <v/>
      </c>
      <c r="Z2554" s="30" t="n"/>
    </row>
    <row r="2555">
      <c r="A2555" s="30" t="n"/>
      <c r="B2555" s="30" t="n"/>
      <c r="C2555" s="30" t="n"/>
      <c r="D2555" s="30" t="n"/>
      <c r="E2555" s="30" t="n"/>
      <c r="F2555" s="30" t="n"/>
      <c r="G2555" s="30" t="n"/>
      <c r="H2555" s="30" t="n"/>
      <c r="I2555" s="31" t="n"/>
      <c r="J2555" s="30" t="n"/>
      <c r="K2555" s="30" t="n"/>
      <c r="L2555" s="30" t="n"/>
      <c r="M2555" s="30" t="n"/>
      <c r="N2555" s="32" t="n"/>
      <c r="O2555" s="30" t="n"/>
      <c r="P2555" s="32" t="n"/>
      <c r="Q2555" s="30" t="n"/>
      <c r="R2555" s="32" t="n"/>
      <c r="S2555" s="30" t="n"/>
      <c r="T2555" s="30" t="n"/>
      <c r="U2555" s="30" t="n"/>
      <c r="V2555" s="30" t="n"/>
      <c r="W2555" s="29">
        <f>IF(H2555="","",IF(H2555="Kenya","Yes","No"))</f>
        <v/>
      </c>
      <c r="X2555" s="29">
        <f>IF(B2555="","",IF(COUNTIF($B$5:$B$3004,B2555)&gt;1,"DUPLICATE","OK"))</f>
        <v/>
      </c>
      <c r="Y2555" s="29">
        <f>IF(OR(U2555="",V2555="",V2555="Excluded"),"",IF(COUNTIFS($U$5:$U$3004,U2555,$V$5:$V$3004,"&lt;&gt;"&amp;V2555,$V$5:$V$3004,"&lt;&gt;",$V$5:$V$3004,"&lt;&gt;Excluded")&gt;0,"LEAK RISK","OK"))</f>
        <v/>
      </c>
      <c r="Z2555" s="30" t="n"/>
    </row>
    <row r="2556">
      <c r="A2556" s="30" t="n"/>
      <c r="B2556" s="30" t="n"/>
      <c r="C2556" s="30" t="n"/>
      <c r="D2556" s="30" t="n"/>
      <c r="E2556" s="30" t="n"/>
      <c r="F2556" s="30" t="n"/>
      <c r="G2556" s="30" t="n"/>
      <c r="H2556" s="30" t="n"/>
      <c r="I2556" s="31" t="n"/>
      <c r="J2556" s="30" t="n"/>
      <c r="K2556" s="30" t="n"/>
      <c r="L2556" s="30" t="n"/>
      <c r="M2556" s="30" t="n"/>
      <c r="N2556" s="32" t="n"/>
      <c r="O2556" s="30" t="n"/>
      <c r="P2556" s="32" t="n"/>
      <c r="Q2556" s="30" t="n"/>
      <c r="R2556" s="32" t="n"/>
      <c r="S2556" s="30" t="n"/>
      <c r="T2556" s="30" t="n"/>
      <c r="U2556" s="30" t="n"/>
      <c r="V2556" s="30" t="n"/>
      <c r="W2556" s="29">
        <f>IF(H2556="","",IF(H2556="Kenya","Yes","No"))</f>
        <v/>
      </c>
      <c r="X2556" s="29">
        <f>IF(B2556="","",IF(COUNTIF($B$5:$B$3004,B2556)&gt;1,"DUPLICATE","OK"))</f>
        <v/>
      </c>
      <c r="Y2556" s="29">
        <f>IF(OR(U2556="",V2556="",V2556="Excluded"),"",IF(COUNTIFS($U$5:$U$3004,U2556,$V$5:$V$3004,"&lt;&gt;"&amp;V2556,$V$5:$V$3004,"&lt;&gt;",$V$5:$V$3004,"&lt;&gt;Excluded")&gt;0,"LEAK RISK","OK"))</f>
        <v/>
      </c>
      <c r="Z2556" s="30" t="n"/>
    </row>
    <row r="2557">
      <c r="A2557" s="30" t="n"/>
      <c r="B2557" s="30" t="n"/>
      <c r="C2557" s="30" t="n"/>
      <c r="D2557" s="30" t="n"/>
      <c r="E2557" s="30" t="n"/>
      <c r="F2557" s="30" t="n"/>
      <c r="G2557" s="30" t="n"/>
      <c r="H2557" s="30" t="n"/>
      <c r="I2557" s="31" t="n"/>
      <c r="J2557" s="30" t="n"/>
      <c r="K2557" s="30" t="n"/>
      <c r="L2557" s="30" t="n"/>
      <c r="M2557" s="30" t="n"/>
      <c r="N2557" s="32" t="n"/>
      <c r="O2557" s="30" t="n"/>
      <c r="P2557" s="32" t="n"/>
      <c r="Q2557" s="30" t="n"/>
      <c r="R2557" s="32" t="n"/>
      <c r="S2557" s="30" t="n"/>
      <c r="T2557" s="30" t="n"/>
      <c r="U2557" s="30" t="n"/>
      <c r="V2557" s="30" t="n"/>
      <c r="W2557" s="29">
        <f>IF(H2557="","",IF(H2557="Kenya","Yes","No"))</f>
        <v/>
      </c>
      <c r="X2557" s="29">
        <f>IF(B2557="","",IF(COUNTIF($B$5:$B$3004,B2557)&gt;1,"DUPLICATE","OK"))</f>
        <v/>
      </c>
      <c r="Y2557" s="29">
        <f>IF(OR(U2557="",V2557="",V2557="Excluded"),"",IF(COUNTIFS($U$5:$U$3004,U2557,$V$5:$V$3004,"&lt;&gt;"&amp;V2557,$V$5:$V$3004,"&lt;&gt;",$V$5:$V$3004,"&lt;&gt;Excluded")&gt;0,"LEAK RISK","OK"))</f>
        <v/>
      </c>
      <c r="Z2557" s="30" t="n"/>
    </row>
    <row r="2558">
      <c r="A2558" s="30" t="n"/>
      <c r="B2558" s="30" t="n"/>
      <c r="C2558" s="30" t="n"/>
      <c r="D2558" s="30" t="n"/>
      <c r="E2558" s="30" t="n"/>
      <c r="F2558" s="30" t="n"/>
      <c r="G2558" s="30" t="n"/>
      <c r="H2558" s="30" t="n"/>
      <c r="I2558" s="31" t="n"/>
      <c r="J2558" s="30" t="n"/>
      <c r="K2558" s="30" t="n"/>
      <c r="L2558" s="30" t="n"/>
      <c r="M2558" s="30" t="n"/>
      <c r="N2558" s="32" t="n"/>
      <c r="O2558" s="30" t="n"/>
      <c r="P2558" s="32" t="n"/>
      <c r="Q2558" s="30" t="n"/>
      <c r="R2558" s="32" t="n"/>
      <c r="S2558" s="30" t="n"/>
      <c r="T2558" s="30" t="n"/>
      <c r="U2558" s="30" t="n"/>
      <c r="V2558" s="30" t="n"/>
      <c r="W2558" s="29">
        <f>IF(H2558="","",IF(H2558="Kenya","Yes","No"))</f>
        <v/>
      </c>
      <c r="X2558" s="29">
        <f>IF(B2558="","",IF(COUNTIF($B$5:$B$3004,B2558)&gt;1,"DUPLICATE","OK"))</f>
        <v/>
      </c>
      <c r="Y2558" s="29">
        <f>IF(OR(U2558="",V2558="",V2558="Excluded"),"",IF(COUNTIFS($U$5:$U$3004,U2558,$V$5:$V$3004,"&lt;&gt;"&amp;V2558,$V$5:$V$3004,"&lt;&gt;",$V$5:$V$3004,"&lt;&gt;Excluded")&gt;0,"LEAK RISK","OK"))</f>
        <v/>
      </c>
      <c r="Z2558" s="30" t="n"/>
    </row>
    <row r="2559">
      <c r="A2559" s="30" t="n"/>
      <c r="B2559" s="30" t="n"/>
      <c r="C2559" s="30" t="n"/>
      <c r="D2559" s="30" t="n"/>
      <c r="E2559" s="30" t="n"/>
      <c r="F2559" s="30" t="n"/>
      <c r="G2559" s="30" t="n"/>
      <c r="H2559" s="30" t="n"/>
      <c r="I2559" s="31" t="n"/>
      <c r="J2559" s="30" t="n"/>
      <c r="K2559" s="30" t="n"/>
      <c r="L2559" s="30" t="n"/>
      <c r="M2559" s="30" t="n"/>
      <c r="N2559" s="32" t="n"/>
      <c r="O2559" s="30" t="n"/>
      <c r="P2559" s="32" t="n"/>
      <c r="Q2559" s="30" t="n"/>
      <c r="R2559" s="32" t="n"/>
      <c r="S2559" s="30" t="n"/>
      <c r="T2559" s="30" t="n"/>
      <c r="U2559" s="30" t="n"/>
      <c r="V2559" s="30" t="n"/>
      <c r="W2559" s="29">
        <f>IF(H2559="","",IF(H2559="Kenya","Yes","No"))</f>
        <v/>
      </c>
      <c r="X2559" s="29">
        <f>IF(B2559="","",IF(COUNTIF($B$5:$B$3004,B2559)&gt;1,"DUPLICATE","OK"))</f>
        <v/>
      </c>
      <c r="Y2559" s="29">
        <f>IF(OR(U2559="",V2559="",V2559="Excluded"),"",IF(COUNTIFS($U$5:$U$3004,U2559,$V$5:$V$3004,"&lt;&gt;"&amp;V2559,$V$5:$V$3004,"&lt;&gt;",$V$5:$V$3004,"&lt;&gt;Excluded")&gt;0,"LEAK RISK","OK"))</f>
        <v/>
      </c>
      <c r="Z2559" s="30" t="n"/>
    </row>
    <row r="2560">
      <c r="A2560" s="30" t="n"/>
      <c r="B2560" s="30" t="n"/>
      <c r="C2560" s="30" t="n"/>
      <c r="D2560" s="30" t="n"/>
      <c r="E2560" s="30" t="n"/>
      <c r="F2560" s="30" t="n"/>
      <c r="G2560" s="30" t="n"/>
      <c r="H2560" s="30" t="n"/>
      <c r="I2560" s="31" t="n"/>
      <c r="J2560" s="30" t="n"/>
      <c r="K2560" s="30" t="n"/>
      <c r="L2560" s="30" t="n"/>
      <c r="M2560" s="30" t="n"/>
      <c r="N2560" s="32" t="n"/>
      <c r="O2560" s="30" t="n"/>
      <c r="P2560" s="32" t="n"/>
      <c r="Q2560" s="30" t="n"/>
      <c r="R2560" s="32" t="n"/>
      <c r="S2560" s="30" t="n"/>
      <c r="T2560" s="30" t="n"/>
      <c r="U2560" s="30" t="n"/>
      <c r="V2560" s="30" t="n"/>
      <c r="W2560" s="29">
        <f>IF(H2560="","",IF(H2560="Kenya","Yes","No"))</f>
        <v/>
      </c>
      <c r="X2560" s="29">
        <f>IF(B2560="","",IF(COUNTIF($B$5:$B$3004,B2560)&gt;1,"DUPLICATE","OK"))</f>
        <v/>
      </c>
      <c r="Y2560" s="29">
        <f>IF(OR(U2560="",V2560="",V2560="Excluded"),"",IF(COUNTIFS($U$5:$U$3004,U2560,$V$5:$V$3004,"&lt;&gt;"&amp;V2560,$V$5:$V$3004,"&lt;&gt;",$V$5:$V$3004,"&lt;&gt;Excluded")&gt;0,"LEAK RISK","OK"))</f>
        <v/>
      </c>
      <c r="Z2560" s="30" t="n"/>
    </row>
    <row r="2561">
      <c r="A2561" s="30" t="n"/>
      <c r="B2561" s="30" t="n"/>
      <c r="C2561" s="30" t="n"/>
      <c r="D2561" s="30" t="n"/>
      <c r="E2561" s="30" t="n"/>
      <c r="F2561" s="30" t="n"/>
      <c r="G2561" s="30" t="n"/>
      <c r="H2561" s="30" t="n"/>
      <c r="I2561" s="31" t="n"/>
      <c r="J2561" s="30" t="n"/>
      <c r="K2561" s="30" t="n"/>
      <c r="L2561" s="30" t="n"/>
      <c r="M2561" s="30" t="n"/>
      <c r="N2561" s="32" t="n"/>
      <c r="O2561" s="30" t="n"/>
      <c r="P2561" s="32" t="n"/>
      <c r="Q2561" s="30" t="n"/>
      <c r="R2561" s="32" t="n"/>
      <c r="S2561" s="30" t="n"/>
      <c r="T2561" s="30" t="n"/>
      <c r="U2561" s="30" t="n"/>
      <c r="V2561" s="30" t="n"/>
      <c r="W2561" s="29">
        <f>IF(H2561="","",IF(H2561="Kenya","Yes","No"))</f>
        <v/>
      </c>
      <c r="X2561" s="29">
        <f>IF(B2561="","",IF(COUNTIF($B$5:$B$3004,B2561)&gt;1,"DUPLICATE","OK"))</f>
        <v/>
      </c>
      <c r="Y2561" s="29">
        <f>IF(OR(U2561="",V2561="",V2561="Excluded"),"",IF(COUNTIFS($U$5:$U$3004,U2561,$V$5:$V$3004,"&lt;&gt;"&amp;V2561,$V$5:$V$3004,"&lt;&gt;",$V$5:$V$3004,"&lt;&gt;Excluded")&gt;0,"LEAK RISK","OK"))</f>
        <v/>
      </c>
      <c r="Z2561" s="30" t="n"/>
    </row>
    <row r="2562">
      <c r="A2562" s="30" t="n"/>
      <c r="B2562" s="30" t="n"/>
      <c r="C2562" s="30" t="n"/>
      <c r="D2562" s="30" t="n"/>
      <c r="E2562" s="30" t="n"/>
      <c r="F2562" s="30" t="n"/>
      <c r="G2562" s="30" t="n"/>
      <c r="H2562" s="30" t="n"/>
      <c r="I2562" s="31" t="n"/>
      <c r="J2562" s="30" t="n"/>
      <c r="K2562" s="30" t="n"/>
      <c r="L2562" s="30" t="n"/>
      <c r="M2562" s="30" t="n"/>
      <c r="N2562" s="32" t="n"/>
      <c r="O2562" s="30" t="n"/>
      <c r="P2562" s="32" t="n"/>
      <c r="Q2562" s="30" t="n"/>
      <c r="R2562" s="32" t="n"/>
      <c r="S2562" s="30" t="n"/>
      <c r="T2562" s="30" t="n"/>
      <c r="U2562" s="30" t="n"/>
      <c r="V2562" s="30" t="n"/>
      <c r="W2562" s="29">
        <f>IF(H2562="","",IF(H2562="Kenya","Yes","No"))</f>
        <v/>
      </c>
      <c r="X2562" s="29">
        <f>IF(B2562="","",IF(COUNTIF($B$5:$B$3004,B2562)&gt;1,"DUPLICATE","OK"))</f>
        <v/>
      </c>
      <c r="Y2562" s="29">
        <f>IF(OR(U2562="",V2562="",V2562="Excluded"),"",IF(COUNTIFS($U$5:$U$3004,U2562,$V$5:$V$3004,"&lt;&gt;"&amp;V2562,$V$5:$V$3004,"&lt;&gt;",$V$5:$V$3004,"&lt;&gt;Excluded")&gt;0,"LEAK RISK","OK"))</f>
        <v/>
      </c>
      <c r="Z2562" s="30" t="n"/>
    </row>
    <row r="2563">
      <c r="A2563" s="30" t="n"/>
      <c r="B2563" s="30" t="n"/>
      <c r="C2563" s="30" t="n"/>
      <c r="D2563" s="30" t="n"/>
      <c r="E2563" s="30" t="n"/>
      <c r="F2563" s="30" t="n"/>
      <c r="G2563" s="30" t="n"/>
      <c r="H2563" s="30" t="n"/>
      <c r="I2563" s="31" t="n"/>
      <c r="J2563" s="30" t="n"/>
      <c r="K2563" s="30" t="n"/>
      <c r="L2563" s="30" t="n"/>
      <c r="M2563" s="30" t="n"/>
      <c r="N2563" s="32" t="n"/>
      <c r="O2563" s="30" t="n"/>
      <c r="P2563" s="32" t="n"/>
      <c r="Q2563" s="30" t="n"/>
      <c r="R2563" s="32" t="n"/>
      <c r="S2563" s="30" t="n"/>
      <c r="T2563" s="30" t="n"/>
      <c r="U2563" s="30" t="n"/>
      <c r="V2563" s="30" t="n"/>
      <c r="W2563" s="29">
        <f>IF(H2563="","",IF(H2563="Kenya","Yes","No"))</f>
        <v/>
      </c>
      <c r="X2563" s="29">
        <f>IF(B2563="","",IF(COUNTIF($B$5:$B$3004,B2563)&gt;1,"DUPLICATE","OK"))</f>
        <v/>
      </c>
      <c r="Y2563" s="29">
        <f>IF(OR(U2563="",V2563="",V2563="Excluded"),"",IF(COUNTIFS($U$5:$U$3004,U2563,$V$5:$V$3004,"&lt;&gt;"&amp;V2563,$V$5:$V$3004,"&lt;&gt;",$V$5:$V$3004,"&lt;&gt;Excluded")&gt;0,"LEAK RISK","OK"))</f>
        <v/>
      </c>
      <c r="Z2563" s="30" t="n"/>
    </row>
    <row r="2564">
      <c r="A2564" s="30" t="n"/>
      <c r="B2564" s="30" t="n"/>
      <c r="C2564" s="30" t="n"/>
      <c r="D2564" s="30" t="n"/>
      <c r="E2564" s="30" t="n"/>
      <c r="F2564" s="30" t="n"/>
      <c r="G2564" s="30" t="n"/>
      <c r="H2564" s="30" t="n"/>
      <c r="I2564" s="31" t="n"/>
      <c r="J2564" s="30" t="n"/>
      <c r="K2564" s="30" t="n"/>
      <c r="L2564" s="30" t="n"/>
      <c r="M2564" s="30" t="n"/>
      <c r="N2564" s="32" t="n"/>
      <c r="O2564" s="30" t="n"/>
      <c r="P2564" s="32" t="n"/>
      <c r="Q2564" s="30" t="n"/>
      <c r="R2564" s="32" t="n"/>
      <c r="S2564" s="30" t="n"/>
      <c r="T2564" s="30" t="n"/>
      <c r="U2564" s="30" t="n"/>
      <c r="V2564" s="30" t="n"/>
      <c r="W2564" s="29">
        <f>IF(H2564="","",IF(H2564="Kenya","Yes","No"))</f>
        <v/>
      </c>
      <c r="X2564" s="29">
        <f>IF(B2564="","",IF(COUNTIF($B$5:$B$3004,B2564)&gt;1,"DUPLICATE","OK"))</f>
        <v/>
      </c>
      <c r="Y2564" s="29">
        <f>IF(OR(U2564="",V2564="",V2564="Excluded"),"",IF(COUNTIFS($U$5:$U$3004,U2564,$V$5:$V$3004,"&lt;&gt;"&amp;V2564,$V$5:$V$3004,"&lt;&gt;",$V$5:$V$3004,"&lt;&gt;Excluded")&gt;0,"LEAK RISK","OK"))</f>
        <v/>
      </c>
      <c r="Z2564" s="30" t="n"/>
    </row>
    <row r="2565">
      <c r="A2565" s="30" t="n"/>
      <c r="B2565" s="30" t="n"/>
      <c r="C2565" s="30" t="n"/>
      <c r="D2565" s="30" t="n"/>
      <c r="E2565" s="30" t="n"/>
      <c r="F2565" s="30" t="n"/>
      <c r="G2565" s="30" t="n"/>
      <c r="H2565" s="30" t="n"/>
      <c r="I2565" s="31" t="n"/>
      <c r="J2565" s="30" t="n"/>
      <c r="K2565" s="30" t="n"/>
      <c r="L2565" s="30" t="n"/>
      <c r="M2565" s="30" t="n"/>
      <c r="N2565" s="32" t="n"/>
      <c r="O2565" s="30" t="n"/>
      <c r="P2565" s="32" t="n"/>
      <c r="Q2565" s="30" t="n"/>
      <c r="R2565" s="32" t="n"/>
      <c r="S2565" s="30" t="n"/>
      <c r="T2565" s="30" t="n"/>
      <c r="U2565" s="30" t="n"/>
      <c r="V2565" s="30" t="n"/>
      <c r="W2565" s="29">
        <f>IF(H2565="","",IF(H2565="Kenya","Yes","No"))</f>
        <v/>
      </c>
      <c r="X2565" s="29">
        <f>IF(B2565="","",IF(COUNTIF($B$5:$B$3004,B2565)&gt;1,"DUPLICATE","OK"))</f>
        <v/>
      </c>
      <c r="Y2565" s="29">
        <f>IF(OR(U2565="",V2565="",V2565="Excluded"),"",IF(COUNTIFS($U$5:$U$3004,U2565,$V$5:$V$3004,"&lt;&gt;"&amp;V2565,$V$5:$V$3004,"&lt;&gt;",$V$5:$V$3004,"&lt;&gt;Excluded")&gt;0,"LEAK RISK","OK"))</f>
        <v/>
      </c>
      <c r="Z2565" s="30" t="n"/>
    </row>
    <row r="2566">
      <c r="A2566" s="30" t="n"/>
      <c r="B2566" s="30" t="n"/>
      <c r="C2566" s="30" t="n"/>
      <c r="D2566" s="30" t="n"/>
      <c r="E2566" s="30" t="n"/>
      <c r="F2566" s="30" t="n"/>
      <c r="G2566" s="30" t="n"/>
      <c r="H2566" s="30" t="n"/>
      <c r="I2566" s="31" t="n"/>
      <c r="J2566" s="30" t="n"/>
      <c r="K2566" s="30" t="n"/>
      <c r="L2566" s="30" t="n"/>
      <c r="M2566" s="30" t="n"/>
      <c r="N2566" s="32" t="n"/>
      <c r="O2566" s="30" t="n"/>
      <c r="P2566" s="32" t="n"/>
      <c r="Q2566" s="30" t="n"/>
      <c r="R2566" s="32" t="n"/>
      <c r="S2566" s="30" t="n"/>
      <c r="T2566" s="30" t="n"/>
      <c r="U2566" s="30" t="n"/>
      <c r="V2566" s="30" t="n"/>
      <c r="W2566" s="29">
        <f>IF(H2566="","",IF(H2566="Kenya","Yes","No"))</f>
        <v/>
      </c>
      <c r="X2566" s="29">
        <f>IF(B2566="","",IF(COUNTIF($B$5:$B$3004,B2566)&gt;1,"DUPLICATE","OK"))</f>
        <v/>
      </c>
      <c r="Y2566" s="29">
        <f>IF(OR(U2566="",V2566="",V2566="Excluded"),"",IF(COUNTIFS($U$5:$U$3004,U2566,$V$5:$V$3004,"&lt;&gt;"&amp;V2566,$V$5:$V$3004,"&lt;&gt;",$V$5:$V$3004,"&lt;&gt;Excluded")&gt;0,"LEAK RISK","OK"))</f>
        <v/>
      </c>
      <c r="Z2566" s="30" t="n"/>
    </row>
    <row r="2567">
      <c r="A2567" s="30" t="n"/>
      <c r="B2567" s="30" t="n"/>
      <c r="C2567" s="30" t="n"/>
      <c r="D2567" s="30" t="n"/>
      <c r="E2567" s="30" t="n"/>
      <c r="F2567" s="30" t="n"/>
      <c r="G2567" s="30" t="n"/>
      <c r="H2567" s="30" t="n"/>
      <c r="I2567" s="31" t="n"/>
      <c r="J2567" s="30" t="n"/>
      <c r="K2567" s="30" t="n"/>
      <c r="L2567" s="30" t="n"/>
      <c r="M2567" s="30" t="n"/>
      <c r="N2567" s="32" t="n"/>
      <c r="O2567" s="30" t="n"/>
      <c r="P2567" s="32" t="n"/>
      <c r="Q2567" s="30" t="n"/>
      <c r="R2567" s="32" t="n"/>
      <c r="S2567" s="30" t="n"/>
      <c r="T2567" s="30" t="n"/>
      <c r="U2567" s="30" t="n"/>
      <c r="V2567" s="30" t="n"/>
      <c r="W2567" s="29">
        <f>IF(H2567="","",IF(H2567="Kenya","Yes","No"))</f>
        <v/>
      </c>
      <c r="X2567" s="29">
        <f>IF(B2567="","",IF(COUNTIF($B$5:$B$3004,B2567)&gt;1,"DUPLICATE","OK"))</f>
        <v/>
      </c>
      <c r="Y2567" s="29">
        <f>IF(OR(U2567="",V2567="",V2567="Excluded"),"",IF(COUNTIFS($U$5:$U$3004,U2567,$V$5:$V$3004,"&lt;&gt;"&amp;V2567,$V$5:$V$3004,"&lt;&gt;",$V$5:$V$3004,"&lt;&gt;Excluded")&gt;0,"LEAK RISK","OK"))</f>
        <v/>
      </c>
      <c r="Z2567" s="30" t="n"/>
    </row>
    <row r="2568">
      <c r="A2568" s="30" t="n"/>
      <c r="B2568" s="30" t="n"/>
      <c r="C2568" s="30" t="n"/>
      <c r="D2568" s="30" t="n"/>
      <c r="E2568" s="30" t="n"/>
      <c r="F2568" s="30" t="n"/>
      <c r="G2568" s="30" t="n"/>
      <c r="H2568" s="30" t="n"/>
      <c r="I2568" s="31" t="n"/>
      <c r="J2568" s="30" t="n"/>
      <c r="K2568" s="30" t="n"/>
      <c r="L2568" s="30" t="n"/>
      <c r="M2568" s="30" t="n"/>
      <c r="N2568" s="32" t="n"/>
      <c r="O2568" s="30" t="n"/>
      <c r="P2568" s="32" t="n"/>
      <c r="Q2568" s="30" t="n"/>
      <c r="R2568" s="32" t="n"/>
      <c r="S2568" s="30" t="n"/>
      <c r="T2568" s="30" t="n"/>
      <c r="U2568" s="30" t="n"/>
      <c r="V2568" s="30" t="n"/>
      <c r="W2568" s="29">
        <f>IF(H2568="","",IF(H2568="Kenya","Yes","No"))</f>
        <v/>
      </c>
      <c r="X2568" s="29">
        <f>IF(B2568="","",IF(COUNTIF($B$5:$B$3004,B2568)&gt;1,"DUPLICATE","OK"))</f>
        <v/>
      </c>
      <c r="Y2568" s="29">
        <f>IF(OR(U2568="",V2568="",V2568="Excluded"),"",IF(COUNTIFS($U$5:$U$3004,U2568,$V$5:$V$3004,"&lt;&gt;"&amp;V2568,$V$5:$V$3004,"&lt;&gt;",$V$5:$V$3004,"&lt;&gt;Excluded")&gt;0,"LEAK RISK","OK"))</f>
        <v/>
      </c>
      <c r="Z2568" s="30" t="n"/>
    </row>
    <row r="2569">
      <c r="A2569" s="30" t="n"/>
      <c r="B2569" s="30" t="n"/>
      <c r="C2569" s="30" t="n"/>
      <c r="D2569" s="30" t="n"/>
      <c r="E2569" s="30" t="n"/>
      <c r="F2569" s="30" t="n"/>
      <c r="G2569" s="30" t="n"/>
      <c r="H2569" s="30" t="n"/>
      <c r="I2569" s="31" t="n"/>
      <c r="J2569" s="30" t="n"/>
      <c r="K2569" s="30" t="n"/>
      <c r="L2569" s="30" t="n"/>
      <c r="M2569" s="30" t="n"/>
      <c r="N2569" s="32" t="n"/>
      <c r="O2569" s="30" t="n"/>
      <c r="P2569" s="32" t="n"/>
      <c r="Q2569" s="30" t="n"/>
      <c r="R2569" s="32" t="n"/>
      <c r="S2569" s="30" t="n"/>
      <c r="T2569" s="30" t="n"/>
      <c r="U2569" s="30" t="n"/>
      <c r="V2569" s="30" t="n"/>
      <c r="W2569" s="29">
        <f>IF(H2569="","",IF(H2569="Kenya","Yes","No"))</f>
        <v/>
      </c>
      <c r="X2569" s="29">
        <f>IF(B2569="","",IF(COUNTIF($B$5:$B$3004,B2569)&gt;1,"DUPLICATE","OK"))</f>
        <v/>
      </c>
      <c r="Y2569" s="29">
        <f>IF(OR(U2569="",V2569="",V2569="Excluded"),"",IF(COUNTIFS($U$5:$U$3004,U2569,$V$5:$V$3004,"&lt;&gt;"&amp;V2569,$V$5:$V$3004,"&lt;&gt;",$V$5:$V$3004,"&lt;&gt;Excluded")&gt;0,"LEAK RISK","OK"))</f>
        <v/>
      </c>
      <c r="Z2569" s="30" t="n"/>
    </row>
    <row r="2570">
      <c r="A2570" s="30" t="n"/>
      <c r="B2570" s="30" t="n"/>
      <c r="C2570" s="30" t="n"/>
      <c r="D2570" s="30" t="n"/>
      <c r="E2570" s="30" t="n"/>
      <c r="F2570" s="30" t="n"/>
      <c r="G2570" s="30" t="n"/>
      <c r="H2570" s="30" t="n"/>
      <c r="I2570" s="31" t="n"/>
      <c r="J2570" s="30" t="n"/>
      <c r="K2570" s="30" t="n"/>
      <c r="L2570" s="30" t="n"/>
      <c r="M2570" s="30" t="n"/>
      <c r="N2570" s="32" t="n"/>
      <c r="O2570" s="30" t="n"/>
      <c r="P2570" s="32" t="n"/>
      <c r="Q2570" s="30" t="n"/>
      <c r="R2570" s="32" t="n"/>
      <c r="S2570" s="30" t="n"/>
      <c r="T2570" s="30" t="n"/>
      <c r="U2570" s="30" t="n"/>
      <c r="V2570" s="30" t="n"/>
      <c r="W2570" s="29">
        <f>IF(H2570="","",IF(H2570="Kenya","Yes","No"))</f>
        <v/>
      </c>
      <c r="X2570" s="29">
        <f>IF(B2570="","",IF(COUNTIF($B$5:$B$3004,B2570)&gt;1,"DUPLICATE","OK"))</f>
        <v/>
      </c>
      <c r="Y2570" s="29">
        <f>IF(OR(U2570="",V2570="",V2570="Excluded"),"",IF(COUNTIFS($U$5:$U$3004,U2570,$V$5:$V$3004,"&lt;&gt;"&amp;V2570,$V$5:$V$3004,"&lt;&gt;",$V$5:$V$3004,"&lt;&gt;Excluded")&gt;0,"LEAK RISK","OK"))</f>
        <v/>
      </c>
      <c r="Z2570" s="30" t="n"/>
    </row>
    <row r="2571">
      <c r="A2571" s="30" t="n"/>
      <c r="B2571" s="30" t="n"/>
      <c r="C2571" s="30" t="n"/>
      <c r="D2571" s="30" t="n"/>
      <c r="E2571" s="30" t="n"/>
      <c r="F2571" s="30" t="n"/>
      <c r="G2571" s="30" t="n"/>
      <c r="H2571" s="30" t="n"/>
      <c r="I2571" s="31" t="n"/>
      <c r="J2571" s="30" t="n"/>
      <c r="K2571" s="30" t="n"/>
      <c r="L2571" s="30" t="n"/>
      <c r="M2571" s="30" t="n"/>
      <c r="N2571" s="32" t="n"/>
      <c r="O2571" s="30" t="n"/>
      <c r="P2571" s="32" t="n"/>
      <c r="Q2571" s="30" t="n"/>
      <c r="R2571" s="32" t="n"/>
      <c r="S2571" s="30" t="n"/>
      <c r="T2571" s="30" t="n"/>
      <c r="U2571" s="30" t="n"/>
      <c r="V2571" s="30" t="n"/>
      <c r="W2571" s="29">
        <f>IF(H2571="","",IF(H2571="Kenya","Yes","No"))</f>
        <v/>
      </c>
      <c r="X2571" s="29">
        <f>IF(B2571="","",IF(COUNTIF($B$5:$B$3004,B2571)&gt;1,"DUPLICATE","OK"))</f>
        <v/>
      </c>
      <c r="Y2571" s="29">
        <f>IF(OR(U2571="",V2571="",V2571="Excluded"),"",IF(COUNTIFS($U$5:$U$3004,U2571,$V$5:$V$3004,"&lt;&gt;"&amp;V2571,$V$5:$V$3004,"&lt;&gt;",$V$5:$V$3004,"&lt;&gt;Excluded")&gt;0,"LEAK RISK","OK"))</f>
        <v/>
      </c>
      <c r="Z2571" s="30" t="n"/>
    </row>
    <row r="2572">
      <c r="A2572" s="30" t="n"/>
      <c r="B2572" s="30" t="n"/>
      <c r="C2572" s="30" t="n"/>
      <c r="D2572" s="30" t="n"/>
      <c r="E2572" s="30" t="n"/>
      <c r="F2572" s="30" t="n"/>
      <c r="G2572" s="30" t="n"/>
      <c r="H2572" s="30" t="n"/>
      <c r="I2572" s="31" t="n"/>
      <c r="J2572" s="30" t="n"/>
      <c r="K2572" s="30" t="n"/>
      <c r="L2572" s="30" t="n"/>
      <c r="M2572" s="30" t="n"/>
      <c r="N2572" s="32" t="n"/>
      <c r="O2572" s="30" t="n"/>
      <c r="P2572" s="32" t="n"/>
      <c r="Q2572" s="30" t="n"/>
      <c r="R2572" s="32" t="n"/>
      <c r="S2572" s="30" t="n"/>
      <c r="T2572" s="30" t="n"/>
      <c r="U2572" s="30" t="n"/>
      <c r="V2572" s="30" t="n"/>
      <c r="W2572" s="29">
        <f>IF(H2572="","",IF(H2572="Kenya","Yes","No"))</f>
        <v/>
      </c>
      <c r="X2572" s="29">
        <f>IF(B2572="","",IF(COUNTIF($B$5:$B$3004,B2572)&gt;1,"DUPLICATE","OK"))</f>
        <v/>
      </c>
      <c r="Y2572" s="29">
        <f>IF(OR(U2572="",V2572="",V2572="Excluded"),"",IF(COUNTIFS($U$5:$U$3004,U2572,$V$5:$V$3004,"&lt;&gt;"&amp;V2572,$V$5:$V$3004,"&lt;&gt;",$V$5:$V$3004,"&lt;&gt;Excluded")&gt;0,"LEAK RISK","OK"))</f>
        <v/>
      </c>
      <c r="Z2572" s="30" t="n"/>
    </row>
    <row r="2573">
      <c r="A2573" s="30" t="n"/>
      <c r="B2573" s="30" t="n"/>
      <c r="C2573" s="30" t="n"/>
      <c r="D2573" s="30" t="n"/>
      <c r="E2573" s="30" t="n"/>
      <c r="F2573" s="30" t="n"/>
      <c r="G2573" s="30" t="n"/>
      <c r="H2573" s="30" t="n"/>
      <c r="I2573" s="31" t="n"/>
      <c r="J2573" s="30" t="n"/>
      <c r="K2573" s="30" t="n"/>
      <c r="L2573" s="30" t="n"/>
      <c r="M2573" s="30" t="n"/>
      <c r="N2573" s="32" t="n"/>
      <c r="O2573" s="30" t="n"/>
      <c r="P2573" s="32" t="n"/>
      <c r="Q2573" s="30" t="n"/>
      <c r="R2573" s="32" t="n"/>
      <c r="S2573" s="30" t="n"/>
      <c r="T2573" s="30" t="n"/>
      <c r="U2573" s="30" t="n"/>
      <c r="V2573" s="30" t="n"/>
      <c r="W2573" s="29">
        <f>IF(H2573="","",IF(H2573="Kenya","Yes","No"))</f>
        <v/>
      </c>
      <c r="X2573" s="29">
        <f>IF(B2573="","",IF(COUNTIF($B$5:$B$3004,B2573)&gt;1,"DUPLICATE","OK"))</f>
        <v/>
      </c>
      <c r="Y2573" s="29">
        <f>IF(OR(U2573="",V2573="",V2573="Excluded"),"",IF(COUNTIFS($U$5:$U$3004,U2573,$V$5:$V$3004,"&lt;&gt;"&amp;V2573,$V$5:$V$3004,"&lt;&gt;",$V$5:$V$3004,"&lt;&gt;Excluded")&gt;0,"LEAK RISK","OK"))</f>
        <v/>
      </c>
      <c r="Z2573" s="30" t="n"/>
    </row>
    <row r="2574">
      <c r="A2574" s="30" t="n"/>
      <c r="B2574" s="30" t="n"/>
      <c r="C2574" s="30" t="n"/>
      <c r="D2574" s="30" t="n"/>
      <c r="E2574" s="30" t="n"/>
      <c r="F2574" s="30" t="n"/>
      <c r="G2574" s="30" t="n"/>
      <c r="H2574" s="30" t="n"/>
      <c r="I2574" s="31" t="n"/>
      <c r="J2574" s="30" t="n"/>
      <c r="K2574" s="30" t="n"/>
      <c r="L2574" s="30" t="n"/>
      <c r="M2574" s="30" t="n"/>
      <c r="N2574" s="32" t="n"/>
      <c r="O2574" s="30" t="n"/>
      <c r="P2574" s="32" t="n"/>
      <c r="Q2574" s="30" t="n"/>
      <c r="R2574" s="32" t="n"/>
      <c r="S2574" s="30" t="n"/>
      <c r="T2574" s="30" t="n"/>
      <c r="U2574" s="30" t="n"/>
      <c r="V2574" s="30" t="n"/>
      <c r="W2574" s="29">
        <f>IF(H2574="","",IF(H2574="Kenya","Yes","No"))</f>
        <v/>
      </c>
      <c r="X2574" s="29">
        <f>IF(B2574="","",IF(COUNTIF($B$5:$B$3004,B2574)&gt;1,"DUPLICATE","OK"))</f>
        <v/>
      </c>
      <c r="Y2574" s="29">
        <f>IF(OR(U2574="",V2574="",V2574="Excluded"),"",IF(COUNTIFS($U$5:$U$3004,U2574,$V$5:$V$3004,"&lt;&gt;"&amp;V2574,$V$5:$V$3004,"&lt;&gt;",$V$5:$V$3004,"&lt;&gt;Excluded")&gt;0,"LEAK RISK","OK"))</f>
        <v/>
      </c>
      <c r="Z2574" s="30" t="n"/>
    </row>
    <row r="2575">
      <c r="A2575" s="30" t="n"/>
      <c r="B2575" s="30" t="n"/>
      <c r="C2575" s="30" t="n"/>
      <c r="D2575" s="30" t="n"/>
      <c r="E2575" s="30" t="n"/>
      <c r="F2575" s="30" t="n"/>
      <c r="G2575" s="30" t="n"/>
      <c r="H2575" s="30" t="n"/>
      <c r="I2575" s="31" t="n"/>
      <c r="J2575" s="30" t="n"/>
      <c r="K2575" s="30" t="n"/>
      <c r="L2575" s="30" t="n"/>
      <c r="M2575" s="30" t="n"/>
      <c r="N2575" s="32" t="n"/>
      <c r="O2575" s="30" t="n"/>
      <c r="P2575" s="32" t="n"/>
      <c r="Q2575" s="30" t="n"/>
      <c r="R2575" s="32" t="n"/>
      <c r="S2575" s="30" t="n"/>
      <c r="T2575" s="30" t="n"/>
      <c r="U2575" s="30" t="n"/>
      <c r="V2575" s="30" t="n"/>
      <c r="W2575" s="29">
        <f>IF(H2575="","",IF(H2575="Kenya","Yes","No"))</f>
        <v/>
      </c>
      <c r="X2575" s="29">
        <f>IF(B2575="","",IF(COUNTIF($B$5:$B$3004,B2575)&gt;1,"DUPLICATE","OK"))</f>
        <v/>
      </c>
      <c r="Y2575" s="29">
        <f>IF(OR(U2575="",V2575="",V2575="Excluded"),"",IF(COUNTIFS($U$5:$U$3004,U2575,$V$5:$V$3004,"&lt;&gt;"&amp;V2575,$V$5:$V$3004,"&lt;&gt;",$V$5:$V$3004,"&lt;&gt;Excluded")&gt;0,"LEAK RISK","OK"))</f>
        <v/>
      </c>
      <c r="Z2575" s="30" t="n"/>
    </row>
    <row r="2576">
      <c r="A2576" s="30" t="n"/>
      <c r="B2576" s="30" t="n"/>
      <c r="C2576" s="30" t="n"/>
      <c r="D2576" s="30" t="n"/>
      <c r="E2576" s="30" t="n"/>
      <c r="F2576" s="30" t="n"/>
      <c r="G2576" s="30" t="n"/>
      <c r="H2576" s="30" t="n"/>
      <c r="I2576" s="31" t="n"/>
      <c r="J2576" s="30" t="n"/>
      <c r="K2576" s="30" t="n"/>
      <c r="L2576" s="30" t="n"/>
      <c r="M2576" s="30" t="n"/>
      <c r="N2576" s="32" t="n"/>
      <c r="O2576" s="30" t="n"/>
      <c r="P2576" s="32" t="n"/>
      <c r="Q2576" s="30" t="n"/>
      <c r="R2576" s="32" t="n"/>
      <c r="S2576" s="30" t="n"/>
      <c r="T2576" s="30" t="n"/>
      <c r="U2576" s="30" t="n"/>
      <c r="V2576" s="30" t="n"/>
      <c r="W2576" s="29">
        <f>IF(H2576="","",IF(H2576="Kenya","Yes","No"))</f>
        <v/>
      </c>
      <c r="X2576" s="29">
        <f>IF(B2576="","",IF(COUNTIF($B$5:$B$3004,B2576)&gt;1,"DUPLICATE","OK"))</f>
        <v/>
      </c>
      <c r="Y2576" s="29">
        <f>IF(OR(U2576="",V2576="",V2576="Excluded"),"",IF(COUNTIFS($U$5:$U$3004,U2576,$V$5:$V$3004,"&lt;&gt;"&amp;V2576,$V$5:$V$3004,"&lt;&gt;",$V$5:$V$3004,"&lt;&gt;Excluded")&gt;0,"LEAK RISK","OK"))</f>
        <v/>
      </c>
      <c r="Z2576" s="30" t="n"/>
    </row>
    <row r="2577">
      <c r="A2577" s="30" t="n"/>
      <c r="B2577" s="30" t="n"/>
      <c r="C2577" s="30" t="n"/>
      <c r="D2577" s="30" t="n"/>
      <c r="E2577" s="30" t="n"/>
      <c r="F2577" s="30" t="n"/>
      <c r="G2577" s="30" t="n"/>
      <c r="H2577" s="30" t="n"/>
      <c r="I2577" s="31" t="n"/>
      <c r="J2577" s="30" t="n"/>
      <c r="K2577" s="30" t="n"/>
      <c r="L2577" s="30" t="n"/>
      <c r="M2577" s="30" t="n"/>
      <c r="N2577" s="32" t="n"/>
      <c r="O2577" s="30" t="n"/>
      <c r="P2577" s="32" t="n"/>
      <c r="Q2577" s="30" t="n"/>
      <c r="R2577" s="32" t="n"/>
      <c r="S2577" s="30" t="n"/>
      <c r="T2577" s="30" t="n"/>
      <c r="U2577" s="30" t="n"/>
      <c r="V2577" s="30" t="n"/>
      <c r="W2577" s="29">
        <f>IF(H2577="","",IF(H2577="Kenya","Yes","No"))</f>
        <v/>
      </c>
      <c r="X2577" s="29">
        <f>IF(B2577="","",IF(COUNTIF($B$5:$B$3004,B2577)&gt;1,"DUPLICATE","OK"))</f>
        <v/>
      </c>
      <c r="Y2577" s="29">
        <f>IF(OR(U2577="",V2577="",V2577="Excluded"),"",IF(COUNTIFS($U$5:$U$3004,U2577,$V$5:$V$3004,"&lt;&gt;"&amp;V2577,$V$5:$V$3004,"&lt;&gt;",$V$5:$V$3004,"&lt;&gt;Excluded")&gt;0,"LEAK RISK","OK"))</f>
        <v/>
      </c>
      <c r="Z2577" s="30" t="n"/>
    </row>
    <row r="2578">
      <c r="A2578" s="30" t="n"/>
      <c r="B2578" s="30" t="n"/>
      <c r="C2578" s="30" t="n"/>
      <c r="D2578" s="30" t="n"/>
      <c r="E2578" s="30" t="n"/>
      <c r="F2578" s="30" t="n"/>
      <c r="G2578" s="30" t="n"/>
      <c r="H2578" s="30" t="n"/>
      <c r="I2578" s="31" t="n"/>
      <c r="J2578" s="30" t="n"/>
      <c r="K2578" s="30" t="n"/>
      <c r="L2578" s="30" t="n"/>
      <c r="M2578" s="30" t="n"/>
      <c r="N2578" s="32" t="n"/>
      <c r="O2578" s="30" t="n"/>
      <c r="P2578" s="32" t="n"/>
      <c r="Q2578" s="30" t="n"/>
      <c r="R2578" s="32" t="n"/>
      <c r="S2578" s="30" t="n"/>
      <c r="T2578" s="30" t="n"/>
      <c r="U2578" s="30" t="n"/>
      <c r="V2578" s="30" t="n"/>
      <c r="W2578" s="29">
        <f>IF(H2578="","",IF(H2578="Kenya","Yes","No"))</f>
        <v/>
      </c>
      <c r="X2578" s="29">
        <f>IF(B2578="","",IF(COUNTIF($B$5:$B$3004,B2578)&gt;1,"DUPLICATE","OK"))</f>
        <v/>
      </c>
      <c r="Y2578" s="29">
        <f>IF(OR(U2578="",V2578="",V2578="Excluded"),"",IF(COUNTIFS($U$5:$U$3004,U2578,$V$5:$V$3004,"&lt;&gt;"&amp;V2578,$V$5:$V$3004,"&lt;&gt;",$V$5:$V$3004,"&lt;&gt;Excluded")&gt;0,"LEAK RISK","OK"))</f>
        <v/>
      </c>
      <c r="Z2578" s="30" t="n"/>
    </row>
    <row r="2579">
      <c r="A2579" s="30" t="n"/>
      <c r="B2579" s="30" t="n"/>
      <c r="C2579" s="30" t="n"/>
      <c r="D2579" s="30" t="n"/>
      <c r="E2579" s="30" t="n"/>
      <c r="F2579" s="30" t="n"/>
      <c r="G2579" s="30" t="n"/>
      <c r="H2579" s="30" t="n"/>
      <c r="I2579" s="31" t="n"/>
      <c r="J2579" s="30" t="n"/>
      <c r="K2579" s="30" t="n"/>
      <c r="L2579" s="30" t="n"/>
      <c r="M2579" s="30" t="n"/>
      <c r="N2579" s="32" t="n"/>
      <c r="O2579" s="30" t="n"/>
      <c r="P2579" s="32" t="n"/>
      <c r="Q2579" s="30" t="n"/>
      <c r="R2579" s="32" t="n"/>
      <c r="S2579" s="30" t="n"/>
      <c r="T2579" s="30" t="n"/>
      <c r="U2579" s="30" t="n"/>
      <c r="V2579" s="30" t="n"/>
      <c r="W2579" s="29">
        <f>IF(H2579="","",IF(H2579="Kenya","Yes","No"))</f>
        <v/>
      </c>
      <c r="X2579" s="29">
        <f>IF(B2579="","",IF(COUNTIF($B$5:$B$3004,B2579)&gt;1,"DUPLICATE","OK"))</f>
        <v/>
      </c>
      <c r="Y2579" s="29">
        <f>IF(OR(U2579="",V2579="",V2579="Excluded"),"",IF(COUNTIFS($U$5:$U$3004,U2579,$V$5:$V$3004,"&lt;&gt;"&amp;V2579,$V$5:$V$3004,"&lt;&gt;",$V$5:$V$3004,"&lt;&gt;Excluded")&gt;0,"LEAK RISK","OK"))</f>
        <v/>
      </c>
      <c r="Z2579" s="30" t="n"/>
    </row>
    <row r="2580">
      <c r="A2580" s="30" t="n"/>
      <c r="B2580" s="30" t="n"/>
      <c r="C2580" s="30" t="n"/>
      <c r="D2580" s="30" t="n"/>
      <c r="E2580" s="30" t="n"/>
      <c r="F2580" s="30" t="n"/>
      <c r="G2580" s="30" t="n"/>
      <c r="H2580" s="30" t="n"/>
      <c r="I2580" s="31" t="n"/>
      <c r="J2580" s="30" t="n"/>
      <c r="K2580" s="30" t="n"/>
      <c r="L2580" s="30" t="n"/>
      <c r="M2580" s="30" t="n"/>
      <c r="N2580" s="32" t="n"/>
      <c r="O2580" s="30" t="n"/>
      <c r="P2580" s="32" t="n"/>
      <c r="Q2580" s="30" t="n"/>
      <c r="R2580" s="32" t="n"/>
      <c r="S2580" s="30" t="n"/>
      <c r="T2580" s="30" t="n"/>
      <c r="U2580" s="30" t="n"/>
      <c r="V2580" s="30" t="n"/>
      <c r="W2580" s="29">
        <f>IF(H2580="","",IF(H2580="Kenya","Yes","No"))</f>
        <v/>
      </c>
      <c r="X2580" s="29">
        <f>IF(B2580="","",IF(COUNTIF($B$5:$B$3004,B2580)&gt;1,"DUPLICATE","OK"))</f>
        <v/>
      </c>
      <c r="Y2580" s="29">
        <f>IF(OR(U2580="",V2580="",V2580="Excluded"),"",IF(COUNTIFS($U$5:$U$3004,U2580,$V$5:$V$3004,"&lt;&gt;"&amp;V2580,$V$5:$V$3004,"&lt;&gt;",$V$5:$V$3004,"&lt;&gt;Excluded")&gt;0,"LEAK RISK","OK"))</f>
        <v/>
      </c>
      <c r="Z2580" s="30" t="n"/>
    </row>
    <row r="2581">
      <c r="A2581" s="30" t="n"/>
      <c r="B2581" s="30" t="n"/>
      <c r="C2581" s="30" t="n"/>
      <c r="D2581" s="30" t="n"/>
      <c r="E2581" s="30" t="n"/>
      <c r="F2581" s="30" t="n"/>
      <c r="G2581" s="30" t="n"/>
      <c r="H2581" s="30" t="n"/>
      <c r="I2581" s="31" t="n"/>
      <c r="J2581" s="30" t="n"/>
      <c r="K2581" s="30" t="n"/>
      <c r="L2581" s="30" t="n"/>
      <c r="M2581" s="30" t="n"/>
      <c r="N2581" s="32" t="n"/>
      <c r="O2581" s="30" t="n"/>
      <c r="P2581" s="32" t="n"/>
      <c r="Q2581" s="30" t="n"/>
      <c r="R2581" s="32" t="n"/>
      <c r="S2581" s="30" t="n"/>
      <c r="T2581" s="30" t="n"/>
      <c r="U2581" s="30" t="n"/>
      <c r="V2581" s="30" t="n"/>
      <c r="W2581" s="29">
        <f>IF(H2581="","",IF(H2581="Kenya","Yes","No"))</f>
        <v/>
      </c>
      <c r="X2581" s="29">
        <f>IF(B2581="","",IF(COUNTIF($B$5:$B$3004,B2581)&gt;1,"DUPLICATE","OK"))</f>
        <v/>
      </c>
      <c r="Y2581" s="29">
        <f>IF(OR(U2581="",V2581="",V2581="Excluded"),"",IF(COUNTIFS($U$5:$U$3004,U2581,$V$5:$V$3004,"&lt;&gt;"&amp;V2581,$V$5:$V$3004,"&lt;&gt;",$V$5:$V$3004,"&lt;&gt;Excluded")&gt;0,"LEAK RISK","OK"))</f>
        <v/>
      </c>
      <c r="Z2581" s="30" t="n"/>
    </row>
    <row r="2582">
      <c r="A2582" s="30" t="n"/>
      <c r="B2582" s="30" t="n"/>
      <c r="C2582" s="30" t="n"/>
      <c r="D2582" s="30" t="n"/>
      <c r="E2582" s="30" t="n"/>
      <c r="F2582" s="30" t="n"/>
      <c r="G2582" s="30" t="n"/>
      <c r="H2582" s="30" t="n"/>
      <c r="I2582" s="31" t="n"/>
      <c r="J2582" s="30" t="n"/>
      <c r="K2582" s="30" t="n"/>
      <c r="L2582" s="30" t="n"/>
      <c r="M2582" s="30" t="n"/>
      <c r="N2582" s="32" t="n"/>
      <c r="O2582" s="30" t="n"/>
      <c r="P2582" s="32" t="n"/>
      <c r="Q2582" s="30" t="n"/>
      <c r="R2582" s="32" t="n"/>
      <c r="S2582" s="30" t="n"/>
      <c r="T2582" s="30" t="n"/>
      <c r="U2582" s="30" t="n"/>
      <c r="V2582" s="30" t="n"/>
      <c r="W2582" s="29">
        <f>IF(H2582="","",IF(H2582="Kenya","Yes","No"))</f>
        <v/>
      </c>
      <c r="X2582" s="29">
        <f>IF(B2582="","",IF(COUNTIF($B$5:$B$3004,B2582)&gt;1,"DUPLICATE","OK"))</f>
        <v/>
      </c>
      <c r="Y2582" s="29">
        <f>IF(OR(U2582="",V2582="",V2582="Excluded"),"",IF(COUNTIFS($U$5:$U$3004,U2582,$V$5:$V$3004,"&lt;&gt;"&amp;V2582,$V$5:$V$3004,"&lt;&gt;",$V$5:$V$3004,"&lt;&gt;Excluded")&gt;0,"LEAK RISK","OK"))</f>
        <v/>
      </c>
      <c r="Z2582" s="30" t="n"/>
    </row>
    <row r="2583">
      <c r="A2583" s="30" t="n"/>
      <c r="B2583" s="30" t="n"/>
      <c r="C2583" s="30" t="n"/>
      <c r="D2583" s="30" t="n"/>
      <c r="E2583" s="30" t="n"/>
      <c r="F2583" s="30" t="n"/>
      <c r="G2583" s="30" t="n"/>
      <c r="H2583" s="30" t="n"/>
      <c r="I2583" s="31" t="n"/>
      <c r="J2583" s="30" t="n"/>
      <c r="K2583" s="30" t="n"/>
      <c r="L2583" s="30" t="n"/>
      <c r="M2583" s="30" t="n"/>
      <c r="N2583" s="32" t="n"/>
      <c r="O2583" s="30" t="n"/>
      <c r="P2583" s="32" t="n"/>
      <c r="Q2583" s="30" t="n"/>
      <c r="R2583" s="32" t="n"/>
      <c r="S2583" s="30" t="n"/>
      <c r="T2583" s="30" t="n"/>
      <c r="U2583" s="30" t="n"/>
      <c r="V2583" s="30" t="n"/>
      <c r="W2583" s="29">
        <f>IF(H2583="","",IF(H2583="Kenya","Yes","No"))</f>
        <v/>
      </c>
      <c r="X2583" s="29">
        <f>IF(B2583="","",IF(COUNTIF($B$5:$B$3004,B2583)&gt;1,"DUPLICATE","OK"))</f>
        <v/>
      </c>
      <c r="Y2583" s="29">
        <f>IF(OR(U2583="",V2583="",V2583="Excluded"),"",IF(COUNTIFS($U$5:$U$3004,U2583,$V$5:$V$3004,"&lt;&gt;"&amp;V2583,$V$5:$V$3004,"&lt;&gt;",$V$5:$V$3004,"&lt;&gt;Excluded")&gt;0,"LEAK RISK","OK"))</f>
        <v/>
      </c>
      <c r="Z2583" s="30" t="n"/>
    </row>
    <row r="2584">
      <c r="A2584" s="30" t="n"/>
      <c r="B2584" s="30" t="n"/>
      <c r="C2584" s="30" t="n"/>
      <c r="D2584" s="30" t="n"/>
      <c r="E2584" s="30" t="n"/>
      <c r="F2584" s="30" t="n"/>
      <c r="G2584" s="30" t="n"/>
      <c r="H2584" s="30" t="n"/>
      <c r="I2584" s="31" t="n"/>
      <c r="J2584" s="30" t="n"/>
      <c r="K2584" s="30" t="n"/>
      <c r="L2584" s="30" t="n"/>
      <c r="M2584" s="30" t="n"/>
      <c r="N2584" s="32" t="n"/>
      <c r="O2584" s="30" t="n"/>
      <c r="P2584" s="32" t="n"/>
      <c r="Q2584" s="30" t="n"/>
      <c r="R2584" s="32" t="n"/>
      <c r="S2584" s="30" t="n"/>
      <c r="T2584" s="30" t="n"/>
      <c r="U2584" s="30" t="n"/>
      <c r="V2584" s="30" t="n"/>
      <c r="W2584" s="29">
        <f>IF(H2584="","",IF(H2584="Kenya","Yes","No"))</f>
        <v/>
      </c>
      <c r="X2584" s="29">
        <f>IF(B2584="","",IF(COUNTIF($B$5:$B$3004,B2584)&gt;1,"DUPLICATE","OK"))</f>
        <v/>
      </c>
      <c r="Y2584" s="29">
        <f>IF(OR(U2584="",V2584="",V2584="Excluded"),"",IF(COUNTIFS($U$5:$U$3004,U2584,$V$5:$V$3004,"&lt;&gt;"&amp;V2584,$V$5:$V$3004,"&lt;&gt;",$V$5:$V$3004,"&lt;&gt;Excluded")&gt;0,"LEAK RISK","OK"))</f>
        <v/>
      </c>
      <c r="Z2584" s="30" t="n"/>
    </row>
    <row r="2585">
      <c r="A2585" s="30" t="n"/>
      <c r="B2585" s="30" t="n"/>
      <c r="C2585" s="30" t="n"/>
      <c r="D2585" s="30" t="n"/>
      <c r="E2585" s="30" t="n"/>
      <c r="F2585" s="30" t="n"/>
      <c r="G2585" s="30" t="n"/>
      <c r="H2585" s="30" t="n"/>
      <c r="I2585" s="31" t="n"/>
      <c r="J2585" s="30" t="n"/>
      <c r="K2585" s="30" t="n"/>
      <c r="L2585" s="30" t="n"/>
      <c r="M2585" s="30" t="n"/>
      <c r="N2585" s="32" t="n"/>
      <c r="O2585" s="30" t="n"/>
      <c r="P2585" s="32" t="n"/>
      <c r="Q2585" s="30" t="n"/>
      <c r="R2585" s="32" t="n"/>
      <c r="S2585" s="30" t="n"/>
      <c r="T2585" s="30" t="n"/>
      <c r="U2585" s="30" t="n"/>
      <c r="V2585" s="30" t="n"/>
      <c r="W2585" s="29">
        <f>IF(H2585="","",IF(H2585="Kenya","Yes","No"))</f>
        <v/>
      </c>
      <c r="X2585" s="29">
        <f>IF(B2585="","",IF(COUNTIF($B$5:$B$3004,B2585)&gt;1,"DUPLICATE","OK"))</f>
        <v/>
      </c>
      <c r="Y2585" s="29">
        <f>IF(OR(U2585="",V2585="",V2585="Excluded"),"",IF(COUNTIFS($U$5:$U$3004,U2585,$V$5:$V$3004,"&lt;&gt;"&amp;V2585,$V$5:$V$3004,"&lt;&gt;",$V$5:$V$3004,"&lt;&gt;Excluded")&gt;0,"LEAK RISK","OK"))</f>
        <v/>
      </c>
      <c r="Z2585" s="30" t="n"/>
    </row>
    <row r="2586">
      <c r="A2586" s="30" t="n"/>
      <c r="B2586" s="30" t="n"/>
      <c r="C2586" s="30" t="n"/>
      <c r="D2586" s="30" t="n"/>
      <c r="E2586" s="30" t="n"/>
      <c r="F2586" s="30" t="n"/>
      <c r="G2586" s="30" t="n"/>
      <c r="H2586" s="30" t="n"/>
      <c r="I2586" s="31" t="n"/>
      <c r="J2586" s="30" t="n"/>
      <c r="K2586" s="30" t="n"/>
      <c r="L2586" s="30" t="n"/>
      <c r="M2586" s="30" t="n"/>
      <c r="N2586" s="32" t="n"/>
      <c r="O2586" s="30" t="n"/>
      <c r="P2586" s="32" t="n"/>
      <c r="Q2586" s="30" t="n"/>
      <c r="R2586" s="32" t="n"/>
      <c r="S2586" s="30" t="n"/>
      <c r="T2586" s="30" t="n"/>
      <c r="U2586" s="30" t="n"/>
      <c r="V2586" s="30" t="n"/>
      <c r="W2586" s="29">
        <f>IF(H2586="","",IF(H2586="Kenya","Yes","No"))</f>
        <v/>
      </c>
      <c r="X2586" s="29">
        <f>IF(B2586="","",IF(COUNTIF($B$5:$B$3004,B2586)&gt;1,"DUPLICATE","OK"))</f>
        <v/>
      </c>
      <c r="Y2586" s="29">
        <f>IF(OR(U2586="",V2586="",V2586="Excluded"),"",IF(COUNTIFS($U$5:$U$3004,U2586,$V$5:$V$3004,"&lt;&gt;"&amp;V2586,$V$5:$V$3004,"&lt;&gt;",$V$5:$V$3004,"&lt;&gt;Excluded")&gt;0,"LEAK RISK","OK"))</f>
        <v/>
      </c>
      <c r="Z2586" s="30" t="n"/>
    </row>
    <row r="2587">
      <c r="A2587" s="30" t="n"/>
      <c r="B2587" s="30" t="n"/>
      <c r="C2587" s="30" t="n"/>
      <c r="D2587" s="30" t="n"/>
      <c r="E2587" s="30" t="n"/>
      <c r="F2587" s="30" t="n"/>
      <c r="G2587" s="30" t="n"/>
      <c r="H2587" s="30" t="n"/>
      <c r="I2587" s="31" t="n"/>
      <c r="J2587" s="30" t="n"/>
      <c r="K2587" s="30" t="n"/>
      <c r="L2587" s="30" t="n"/>
      <c r="M2587" s="30" t="n"/>
      <c r="N2587" s="32" t="n"/>
      <c r="O2587" s="30" t="n"/>
      <c r="P2587" s="32" t="n"/>
      <c r="Q2587" s="30" t="n"/>
      <c r="R2587" s="32" t="n"/>
      <c r="S2587" s="30" t="n"/>
      <c r="T2587" s="30" t="n"/>
      <c r="U2587" s="30" t="n"/>
      <c r="V2587" s="30" t="n"/>
      <c r="W2587" s="29">
        <f>IF(H2587="","",IF(H2587="Kenya","Yes","No"))</f>
        <v/>
      </c>
      <c r="X2587" s="29">
        <f>IF(B2587="","",IF(COUNTIF($B$5:$B$3004,B2587)&gt;1,"DUPLICATE","OK"))</f>
        <v/>
      </c>
      <c r="Y2587" s="29">
        <f>IF(OR(U2587="",V2587="",V2587="Excluded"),"",IF(COUNTIFS($U$5:$U$3004,U2587,$V$5:$V$3004,"&lt;&gt;"&amp;V2587,$V$5:$V$3004,"&lt;&gt;",$V$5:$V$3004,"&lt;&gt;Excluded")&gt;0,"LEAK RISK","OK"))</f>
        <v/>
      </c>
      <c r="Z2587" s="30" t="n"/>
    </row>
    <row r="2588">
      <c r="A2588" s="30" t="n"/>
      <c r="B2588" s="30" t="n"/>
      <c r="C2588" s="30" t="n"/>
      <c r="D2588" s="30" t="n"/>
      <c r="E2588" s="30" t="n"/>
      <c r="F2588" s="30" t="n"/>
      <c r="G2588" s="30" t="n"/>
      <c r="H2588" s="30" t="n"/>
      <c r="I2588" s="31" t="n"/>
      <c r="J2588" s="30" t="n"/>
      <c r="K2588" s="30" t="n"/>
      <c r="L2588" s="30" t="n"/>
      <c r="M2588" s="30" t="n"/>
      <c r="N2588" s="32" t="n"/>
      <c r="O2588" s="30" t="n"/>
      <c r="P2588" s="32" t="n"/>
      <c r="Q2588" s="30" t="n"/>
      <c r="R2588" s="32" t="n"/>
      <c r="S2588" s="30" t="n"/>
      <c r="T2588" s="30" t="n"/>
      <c r="U2588" s="30" t="n"/>
      <c r="V2588" s="30" t="n"/>
      <c r="W2588" s="29">
        <f>IF(H2588="","",IF(H2588="Kenya","Yes","No"))</f>
        <v/>
      </c>
      <c r="X2588" s="29">
        <f>IF(B2588="","",IF(COUNTIF($B$5:$B$3004,B2588)&gt;1,"DUPLICATE","OK"))</f>
        <v/>
      </c>
      <c r="Y2588" s="29">
        <f>IF(OR(U2588="",V2588="",V2588="Excluded"),"",IF(COUNTIFS($U$5:$U$3004,U2588,$V$5:$V$3004,"&lt;&gt;"&amp;V2588,$V$5:$V$3004,"&lt;&gt;",$V$5:$V$3004,"&lt;&gt;Excluded")&gt;0,"LEAK RISK","OK"))</f>
        <v/>
      </c>
      <c r="Z2588" s="30" t="n"/>
    </row>
    <row r="2589">
      <c r="A2589" s="30" t="n"/>
      <c r="B2589" s="30" t="n"/>
      <c r="C2589" s="30" t="n"/>
      <c r="D2589" s="30" t="n"/>
      <c r="E2589" s="30" t="n"/>
      <c r="F2589" s="30" t="n"/>
      <c r="G2589" s="30" t="n"/>
      <c r="H2589" s="30" t="n"/>
      <c r="I2589" s="31" t="n"/>
      <c r="J2589" s="30" t="n"/>
      <c r="K2589" s="30" t="n"/>
      <c r="L2589" s="30" t="n"/>
      <c r="M2589" s="30" t="n"/>
      <c r="N2589" s="32" t="n"/>
      <c r="O2589" s="30" t="n"/>
      <c r="P2589" s="32" t="n"/>
      <c r="Q2589" s="30" t="n"/>
      <c r="R2589" s="32" t="n"/>
      <c r="S2589" s="30" t="n"/>
      <c r="T2589" s="30" t="n"/>
      <c r="U2589" s="30" t="n"/>
      <c r="V2589" s="30" t="n"/>
      <c r="W2589" s="29">
        <f>IF(H2589="","",IF(H2589="Kenya","Yes","No"))</f>
        <v/>
      </c>
      <c r="X2589" s="29">
        <f>IF(B2589="","",IF(COUNTIF($B$5:$B$3004,B2589)&gt;1,"DUPLICATE","OK"))</f>
        <v/>
      </c>
      <c r="Y2589" s="29">
        <f>IF(OR(U2589="",V2589="",V2589="Excluded"),"",IF(COUNTIFS($U$5:$U$3004,U2589,$V$5:$V$3004,"&lt;&gt;"&amp;V2589,$V$5:$V$3004,"&lt;&gt;",$V$5:$V$3004,"&lt;&gt;Excluded")&gt;0,"LEAK RISK","OK"))</f>
        <v/>
      </c>
      <c r="Z2589" s="30" t="n"/>
    </row>
    <row r="2590">
      <c r="A2590" s="30" t="n"/>
      <c r="B2590" s="30" t="n"/>
      <c r="C2590" s="30" t="n"/>
      <c r="D2590" s="30" t="n"/>
      <c r="E2590" s="30" t="n"/>
      <c r="F2590" s="30" t="n"/>
      <c r="G2590" s="30" t="n"/>
      <c r="H2590" s="30" t="n"/>
      <c r="I2590" s="31" t="n"/>
      <c r="J2590" s="30" t="n"/>
      <c r="K2590" s="30" t="n"/>
      <c r="L2590" s="30" t="n"/>
      <c r="M2590" s="30" t="n"/>
      <c r="N2590" s="32" t="n"/>
      <c r="O2590" s="30" t="n"/>
      <c r="P2590" s="32" t="n"/>
      <c r="Q2590" s="30" t="n"/>
      <c r="R2590" s="32" t="n"/>
      <c r="S2590" s="30" t="n"/>
      <c r="T2590" s="30" t="n"/>
      <c r="U2590" s="30" t="n"/>
      <c r="V2590" s="30" t="n"/>
      <c r="W2590" s="29">
        <f>IF(H2590="","",IF(H2590="Kenya","Yes","No"))</f>
        <v/>
      </c>
      <c r="X2590" s="29">
        <f>IF(B2590="","",IF(COUNTIF($B$5:$B$3004,B2590)&gt;1,"DUPLICATE","OK"))</f>
        <v/>
      </c>
      <c r="Y2590" s="29">
        <f>IF(OR(U2590="",V2590="",V2590="Excluded"),"",IF(COUNTIFS($U$5:$U$3004,U2590,$V$5:$V$3004,"&lt;&gt;"&amp;V2590,$V$5:$V$3004,"&lt;&gt;",$V$5:$V$3004,"&lt;&gt;Excluded")&gt;0,"LEAK RISK","OK"))</f>
        <v/>
      </c>
      <c r="Z2590" s="30" t="n"/>
    </row>
    <row r="2591">
      <c r="A2591" s="30" t="n"/>
      <c r="B2591" s="30" t="n"/>
      <c r="C2591" s="30" t="n"/>
      <c r="D2591" s="30" t="n"/>
      <c r="E2591" s="30" t="n"/>
      <c r="F2591" s="30" t="n"/>
      <c r="G2591" s="30" t="n"/>
      <c r="H2591" s="30" t="n"/>
      <c r="I2591" s="31" t="n"/>
      <c r="J2591" s="30" t="n"/>
      <c r="K2591" s="30" t="n"/>
      <c r="L2591" s="30" t="n"/>
      <c r="M2591" s="30" t="n"/>
      <c r="N2591" s="32" t="n"/>
      <c r="O2591" s="30" t="n"/>
      <c r="P2591" s="32" t="n"/>
      <c r="Q2591" s="30" t="n"/>
      <c r="R2591" s="32" t="n"/>
      <c r="S2591" s="30" t="n"/>
      <c r="T2591" s="30" t="n"/>
      <c r="U2591" s="30" t="n"/>
      <c r="V2591" s="30" t="n"/>
      <c r="W2591" s="29">
        <f>IF(H2591="","",IF(H2591="Kenya","Yes","No"))</f>
        <v/>
      </c>
      <c r="X2591" s="29">
        <f>IF(B2591="","",IF(COUNTIF($B$5:$B$3004,B2591)&gt;1,"DUPLICATE","OK"))</f>
        <v/>
      </c>
      <c r="Y2591" s="29">
        <f>IF(OR(U2591="",V2591="",V2591="Excluded"),"",IF(COUNTIFS($U$5:$U$3004,U2591,$V$5:$V$3004,"&lt;&gt;"&amp;V2591,$V$5:$V$3004,"&lt;&gt;",$V$5:$V$3004,"&lt;&gt;Excluded")&gt;0,"LEAK RISK","OK"))</f>
        <v/>
      </c>
      <c r="Z2591" s="30" t="n"/>
    </row>
    <row r="2592">
      <c r="A2592" s="30" t="n"/>
      <c r="B2592" s="30" t="n"/>
      <c r="C2592" s="30" t="n"/>
      <c r="D2592" s="30" t="n"/>
      <c r="E2592" s="30" t="n"/>
      <c r="F2592" s="30" t="n"/>
      <c r="G2592" s="30" t="n"/>
      <c r="H2592" s="30" t="n"/>
      <c r="I2592" s="31" t="n"/>
      <c r="J2592" s="30" t="n"/>
      <c r="K2592" s="30" t="n"/>
      <c r="L2592" s="30" t="n"/>
      <c r="M2592" s="30" t="n"/>
      <c r="N2592" s="32" t="n"/>
      <c r="O2592" s="30" t="n"/>
      <c r="P2592" s="32" t="n"/>
      <c r="Q2592" s="30" t="n"/>
      <c r="R2592" s="32" t="n"/>
      <c r="S2592" s="30" t="n"/>
      <c r="T2592" s="30" t="n"/>
      <c r="U2592" s="30" t="n"/>
      <c r="V2592" s="30" t="n"/>
      <c r="W2592" s="29">
        <f>IF(H2592="","",IF(H2592="Kenya","Yes","No"))</f>
        <v/>
      </c>
      <c r="X2592" s="29">
        <f>IF(B2592="","",IF(COUNTIF($B$5:$B$3004,B2592)&gt;1,"DUPLICATE","OK"))</f>
        <v/>
      </c>
      <c r="Y2592" s="29">
        <f>IF(OR(U2592="",V2592="",V2592="Excluded"),"",IF(COUNTIFS($U$5:$U$3004,U2592,$V$5:$V$3004,"&lt;&gt;"&amp;V2592,$V$5:$V$3004,"&lt;&gt;",$V$5:$V$3004,"&lt;&gt;Excluded")&gt;0,"LEAK RISK","OK"))</f>
        <v/>
      </c>
      <c r="Z2592" s="30" t="n"/>
    </row>
    <row r="2593">
      <c r="A2593" s="30" t="n"/>
      <c r="B2593" s="30" t="n"/>
      <c r="C2593" s="30" t="n"/>
      <c r="D2593" s="30" t="n"/>
      <c r="E2593" s="30" t="n"/>
      <c r="F2593" s="30" t="n"/>
      <c r="G2593" s="30" t="n"/>
      <c r="H2593" s="30" t="n"/>
      <c r="I2593" s="31" t="n"/>
      <c r="J2593" s="30" t="n"/>
      <c r="K2593" s="30" t="n"/>
      <c r="L2593" s="30" t="n"/>
      <c r="M2593" s="30" t="n"/>
      <c r="N2593" s="32" t="n"/>
      <c r="O2593" s="30" t="n"/>
      <c r="P2593" s="32" t="n"/>
      <c r="Q2593" s="30" t="n"/>
      <c r="R2593" s="32" t="n"/>
      <c r="S2593" s="30" t="n"/>
      <c r="T2593" s="30" t="n"/>
      <c r="U2593" s="30" t="n"/>
      <c r="V2593" s="30" t="n"/>
      <c r="W2593" s="29">
        <f>IF(H2593="","",IF(H2593="Kenya","Yes","No"))</f>
        <v/>
      </c>
      <c r="X2593" s="29">
        <f>IF(B2593="","",IF(COUNTIF($B$5:$B$3004,B2593)&gt;1,"DUPLICATE","OK"))</f>
        <v/>
      </c>
      <c r="Y2593" s="29">
        <f>IF(OR(U2593="",V2593="",V2593="Excluded"),"",IF(COUNTIFS($U$5:$U$3004,U2593,$V$5:$V$3004,"&lt;&gt;"&amp;V2593,$V$5:$V$3004,"&lt;&gt;",$V$5:$V$3004,"&lt;&gt;Excluded")&gt;0,"LEAK RISK","OK"))</f>
        <v/>
      </c>
      <c r="Z2593" s="30" t="n"/>
    </row>
    <row r="2594">
      <c r="A2594" s="30" t="n"/>
      <c r="B2594" s="30" t="n"/>
      <c r="C2594" s="30" t="n"/>
      <c r="D2594" s="30" t="n"/>
      <c r="E2594" s="30" t="n"/>
      <c r="F2594" s="30" t="n"/>
      <c r="G2594" s="30" t="n"/>
      <c r="H2594" s="30" t="n"/>
      <c r="I2594" s="31" t="n"/>
      <c r="J2594" s="30" t="n"/>
      <c r="K2594" s="30" t="n"/>
      <c r="L2594" s="30" t="n"/>
      <c r="M2594" s="30" t="n"/>
      <c r="N2594" s="32" t="n"/>
      <c r="O2594" s="30" t="n"/>
      <c r="P2594" s="32" t="n"/>
      <c r="Q2594" s="30" t="n"/>
      <c r="R2594" s="32" t="n"/>
      <c r="S2594" s="30" t="n"/>
      <c r="T2594" s="30" t="n"/>
      <c r="U2594" s="30" t="n"/>
      <c r="V2594" s="30" t="n"/>
      <c r="W2594" s="29">
        <f>IF(H2594="","",IF(H2594="Kenya","Yes","No"))</f>
        <v/>
      </c>
      <c r="X2594" s="29">
        <f>IF(B2594="","",IF(COUNTIF($B$5:$B$3004,B2594)&gt;1,"DUPLICATE","OK"))</f>
        <v/>
      </c>
      <c r="Y2594" s="29">
        <f>IF(OR(U2594="",V2594="",V2594="Excluded"),"",IF(COUNTIFS($U$5:$U$3004,U2594,$V$5:$V$3004,"&lt;&gt;"&amp;V2594,$V$5:$V$3004,"&lt;&gt;",$V$5:$V$3004,"&lt;&gt;Excluded")&gt;0,"LEAK RISK","OK"))</f>
        <v/>
      </c>
      <c r="Z2594" s="30" t="n"/>
    </row>
    <row r="2595">
      <c r="A2595" s="30" t="n"/>
      <c r="B2595" s="30" t="n"/>
      <c r="C2595" s="30" t="n"/>
      <c r="D2595" s="30" t="n"/>
      <c r="E2595" s="30" t="n"/>
      <c r="F2595" s="30" t="n"/>
      <c r="G2595" s="30" t="n"/>
      <c r="H2595" s="30" t="n"/>
      <c r="I2595" s="31" t="n"/>
      <c r="J2595" s="30" t="n"/>
      <c r="K2595" s="30" t="n"/>
      <c r="L2595" s="30" t="n"/>
      <c r="M2595" s="30" t="n"/>
      <c r="N2595" s="32" t="n"/>
      <c r="O2595" s="30" t="n"/>
      <c r="P2595" s="32" t="n"/>
      <c r="Q2595" s="30" t="n"/>
      <c r="R2595" s="32" t="n"/>
      <c r="S2595" s="30" t="n"/>
      <c r="T2595" s="30" t="n"/>
      <c r="U2595" s="30" t="n"/>
      <c r="V2595" s="30" t="n"/>
      <c r="W2595" s="29">
        <f>IF(H2595="","",IF(H2595="Kenya","Yes","No"))</f>
        <v/>
      </c>
      <c r="X2595" s="29">
        <f>IF(B2595="","",IF(COUNTIF($B$5:$B$3004,B2595)&gt;1,"DUPLICATE","OK"))</f>
        <v/>
      </c>
      <c r="Y2595" s="29">
        <f>IF(OR(U2595="",V2595="",V2595="Excluded"),"",IF(COUNTIFS($U$5:$U$3004,U2595,$V$5:$V$3004,"&lt;&gt;"&amp;V2595,$V$5:$V$3004,"&lt;&gt;",$V$5:$V$3004,"&lt;&gt;Excluded")&gt;0,"LEAK RISK","OK"))</f>
        <v/>
      </c>
      <c r="Z2595" s="30" t="n"/>
    </row>
    <row r="2596">
      <c r="A2596" s="30" t="n"/>
      <c r="B2596" s="30" t="n"/>
      <c r="C2596" s="30" t="n"/>
      <c r="D2596" s="30" t="n"/>
      <c r="E2596" s="30" t="n"/>
      <c r="F2596" s="30" t="n"/>
      <c r="G2596" s="30" t="n"/>
      <c r="H2596" s="30" t="n"/>
      <c r="I2596" s="31" t="n"/>
      <c r="J2596" s="30" t="n"/>
      <c r="K2596" s="30" t="n"/>
      <c r="L2596" s="30" t="n"/>
      <c r="M2596" s="30" t="n"/>
      <c r="N2596" s="32" t="n"/>
      <c r="O2596" s="30" t="n"/>
      <c r="P2596" s="32" t="n"/>
      <c r="Q2596" s="30" t="n"/>
      <c r="R2596" s="32" t="n"/>
      <c r="S2596" s="30" t="n"/>
      <c r="T2596" s="30" t="n"/>
      <c r="U2596" s="30" t="n"/>
      <c r="V2596" s="30" t="n"/>
      <c r="W2596" s="29">
        <f>IF(H2596="","",IF(H2596="Kenya","Yes","No"))</f>
        <v/>
      </c>
      <c r="X2596" s="29">
        <f>IF(B2596="","",IF(COUNTIF($B$5:$B$3004,B2596)&gt;1,"DUPLICATE","OK"))</f>
        <v/>
      </c>
      <c r="Y2596" s="29">
        <f>IF(OR(U2596="",V2596="",V2596="Excluded"),"",IF(COUNTIFS($U$5:$U$3004,U2596,$V$5:$V$3004,"&lt;&gt;"&amp;V2596,$V$5:$V$3004,"&lt;&gt;",$V$5:$V$3004,"&lt;&gt;Excluded")&gt;0,"LEAK RISK","OK"))</f>
        <v/>
      </c>
      <c r="Z2596" s="30" t="n"/>
    </row>
    <row r="2597">
      <c r="A2597" s="30" t="n"/>
      <c r="B2597" s="30" t="n"/>
      <c r="C2597" s="30" t="n"/>
      <c r="D2597" s="30" t="n"/>
      <c r="E2597" s="30" t="n"/>
      <c r="F2597" s="30" t="n"/>
      <c r="G2597" s="30" t="n"/>
      <c r="H2597" s="30" t="n"/>
      <c r="I2597" s="31" t="n"/>
      <c r="J2597" s="30" t="n"/>
      <c r="K2597" s="30" t="n"/>
      <c r="L2597" s="30" t="n"/>
      <c r="M2597" s="30" t="n"/>
      <c r="N2597" s="32" t="n"/>
      <c r="O2597" s="30" t="n"/>
      <c r="P2597" s="32" t="n"/>
      <c r="Q2597" s="30" t="n"/>
      <c r="R2597" s="32" t="n"/>
      <c r="S2597" s="30" t="n"/>
      <c r="T2597" s="30" t="n"/>
      <c r="U2597" s="30" t="n"/>
      <c r="V2597" s="30" t="n"/>
      <c r="W2597" s="29">
        <f>IF(H2597="","",IF(H2597="Kenya","Yes","No"))</f>
        <v/>
      </c>
      <c r="X2597" s="29">
        <f>IF(B2597="","",IF(COUNTIF($B$5:$B$3004,B2597)&gt;1,"DUPLICATE","OK"))</f>
        <v/>
      </c>
      <c r="Y2597" s="29">
        <f>IF(OR(U2597="",V2597="",V2597="Excluded"),"",IF(COUNTIFS($U$5:$U$3004,U2597,$V$5:$V$3004,"&lt;&gt;"&amp;V2597,$V$5:$V$3004,"&lt;&gt;",$V$5:$V$3004,"&lt;&gt;Excluded")&gt;0,"LEAK RISK","OK"))</f>
        <v/>
      </c>
      <c r="Z2597" s="30" t="n"/>
    </row>
    <row r="2598">
      <c r="A2598" s="30" t="n"/>
      <c r="B2598" s="30" t="n"/>
      <c r="C2598" s="30" t="n"/>
      <c r="D2598" s="30" t="n"/>
      <c r="E2598" s="30" t="n"/>
      <c r="F2598" s="30" t="n"/>
      <c r="G2598" s="30" t="n"/>
      <c r="H2598" s="30" t="n"/>
      <c r="I2598" s="31" t="n"/>
      <c r="J2598" s="30" t="n"/>
      <c r="K2598" s="30" t="n"/>
      <c r="L2598" s="30" t="n"/>
      <c r="M2598" s="30" t="n"/>
      <c r="N2598" s="32" t="n"/>
      <c r="O2598" s="30" t="n"/>
      <c r="P2598" s="32" t="n"/>
      <c r="Q2598" s="30" t="n"/>
      <c r="R2598" s="32" t="n"/>
      <c r="S2598" s="30" t="n"/>
      <c r="T2598" s="30" t="n"/>
      <c r="U2598" s="30" t="n"/>
      <c r="V2598" s="30" t="n"/>
      <c r="W2598" s="29">
        <f>IF(H2598="","",IF(H2598="Kenya","Yes","No"))</f>
        <v/>
      </c>
      <c r="X2598" s="29">
        <f>IF(B2598="","",IF(COUNTIF($B$5:$B$3004,B2598)&gt;1,"DUPLICATE","OK"))</f>
        <v/>
      </c>
      <c r="Y2598" s="29">
        <f>IF(OR(U2598="",V2598="",V2598="Excluded"),"",IF(COUNTIFS($U$5:$U$3004,U2598,$V$5:$V$3004,"&lt;&gt;"&amp;V2598,$V$5:$V$3004,"&lt;&gt;",$V$5:$V$3004,"&lt;&gt;Excluded")&gt;0,"LEAK RISK","OK"))</f>
        <v/>
      </c>
      <c r="Z2598" s="30" t="n"/>
    </row>
    <row r="2599">
      <c r="A2599" s="30" t="n"/>
      <c r="B2599" s="30" t="n"/>
      <c r="C2599" s="30" t="n"/>
      <c r="D2599" s="30" t="n"/>
      <c r="E2599" s="30" t="n"/>
      <c r="F2599" s="30" t="n"/>
      <c r="G2599" s="30" t="n"/>
      <c r="H2599" s="30" t="n"/>
      <c r="I2599" s="31" t="n"/>
      <c r="J2599" s="30" t="n"/>
      <c r="K2599" s="30" t="n"/>
      <c r="L2599" s="30" t="n"/>
      <c r="M2599" s="30" t="n"/>
      <c r="N2599" s="32" t="n"/>
      <c r="O2599" s="30" t="n"/>
      <c r="P2599" s="32" t="n"/>
      <c r="Q2599" s="30" t="n"/>
      <c r="R2599" s="32" t="n"/>
      <c r="S2599" s="30" t="n"/>
      <c r="T2599" s="30" t="n"/>
      <c r="U2599" s="30" t="n"/>
      <c r="V2599" s="30" t="n"/>
      <c r="W2599" s="29">
        <f>IF(H2599="","",IF(H2599="Kenya","Yes","No"))</f>
        <v/>
      </c>
      <c r="X2599" s="29">
        <f>IF(B2599="","",IF(COUNTIF($B$5:$B$3004,B2599)&gt;1,"DUPLICATE","OK"))</f>
        <v/>
      </c>
      <c r="Y2599" s="29">
        <f>IF(OR(U2599="",V2599="",V2599="Excluded"),"",IF(COUNTIFS($U$5:$U$3004,U2599,$V$5:$V$3004,"&lt;&gt;"&amp;V2599,$V$5:$V$3004,"&lt;&gt;",$V$5:$V$3004,"&lt;&gt;Excluded")&gt;0,"LEAK RISK","OK"))</f>
        <v/>
      </c>
      <c r="Z2599" s="30" t="n"/>
    </row>
    <row r="2600">
      <c r="A2600" s="30" t="n"/>
      <c r="B2600" s="30" t="n"/>
      <c r="C2600" s="30" t="n"/>
      <c r="D2600" s="30" t="n"/>
      <c r="E2600" s="30" t="n"/>
      <c r="F2600" s="30" t="n"/>
      <c r="G2600" s="30" t="n"/>
      <c r="H2600" s="30" t="n"/>
      <c r="I2600" s="31" t="n"/>
      <c r="J2600" s="30" t="n"/>
      <c r="K2600" s="30" t="n"/>
      <c r="L2600" s="30" t="n"/>
      <c r="M2600" s="30" t="n"/>
      <c r="N2600" s="32" t="n"/>
      <c r="O2600" s="30" t="n"/>
      <c r="P2600" s="32" t="n"/>
      <c r="Q2600" s="30" t="n"/>
      <c r="R2600" s="32" t="n"/>
      <c r="S2600" s="30" t="n"/>
      <c r="T2600" s="30" t="n"/>
      <c r="U2600" s="30" t="n"/>
      <c r="V2600" s="30" t="n"/>
      <c r="W2600" s="29">
        <f>IF(H2600="","",IF(H2600="Kenya","Yes","No"))</f>
        <v/>
      </c>
      <c r="X2600" s="29">
        <f>IF(B2600="","",IF(COUNTIF($B$5:$B$3004,B2600)&gt;1,"DUPLICATE","OK"))</f>
        <v/>
      </c>
      <c r="Y2600" s="29">
        <f>IF(OR(U2600="",V2600="",V2600="Excluded"),"",IF(COUNTIFS($U$5:$U$3004,U2600,$V$5:$V$3004,"&lt;&gt;"&amp;V2600,$V$5:$V$3004,"&lt;&gt;",$V$5:$V$3004,"&lt;&gt;Excluded")&gt;0,"LEAK RISK","OK"))</f>
        <v/>
      </c>
      <c r="Z2600" s="30" t="n"/>
    </row>
    <row r="2601">
      <c r="A2601" s="30" t="n"/>
      <c r="B2601" s="30" t="n"/>
      <c r="C2601" s="30" t="n"/>
      <c r="D2601" s="30" t="n"/>
      <c r="E2601" s="30" t="n"/>
      <c r="F2601" s="30" t="n"/>
      <c r="G2601" s="30" t="n"/>
      <c r="H2601" s="30" t="n"/>
      <c r="I2601" s="31" t="n"/>
      <c r="J2601" s="30" t="n"/>
      <c r="K2601" s="30" t="n"/>
      <c r="L2601" s="30" t="n"/>
      <c r="M2601" s="30" t="n"/>
      <c r="N2601" s="32" t="n"/>
      <c r="O2601" s="30" t="n"/>
      <c r="P2601" s="32" t="n"/>
      <c r="Q2601" s="30" t="n"/>
      <c r="R2601" s="32" t="n"/>
      <c r="S2601" s="30" t="n"/>
      <c r="T2601" s="30" t="n"/>
      <c r="U2601" s="30" t="n"/>
      <c r="V2601" s="30" t="n"/>
      <c r="W2601" s="29">
        <f>IF(H2601="","",IF(H2601="Kenya","Yes","No"))</f>
        <v/>
      </c>
      <c r="X2601" s="29">
        <f>IF(B2601="","",IF(COUNTIF($B$5:$B$3004,B2601)&gt;1,"DUPLICATE","OK"))</f>
        <v/>
      </c>
      <c r="Y2601" s="29">
        <f>IF(OR(U2601="",V2601="",V2601="Excluded"),"",IF(COUNTIFS($U$5:$U$3004,U2601,$V$5:$V$3004,"&lt;&gt;"&amp;V2601,$V$5:$V$3004,"&lt;&gt;",$V$5:$V$3004,"&lt;&gt;Excluded")&gt;0,"LEAK RISK","OK"))</f>
        <v/>
      </c>
      <c r="Z2601" s="30" t="n"/>
    </row>
    <row r="2602">
      <c r="A2602" s="30" t="n"/>
      <c r="B2602" s="30" t="n"/>
      <c r="C2602" s="30" t="n"/>
      <c r="D2602" s="30" t="n"/>
      <c r="E2602" s="30" t="n"/>
      <c r="F2602" s="30" t="n"/>
      <c r="G2602" s="30" t="n"/>
      <c r="H2602" s="30" t="n"/>
      <c r="I2602" s="31" t="n"/>
      <c r="J2602" s="30" t="n"/>
      <c r="K2602" s="30" t="n"/>
      <c r="L2602" s="30" t="n"/>
      <c r="M2602" s="30" t="n"/>
      <c r="N2602" s="32" t="n"/>
      <c r="O2602" s="30" t="n"/>
      <c r="P2602" s="32" t="n"/>
      <c r="Q2602" s="30" t="n"/>
      <c r="R2602" s="32" t="n"/>
      <c r="S2602" s="30" t="n"/>
      <c r="T2602" s="30" t="n"/>
      <c r="U2602" s="30" t="n"/>
      <c r="V2602" s="30" t="n"/>
      <c r="W2602" s="29">
        <f>IF(H2602="","",IF(H2602="Kenya","Yes","No"))</f>
        <v/>
      </c>
      <c r="X2602" s="29">
        <f>IF(B2602="","",IF(COUNTIF($B$5:$B$3004,B2602)&gt;1,"DUPLICATE","OK"))</f>
        <v/>
      </c>
      <c r="Y2602" s="29">
        <f>IF(OR(U2602="",V2602="",V2602="Excluded"),"",IF(COUNTIFS($U$5:$U$3004,U2602,$V$5:$V$3004,"&lt;&gt;"&amp;V2602,$V$5:$V$3004,"&lt;&gt;",$V$5:$V$3004,"&lt;&gt;Excluded")&gt;0,"LEAK RISK","OK"))</f>
        <v/>
      </c>
      <c r="Z2602" s="30" t="n"/>
    </row>
    <row r="2603">
      <c r="A2603" s="30" t="n"/>
      <c r="B2603" s="30" t="n"/>
      <c r="C2603" s="30" t="n"/>
      <c r="D2603" s="30" t="n"/>
      <c r="E2603" s="30" t="n"/>
      <c r="F2603" s="30" t="n"/>
      <c r="G2603" s="30" t="n"/>
      <c r="H2603" s="30" t="n"/>
      <c r="I2603" s="31" t="n"/>
      <c r="J2603" s="30" t="n"/>
      <c r="K2603" s="30" t="n"/>
      <c r="L2603" s="30" t="n"/>
      <c r="M2603" s="30" t="n"/>
      <c r="N2603" s="32" t="n"/>
      <c r="O2603" s="30" t="n"/>
      <c r="P2603" s="32" t="n"/>
      <c r="Q2603" s="30" t="n"/>
      <c r="R2603" s="32" t="n"/>
      <c r="S2603" s="30" t="n"/>
      <c r="T2603" s="30" t="n"/>
      <c r="U2603" s="30" t="n"/>
      <c r="V2603" s="30" t="n"/>
      <c r="W2603" s="29">
        <f>IF(H2603="","",IF(H2603="Kenya","Yes","No"))</f>
        <v/>
      </c>
      <c r="X2603" s="29">
        <f>IF(B2603="","",IF(COUNTIF($B$5:$B$3004,B2603)&gt;1,"DUPLICATE","OK"))</f>
        <v/>
      </c>
      <c r="Y2603" s="29">
        <f>IF(OR(U2603="",V2603="",V2603="Excluded"),"",IF(COUNTIFS($U$5:$U$3004,U2603,$V$5:$V$3004,"&lt;&gt;"&amp;V2603,$V$5:$V$3004,"&lt;&gt;",$V$5:$V$3004,"&lt;&gt;Excluded")&gt;0,"LEAK RISK","OK"))</f>
        <v/>
      </c>
      <c r="Z2603" s="30" t="n"/>
    </row>
    <row r="2604">
      <c r="A2604" s="30" t="n"/>
      <c r="B2604" s="30" t="n"/>
      <c r="C2604" s="30" t="n"/>
      <c r="D2604" s="30" t="n"/>
      <c r="E2604" s="30" t="n"/>
      <c r="F2604" s="30" t="n"/>
      <c r="G2604" s="30" t="n"/>
      <c r="H2604" s="30" t="n"/>
      <c r="I2604" s="31" t="n"/>
      <c r="J2604" s="30" t="n"/>
      <c r="K2604" s="30" t="n"/>
      <c r="L2604" s="30" t="n"/>
      <c r="M2604" s="30" t="n"/>
      <c r="N2604" s="32" t="n"/>
      <c r="O2604" s="30" t="n"/>
      <c r="P2604" s="32" t="n"/>
      <c r="Q2604" s="30" t="n"/>
      <c r="R2604" s="32" t="n"/>
      <c r="S2604" s="30" t="n"/>
      <c r="T2604" s="30" t="n"/>
      <c r="U2604" s="30" t="n"/>
      <c r="V2604" s="30" t="n"/>
      <c r="W2604" s="29">
        <f>IF(H2604="","",IF(H2604="Kenya","Yes","No"))</f>
        <v/>
      </c>
      <c r="X2604" s="29">
        <f>IF(B2604="","",IF(COUNTIF($B$5:$B$3004,B2604)&gt;1,"DUPLICATE","OK"))</f>
        <v/>
      </c>
      <c r="Y2604" s="29">
        <f>IF(OR(U2604="",V2604="",V2604="Excluded"),"",IF(COUNTIFS($U$5:$U$3004,U2604,$V$5:$V$3004,"&lt;&gt;"&amp;V2604,$V$5:$V$3004,"&lt;&gt;",$V$5:$V$3004,"&lt;&gt;Excluded")&gt;0,"LEAK RISK","OK"))</f>
        <v/>
      </c>
      <c r="Z2604" s="30" t="n"/>
    </row>
    <row r="2605">
      <c r="A2605" s="30" t="n"/>
      <c r="B2605" s="30" t="n"/>
      <c r="C2605" s="30" t="n"/>
      <c r="D2605" s="30" t="n"/>
      <c r="E2605" s="30" t="n"/>
      <c r="F2605" s="30" t="n"/>
      <c r="G2605" s="30" t="n"/>
      <c r="H2605" s="30" t="n"/>
      <c r="I2605" s="31" t="n"/>
      <c r="J2605" s="30" t="n"/>
      <c r="K2605" s="30" t="n"/>
      <c r="L2605" s="30" t="n"/>
      <c r="M2605" s="30" t="n"/>
      <c r="N2605" s="32" t="n"/>
      <c r="O2605" s="30" t="n"/>
      <c r="P2605" s="32" t="n"/>
      <c r="Q2605" s="30" t="n"/>
      <c r="R2605" s="32" t="n"/>
      <c r="S2605" s="30" t="n"/>
      <c r="T2605" s="30" t="n"/>
      <c r="U2605" s="30" t="n"/>
      <c r="V2605" s="30" t="n"/>
      <c r="W2605" s="29">
        <f>IF(H2605="","",IF(H2605="Kenya","Yes","No"))</f>
        <v/>
      </c>
      <c r="X2605" s="29">
        <f>IF(B2605="","",IF(COUNTIF($B$5:$B$3004,B2605)&gt;1,"DUPLICATE","OK"))</f>
        <v/>
      </c>
      <c r="Y2605" s="29">
        <f>IF(OR(U2605="",V2605="",V2605="Excluded"),"",IF(COUNTIFS($U$5:$U$3004,U2605,$V$5:$V$3004,"&lt;&gt;"&amp;V2605,$V$5:$V$3004,"&lt;&gt;",$V$5:$V$3004,"&lt;&gt;Excluded")&gt;0,"LEAK RISK","OK"))</f>
        <v/>
      </c>
      <c r="Z2605" s="30" t="n"/>
    </row>
    <row r="2606">
      <c r="A2606" s="30" t="n"/>
      <c r="B2606" s="30" t="n"/>
      <c r="C2606" s="30" t="n"/>
      <c r="D2606" s="30" t="n"/>
      <c r="E2606" s="30" t="n"/>
      <c r="F2606" s="30" t="n"/>
      <c r="G2606" s="30" t="n"/>
      <c r="H2606" s="30" t="n"/>
      <c r="I2606" s="31" t="n"/>
      <c r="J2606" s="30" t="n"/>
      <c r="K2606" s="30" t="n"/>
      <c r="L2606" s="30" t="n"/>
      <c r="M2606" s="30" t="n"/>
      <c r="N2606" s="32" t="n"/>
      <c r="O2606" s="30" t="n"/>
      <c r="P2606" s="32" t="n"/>
      <c r="Q2606" s="30" t="n"/>
      <c r="R2606" s="32" t="n"/>
      <c r="S2606" s="30" t="n"/>
      <c r="T2606" s="30" t="n"/>
      <c r="U2606" s="30" t="n"/>
      <c r="V2606" s="30" t="n"/>
      <c r="W2606" s="29">
        <f>IF(H2606="","",IF(H2606="Kenya","Yes","No"))</f>
        <v/>
      </c>
      <c r="X2606" s="29">
        <f>IF(B2606="","",IF(COUNTIF($B$5:$B$3004,B2606)&gt;1,"DUPLICATE","OK"))</f>
        <v/>
      </c>
      <c r="Y2606" s="29">
        <f>IF(OR(U2606="",V2606="",V2606="Excluded"),"",IF(COUNTIFS($U$5:$U$3004,U2606,$V$5:$V$3004,"&lt;&gt;"&amp;V2606,$V$5:$V$3004,"&lt;&gt;",$V$5:$V$3004,"&lt;&gt;Excluded")&gt;0,"LEAK RISK","OK"))</f>
        <v/>
      </c>
      <c r="Z2606" s="30" t="n"/>
    </row>
    <row r="2607">
      <c r="A2607" s="30" t="n"/>
      <c r="B2607" s="30" t="n"/>
      <c r="C2607" s="30" t="n"/>
      <c r="D2607" s="30" t="n"/>
      <c r="E2607" s="30" t="n"/>
      <c r="F2607" s="30" t="n"/>
      <c r="G2607" s="30" t="n"/>
      <c r="H2607" s="30" t="n"/>
      <c r="I2607" s="31" t="n"/>
      <c r="J2607" s="30" t="n"/>
      <c r="K2607" s="30" t="n"/>
      <c r="L2607" s="30" t="n"/>
      <c r="M2607" s="30" t="n"/>
      <c r="N2607" s="32" t="n"/>
      <c r="O2607" s="30" t="n"/>
      <c r="P2607" s="32" t="n"/>
      <c r="Q2607" s="30" t="n"/>
      <c r="R2607" s="32" t="n"/>
      <c r="S2607" s="30" t="n"/>
      <c r="T2607" s="30" t="n"/>
      <c r="U2607" s="30" t="n"/>
      <c r="V2607" s="30" t="n"/>
      <c r="W2607" s="29">
        <f>IF(H2607="","",IF(H2607="Kenya","Yes","No"))</f>
        <v/>
      </c>
      <c r="X2607" s="29">
        <f>IF(B2607="","",IF(COUNTIF($B$5:$B$3004,B2607)&gt;1,"DUPLICATE","OK"))</f>
        <v/>
      </c>
      <c r="Y2607" s="29">
        <f>IF(OR(U2607="",V2607="",V2607="Excluded"),"",IF(COUNTIFS($U$5:$U$3004,U2607,$V$5:$V$3004,"&lt;&gt;"&amp;V2607,$V$5:$V$3004,"&lt;&gt;",$V$5:$V$3004,"&lt;&gt;Excluded")&gt;0,"LEAK RISK","OK"))</f>
        <v/>
      </c>
      <c r="Z2607" s="30" t="n"/>
    </row>
    <row r="2608">
      <c r="A2608" s="30" t="n"/>
      <c r="B2608" s="30" t="n"/>
      <c r="C2608" s="30" t="n"/>
      <c r="D2608" s="30" t="n"/>
      <c r="E2608" s="30" t="n"/>
      <c r="F2608" s="30" t="n"/>
      <c r="G2608" s="30" t="n"/>
      <c r="H2608" s="30" t="n"/>
      <c r="I2608" s="31" t="n"/>
      <c r="J2608" s="30" t="n"/>
      <c r="K2608" s="30" t="n"/>
      <c r="L2608" s="30" t="n"/>
      <c r="M2608" s="30" t="n"/>
      <c r="N2608" s="32" t="n"/>
      <c r="O2608" s="30" t="n"/>
      <c r="P2608" s="32" t="n"/>
      <c r="Q2608" s="30" t="n"/>
      <c r="R2608" s="32" t="n"/>
      <c r="S2608" s="30" t="n"/>
      <c r="T2608" s="30" t="n"/>
      <c r="U2608" s="30" t="n"/>
      <c r="V2608" s="30" t="n"/>
      <c r="W2608" s="29">
        <f>IF(H2608="","",IF(H2608="Kenya","Yes","No"))</f>
        <v/>
      </c>
      <c r="X2608" s="29">
        <f>IF(B2608="","",IF(COUNTIF($B$5:$B$3004,B2608)&gt;1,"DUPLICATE","OK"))</f>
        <v/>
      </c>
      <c r="Y2608" s="29">
        <f>IF(OR(U2608="",V2608="",V2608="Excluded"),"",IF(COUNTIFS($U$5:$U$3004,U2608,$V$5:$V$3004,"&lt;&gt;"&amp;V2608,$V$5:$V$3004,"&lt;&gt;",$V$5:$V$3004,"&lt;&gt;Excluded")&gt;0,"LEAK RISK","OK"))</f>
        <v/>
      </c>
      <c r="Z2608" s="30" t="n"/>
    </row>
    <row r="2609">
      <c r="A2609" s="30" t="n"/>
      <c r="B2609" s="30" t="n"/>
      <c r="C2609" s="30" t="n"/>
      <c r="D2609" s="30" t="n"/>
      <c r="E2609" s="30" t="n"/>
      <c r="F2609" s="30" t="n"/>
      <c r="G2609" s="30" t="n"/>
      <c r="H2609" s="30" t="n"/>
      <c r="I2609" s="31" t="n"/>
      <c r="J2609" s="30" t="n"/>
      <c r="K2609" s="30" t="n"/>
      <c r="L2609" s="30" t="n"/>
      <c r="M2609" s="30" t="n"/>
      <c r="N2609" s="32" t="n"/>
      <c r="O2609" s="30" t="n"/>
      <c r="P2609" s="32" t="n"/>
      <c r="Q2609" s="30" t="n"/>
      <c r="R2609" s="32" t="n"/>
      <c r="S2609" s="30" t="n"/>
      <c r="T2609" s="30" t="n"/>
      <c r="U2609" s="30" t="n"/>
      <c r="V2609" s="30" t="n"/>
      <c r="W2609" s="29">
        <f>IF(H2609="","",IF(H2609="Kenya","Yes","No"))</f>
        <v/>
      </c>
      <c r="X2609" s="29">
        <f>IF(B2609="","",IF(COUNTIF($B$5:$B$3004,B2609)&gt;1,"DUPLICATE","OK"))</f>
        <v/>
      </c>
      <c r="Y2609" s="29">
        <f>IF(OR(U2609="",V2609="",V2609="Excluded"),"",IF(COUNTIFS($U$5:$U$3004,U2609,$V$5:$V$3004,"&lt;&gt;"&amp;V2609,$V$5:$V$3004,"&lt;&gt;",$V$5:$V$3004,"&lt;&gt;Excluded")&gt;0,"LEAK RISK","OK"))</f>
        <v/>
      </c>
      <c r="Z2609" s="30" t="n"/>
    </row>
    <row r="2610">
      <c r="A2610" s="30" t="n"/>
      <c r="B2610" s="30" t="n"/>
      <c r="C2610" s="30" t="n"/>
      <c r="D2610" s="30" t="n"/>
      <c r="E2610" s="30" t="n"/>
      <c r="F2610" s="30" t="n"/>
      <c r="G2610" s="30" t="n"/>
      <c r="H2610" s="30" t="n"/>
      <c r="I2610" s="31" t="n"/>
      <c r="J2610" s="30" t="n"/>
      <c r="K2610" s="30" t="n"/>
      <c r="L2610" s="30" t="n"/>
      <c r="M2610" s="30" t="n"/>
      <c r="N2610" s="32" t="n"/>
      <c r="O2610" s="30" t="n"/>
      <c r="P2610" s="32" t="n"/>
      <c r="Q2610" s="30" t="n"/>
      <c r="R2610" s="32" t="n"/>
      <c r="S2610" s="30" t="n"/>
      <c r="T2610" s="30" t="n"/>
      <c r="U2610" s="30" t="n"/>
      <c r="V2610" s="30" t="n"/>
      <c r="W2610" s="29">
        <f>IF(H2610="","",IF(H2610="Kenya","Yes","No"))</f>
        <v/>
      </c>
      <c r="X2610" s="29">
        <f>IF(B2610="","",IF(COUNTIF($B$5:$B$3004,B2610)&gt;1,"DUPLICATE","OK"))</f>
        <v/>
      </c>
      <c r="Y2610" s="29">
        <f>IF(OR(U2610="",V2610="",V2610="Excluded"),"",IF(COUNTIFS($U$5:$U$3004,U2610,$V$5:$V$3004,"&lt;&gt;"&amp;V2610,$V$5:$V$3004,"&lt;&gt;",$V$5:$V$3004,"&lt;&gt;Excluded")&gt;0,"LEAK RISK","OK"))</f>
        <v/>
      </c>
      <c r="Z2610" s="30" t="n"/>
    </row>
    <row r="2611">
      <c r="A2611" s="30" t="n"/>
      <c r="B2611" s="30" t="n"/>
      <c r="C2611" s="30" t="n"/>
      <c r="D2611" s="30" t="n"/>
      <c r="E2611" s="30" t="n"/>
      <c r="F2611" s="30" t="n"/>
      <c r="G2611" s="30" t="n"/>
      <c r="H2611" s="30" t="n"/>
      <c r="I2611" s="31" t="n"/>
      <c r="J2611" s="30" t="n"/>
      <c r="K2611" s="30" t="n"/>
      <c r="L2611" s="30" t="n"/>
      <c r="M2611" s="30" t="n"/>
      <c r="N2611" s="32" t="n"/>
      <c r="O2611" s="30" t="n"/>
      <c r="P2611" s="32" t="n"/>
      <c r="Q2611" s="30" t="n"/>
      <c r="R2611" s="32" t="n"/>
      <c r="S2611" s="30" t="n"/>
      <c r="T2611" s="30" t="n"/>
      <c r="U2611" s="30" t="n"/>
      <c r="V2611" s="30" t="n"/>
      <c r="W2611" s="29">
        <f>IF(H2611="","",IF(H2611="Kenya","Yes","No"))</f>
        <v/>
      </c>
      <c r="X2611" s="29">
        <f>IF(B2611="","",IF(COUNTIF($B$5:$B$3004,B2611)&gt;1,"DUPLICATE","OK"))</f>
        <v/>
      </c>
      <c r="Y2611" s="29">
        <f>IF(OR(U2611="",V2611="",V2611="Excluded"),"",IF(COUNTIFS($U$5:$U$3004,U2611,$V$5:$V$3004,"&lt;&gt;"&amp;V2611,$V$5:$V$3004,"&lt;&gt;",$V$5:$V$3004,"&lt;&gt;Excluded")&gt;0,"LEAK RISK","OK"))</f>
        <v/>
      </c>
      <c r="Z2611" s="30" t="n"/>
    </row>
    <row r="2612">
      <c r="A2612" s="30" t="n"/>
      <c r="B2612" s="30" t="n"/>
      <c r="C2612" s="30" t="n"/>
      <c r="D2612" s="30" t="n"/>
      <c r="E2612" s="30" t="n"/>
      <c r="F2612" s="30" t="n"/>
      <c r="G2612" s="30" t="n"/>
      <c r="H2612" s="30" t="n"/>
      <c r="I2612" s="31" t="n"/>
      <c r="J2612" s="30" t="n"/>
      <c r="K2612" s="30" t="n"/>
      <c r="L2612" s="30" t="n"/>
      <c r="M2612" s="30" t="n"/>
      <c r="N2612" s="32" t="n"/>
      <c r="O2612" s="30" t="n"/>
      <c r="P2612" s="32" t="n"/>
      <c r="Q2612" s="30" t="n"/>
      <c r="R2612" s="32" t="n"/>
      <c r="S2612" s="30" t="n"/>
      <c r="T2612" s="30" t="n"/>
      <c r="U2612" s="30" t="n"/>
      <c r="V2612" s="30" t="n"/>
      <c r="W2612" s="29">
        <f>IF(H2612="","",IF(H2612="Kenya","Yes","No"))</f>
        <v/>
      </c>
      <c r="X2612" s="29">
        <f>IF(B2612="","",IF(COUNTIF($B$5:$B$3004,B2612)&gt;1,"DUPLICATE","OK"))</f>
        <v/>
      </c>
      <c r="Y2612" s="29">
        <f>IF(OR(U2612="",V2612="",V2612="Excluded"),"",IF(COUNTIFS($U$5:$U$3004,U2612,$V$5:$V$3004,"&lt;&gt;"&amp;V2612,$V$5:$V$3004,"&lt;&gt;",$V$5:$V$3004,"&lt;&gt;Excluded")&gt;0,"LEAK RISK","OK"))</f>
        <v/>
      </c>
      <c r="Z2612" s="30" t="n"/>
    </row>
    <row r="2613">
      <c r="A2613" s="30" t="n"/>
      <c r="B2613" s="30" t="n"/>
      <c r="C2613" s="30" t="n"/>
      <c r="D2613" s="30" t="n"/>
      <c r="E2613" s="30" t="n"/>
      <c r="F2613" s="30" t="n"/>
      <c r="G2613" s="30" t="n"/>
      <c r="H2613" s="30" t="n"/>
      <c r="I2613" s="31" t="n"/>
      <c r="J2613" s="30" t="n"/>
      <c r="K2613" s="30" t="n"/>
      <c r="L2613" s="30" t="n"/>
      <c r="M2613" s="30" t="n"/>
      <c r="N2613" s="32" t="n"/>
      <c r="O2613" s="30" t="n"/>
      <c r="P2613" s="32" t="n"/>
      <c r="Q2613" s="30" t="n"/>
      <c r="R2613" s="32" t="n"/>
      <c r="S2613" s="30" t="n"/>
      <c r="T2613" s="30" t="n"/>
      <c r="U2613" s="30" t="n"/>
      <c r="V2613" s="30" t="n"/>
      <c r="W2613" s="29">
        <f>IF(H2613="","",IF(H2613="Kenya","Yes","No"))</f>
        <v/>
      </c>
      <c r="X2613" s="29">
        <f>IF(B2613="","",IF(COUNTIF($B$5:$B$3004,B2613)&gt;1,"DUPLICATE","OK"))</f>
        <v/>
      </c>
      <c r="Y2613" s="29">
        <f>IF(OR(U2613="",V2613="",V2613="Excluded"),"",IF(COUNTIFS($U$5:$U$3004,U2613,$V$5:$V$3004,"&lt;&gt;"&amp;V2613,$V$5:$V$3004,"&lt;&gt;",$V$5:$V$3004,"&lt;&gt;Excluded")&gt;0,"LEAK RISK","OK"))</f>
        <v/>
      </c>
      <c r="Z2613" s="30" t="n"/>
    </row>
    <row r="2614">
      <c r="A2614" s="30" t="n"/>
      <c r="B2614" s="30" t="n"/>
      <c r="C2614" s="30" t="n"/>
      <c r="D2614" s="30" t="n"/>
      <c r="E2614" s="30" t="n"/>
      <c r="F2614" s="30" t="n"/>
      <c r="G2614" s="30" t="n"/>
      <c r="H2614" s="30" t="n"/>
      <c r="I2614" s="31" t="n"/>
      <c r="J2614" s="30" t="n"/>
      <c r="K2614" s="30" t="n"/>
      <c r="L2614" s="30" t="n"/>
      <c r="M2614" s="30" t="n"/>
      <c r="N2614" s="32" t="n"/>
      <c r="O2614" s="30" t="n"/>
      <c r="P2614" s="32" t="n"/>
      <c r="Q2614" s="30" t="n"/>
      <c r="R2614" s="32" t="n"/>
      <c r="S2614" s="30" t="n"/>
      <c r="T2614" s="30" t="n"/>
      <c r="U2614" s="30" t="n"/>
      <c r="V2614" s="30" t="n"/>
      <c r="W2614" s="29">
        <f>IF(H2614="","",IF(H2614="Kenya","Yes","No"))</f>
        <v/>
      </c>
      <c r="X2614" s="29">
        <f>IF(B2614="","",IF(COUNTIF($B$5:$B$3004,B2614)&gt;1,"DUPLICATE","OK"))</f>
        <v/>
      </c>
      <c r="Y2614" s="29">
        <f>IF(OR(U2614="",V2614="",V2614="Excluded"),"",IF(COUNTIFS($U$5:$U$3004,U2614,$V$5:$V$3004,"&lt;&gt;"&amp;V2614,$V$5:$V$3004,"&lt;&gt;",$V$5:$V$3004,"&lt;&gt;Excluded")&gt;0,"LEAK RISK","OK"))</f>
        <v/>
      </c>
      <c r="Z2614" s="30" t="n"/>
    </row>
    <row r="2615">
      <c r="A2615" s="30" t="n"/>
      <c r="B2615" s="30" t="n"/>
      <c r="C2615" s="30" t="n"/>
      <c r="D2615" s="30" t="n"/>
      <c r="E2615" s="30" t="n"/>
      <c r="F2615" s="30" t="n"/>
      <c r="G2615" s="30" t="n"/>
      <c r="H2615" s="30" t="n"/>
      <c r="I2615" s="31" t="n"/>
      <c r="J2615" s="30" t="n"/>
      <c r="K2615" s="30" t="n"/>
      <c r="L2615" s="30" t="n"/>
      <c r="M2615" s="30" t="n"/>
      <c r="N2615" s="32" t="n"/>
      <c r="O2615" s="30" t="n"/>
      <c r="P2615" s="32" t="n"/>
      <c r="Q2615" s="30" t="n"/>
      <c r="R2615" s="32" t="n"/>
      <c r="S2615" s="30" t="n"/>
      <c r="T2615" s="30" t="n"/>
      <c r="U2615" s="30" t="n"/>
      <c r="V2615" s="30" t="n"/>
      <c r="W2615" s="29">
        <f>IF(H2615="","",IF(H2615="Kenya","Yes","No"))</f>
        <v/>
      </c>
      <c r="X2615" s="29">
        <f>IF(B2615="","",IF(COUNTIF($B$5:$B$3004,B2615)&gt;1,"DUPLICATE","OK"))</f>
        <v/>
      </c>
      <c r="Y2615" s="29">
        <f>IF(OR(U2615="",V2615="",V2615="Excluded"),"",IF(COUNTIFS($U$5:$U$3004,U2615,$V$5:$V$3004,"&lt;&gt;"&amp;V2615,$V$5:$V$3004,"&lt;&gt;",$V$5:$V$3004,"&lt;&gt;Excluded")&gt;0,"LEAK RISK","OK"))</f>
        <v/>
      </c>
      <c r="Z2615" s="30" t="n"/>
    </row>
    <row r="2616">
      <c r="A2616" s="30" t="n"/>
      <c r="B2616" s="30" t="n"/>
      <c r="C2616" s="30" t="n"/>
      <c r="D2616" s="30" t="n"/>
      <c r="E2616" s="30" t="n"/>
      <c r="F2616" s="30" t="n"/>
      <c r="G2616" s="30" t="n"/>
      <c r="H2616" s="30" t="n"/>
      <c r="I2616" s="31" t="n"/>
      <c r="J2616" s="30" t="n"/>
      <c r="K2616" s="30" t="n"/>
      <c r="L2616" s="30" t="n"/>
      <c r="M2616" s="30" t="n"/>
      <c r="N2616" s="32" t="n"/>
      <c r="O2616" s="30" t="n"/>
      <c r="P2616" s="32" t="n"/>
      <c r="Q2616" s="30" t="n"/>
      <c r="R2616" s="32" t="n"/>
      <c r="S2616" s="30" t="n"/>
      <c r="T2616" s="30" t="n"/>
      <c r="U2616" s="30" t="n"/>
      <c r="V2616" s="30" t="n"/>
      <c r="W2616" s="29">
        <f>IF(H2616="","",IF(H2616="Kenya","Yes","No"))</f>
        <v/>
      </c>
      <c r="X2616" s="29">
        <f>IF(B2616="","",IF(COUNTIF($B$5:$B$3004,B2616)&gt;1,"DUPLICATE","OK"))</f>
        <v/>
      </c>
      <c r="Y2616" s="29">
        <f>IF(OR(U2616="",V2616="",V2616="Excluded"),"",IF(COUNTIFS($U$5:$U$3004,U2616,$V$5:$V$3004,"&lt;&gt;"&amp;V2616,$V$5:$V$3004,"&lt;&gt;",$V$5:$V$3004,"&lt;&gt;Excluded")&gt;0,"LEAK RISK","OK"))</f>
        <v/>
      </c>
      <c r="Z2616" s="30" t="n"/>
    </row>
    <row r="2617">
      <c r="A2617" s="30" t="n"/>
      <c r="B2617" s="30" t="n"/>
      <c r="C2617" s="30" t="n"/>
      <c r="D2617" s="30" t="n"/>
      <c r="E2617" s="30" t="n"/>
      <c r="F2617" s="30" t="n"/>
      <c r="G2617" s="30" t="n"/>
      <c r="H2617" s="30" t="n"/>
      <c r="I2617" s="31" t="n"/>
      <c r="J2617" s="30" t="n"/>
      <c r="K2617" s="30" t="n"/>
      <c r="L2617" s="30" t="n"/>
      <c r="M2617" s="30" t="n"/>
      <c r="N2617" s="32" t="n"/>
      <c r="O2617" s="30" t="n"/>
      <c r="P2617" s="32" t="n"/>
      <c r="Q2617" s="30" t="n"/>
      <c r="R2617" s="32" t="n"/>
      <c r="S2617" s="30" t="n"/>
      <c r="T2617" s="30" t="n"/>
      <c r="U2617" s="30" t="n"/>
      <c r="V2617" s="30" t="n"/>
      <c r="W2617" s="29">
        <f>IF(H2617="","",IF(H2617="Kenya","Yes","No"))</f>
        <v/>
      </c>
      <c r="X2617" s="29">
        <f>IF(B2617="","",IF(COUNTIF($B$5:$B$3004,B2617)&gt;1,"DUPLICATE","OK"))</f>
        <v/>
      </c>
      <c r="Y2617" s="29">
        <f>IF(OR(U2617="",V2617="",V2617="Excluded"),"",IF(COUNTIFS($U$5:$U$3004,U2617,$V$5:$V$3004,"&lt;&gt;"&amp;V2617,$V$5:$V$3004,"&lt;&gt;",$V$5:$V$3004,"&lt;&gt;Excluded")&gt;0,"LEAK RISK","OK"))</f>
        <v/>
      </c>
      <c r="Z2617" s="30" t="n"/>
    </row>
    <row r="2618">
      <c r="A2618" s="30" t="n"/>
      <c r="B2618" s="30" t="n"/>
      <c r="C2618" s="30" t="n"/>
      <c r="D2618" s="30" t="n"/>
      <c r="E2618" s="30" t="n"/>
      <c r="F2618" s="30" t="n"/>
      <c r="G2618" s="30" t="n"/>
      <c r="H2618" s="30" t="n"/>
      <c r="I2618" s="31" t="n"/>
      <c r="J2618" s="30" t="n"/>
      <c r="K2618" s="30" t="n"/>
      <c r="L2618" s="30" t="n"/>
      <c r="M2618" s="30" t="n"/>
      <c r="N2618" s="32" t="n"/>
      <c r="O2618" s="30" t="n"/>
      <c r="P2618" s="32" t="n"/>
      <c r="Q2618" s="30" t="n"/>
      <c r="R2618" s="32" t="n"/>
      <c r="S2618" s="30" t="n"/>
      <c r="T2618" s="30" t="n"/>
      <c r="U2618" s="30" t="n"/>
      <c r="V2618" s="30" t="n"/>
      <c r="W2618" s="29">
        <f>IF(H2618="","",IF(H2618="Kenya","Yes","No"))</f>
        <v/>
      </c>
      <c r="X2618" s="29">
        <f>IF(B2618="","",IF(COUNTIF($B$5:$B$3004,B2618)&gt;1,"DUPLICATE","OK"))</f>
        <v/>
      </c>
      <c r="Y2618" s="29">
        <f>IF(OR(U2618="",V2618="",V2618="Excluded"),"",IF(COUNTIFS($U$5:$U$3004,U2618,$V$5:$V$3004,"&lt;&gt;"&amp;V2618,$V$5:$V$3004,"&lt;&gt;",$V$5:$V$3004,"&lt;&gt;Excluded")&gt;0,"LEAK RISK","OK"))</f>
        <v/>
      </c>
      <c r="Z2618" s="30" t="n"/>
    </row>
    <row r="2619">
      <c r="A2619" s="30" t="n"/>
      <c r="B2619" s="30" t="n"/>
      <c r="C2619" s="30" t="n"/>
      <c r="D2619" s="30" t="n"/>
      <c r="E2619" s="30" t="n"/>
      <c r="F2619" s="30" t="n"/>
      <c r="G2619" s="30" t="n"/>
      <c r="H2619" s="30" t="n"/>
      <c r="I2619" s="31" t="n"/>
      <c r="J2619" s="30" t="n"/>
      <c r="K2619" s="30" t="n"/>
      <c r="L2619" s="30" t="n"/>
      <c r="M2619" s="30" t="n"/>
      <c r="N2619" s="32" t="n"/>
      <c r="O2619" s="30" t="n"/>
      <c r="P2619" s="32" t="n"/>
      <c r="Q2619" s="30" t="n"/>
      <c r="R2619" s="32" t="n"/>
      <c r="S2619" s="30" t="n"/>
      <c r="T2619" s="30" t="n"/>
      <c r="U2619" s="30" t="n"/>
      <c r="V2619" s="30" t="n"/>
      <c r="W2619" s="29">
        <f>IF(H2619="","",IF(H2619="Kenya","Yes","No"))</f>
        <v/>
      </c>
      <c r="X2619" s="29">
        <f>IF(B2619="","",IF(COUNTIF($B$5:$B$3004,B2619)&gt;1,"DUPLICATE","OK"))</f>
        <v/>
      </c>
      <c r="Y2619" s="29">
        <f>IF(OR(U2619="",V2619="",V2619="Excluded"),"",IF(COUNTIFS($U$5:$U$3004,U2619,$V$5:$V$3004,"&lt;&gt;"&amp;V2619,$V$5:$V$3004,"&lt;&gt;",$V$5:$V$3004,"&lt;&gt;Excluded")&gt;0,"LEAK RISK","OK"))</f>
        <v/>
      </c>
      <c r="Z2619" s="30" t="n"/>
    </row>
    <row r="2620">
      <c r="A2620" s="30" t="n"/>
      <c r="B2620" s="30" t="n"/>
      <c r="C2620" s="30" t="n"/>
      <c r="D2620" s="30" t="n"/>
      <c r="E2620" s="30" t="n"/>
      <c r="F2620" s="30" t="n"/>
      <c r="G2620" s="30" t="n"/>
      <c r="H2620" s="30" t="n"/>
      <c r="I2620" s="31" t="n"/>
      <c r="J2620" s="30" t="n"/>
      <c r="K2620" s="30" t="n"/>
      <c r="L2620" s="30" t="n"/>
      <c r="M2620" s="30" t="n"/>
      <c r="N2620" s="32" t="n"/>
      <c r="O2620" s="30" t="n"/>
      <c r="P2620" s="32" t="n"/>
      <c r="Q2620" s="30" t="n"/>
      <c r="R2620" s="32" t="n"/>
      <c r="S2620" s="30" t="n"/>
      <c r="T2620" s="30" t="n"/>
      <c r="U2620" s="30" t="n"/>
      <c r="V2620" s="30" t="n"/>
      <c r="W2620" s="29">
        <f>IF(H2620="","",IF(H2620="Kenya","Yes","No"))</f>
        <v/>
      </c>
      <c r="X2620" s="29">
        <f>IF(B2620="","",IF(COUNTIF($B$5:$B$3004,B2620)&gt;1,"DUPLICATE","OK"))</f>
        <v/>
      </c>
      <c r="Y2620" s="29">
        <f>IF(OR(U2620="",V2620="",V2620="Excluded"),"",IF(COUNTIFS($U$5:$U$3004,U2620,$V$5:$V$3004,"&lt;&gt;"&amp;V2620,$V$5:$V$3004,"&lt;&gt;",$V$5:$V$3004,"&lt;&gt;Excluded")&gt;0,"LEAK RISK","OK"))</f>
        <v/>
      </c>
      <c r="Z2620" s="30" t="n"/>
    </row>
    <row r="2621">
      <c r="A2621" s="30" t="n"/>
      <c r="B2621" s="30" t="n"/>
      <c r="C2621" s="30" t="n"/>
      <c r="D2621" s="30" t="n"/>
      <c r="E2621" s="30" t="n"/>
      <c r="F2621" s="30" t="n"/>
      <c r="G2621" s="30" t="n"/>
      <c r="H2621" s="30" t="n"/>
      <c r="I2621" s="31" t="n"/>
      <c r="J2621" s="30" t="n"/>
      <c r="K2621" s="30" t="n"/>
      <c r="L2621" s="30" t="n"/>
      <c r="M2621" s="30" t="n"/>
      <c r="N2621" s="32" t="n"/>
      <c r="O2621" s="30" t="n"/>
      <c r="P2621" s="32" t="n"/>
      <c r="Q2621" s="30" t="n"/>
      <c r="R2621" s="32" t="n"/>
      <c r="S2621" s="30" t="n"/>
      <c r="T2621" s="30" t="n"/>
      <c r="U2621" s="30" t="n"/>
      <c r="V2621" s="30" t="n"/>
      <c r="W2621" s="29">
        <f>IF(H2621="","",IF(H2621="Kenya","Yes","No"))</f>
        <v/>
      </c>
      <c r="X2621" s="29">
        <f>IF(B2621="","",IF(COUNTIF($B$5:$B$3004,B2621)&gt;1,"DUPLICATE","OK"))</f>
        <v/>
      </c>
      <c r="Y2621" s="29">
        <f>IF(OR(U2621="",V2621="",V2621="Excluded"),"",IF(COUNTIFS($U$5:$U$3004,U2621,$V$5:$V$3004,"&lt;&gt;"&amp;V2621,$V$5:$V$3004,"&lt;&gt;",$V$5:$V$3004,"&lt;&gt;Excluded")&gt;0,"LEAK RISK","OK"))</f>
        <v/>
      </c>
      <c r="Z2621" s="30" t="n"/>
    </row>
    <row r="2622">
      <c r="A2622" s="30" t="n"/>
      <c r="B2622" s="30" t="n"/>
      <c r="C2622" s="30" t="n"/>
      <c r="D2622" s="30" t="n"/>
      <c r="E2622" s="30" t="n"/>
      <c r="F2622" s="30" t="n"/>
      <c r="G2622" s="30" t="n"/>
      <c r="H2622" s="30" t="n"/>
      <c r="I2622" s="31" t="n"/>
      <c r="J2622" s="30" t="n"/>
      <c r="K2622" s="30" t="n"/>
      <c r="L2622" s="30" t="n"/>
      <c r="M2622" s="30" t="n"/>
      <c r="N2622" s="32" t="n"/>
      <c r="O2622" s="30" t="n"/>
      <c r="P2622" s="32" t="n"/>
      <c r="Q2622" s="30" t="n"/>
      <c r="R2622" s="32" t="n"/>
      <c r="S2622" s="30" t="n"/>
      <c r="T2622" s="30" t="n"/>
      <c r="U2622" s="30" t="n"/>
      <c r="V2622" s="30" t="n"/>
      <c r="W2622" s="29">
        <f>IF(H2622="","",IF(H2622="Kenya","Yes","No"))</f>
        <v/>
      </c>
      <c r="X2622" s="29">
        <f>IF(B2622="","",IF(COUNTIF($B$5:$B$3004,B2622)&gt;1,"DUPLICATE","OK"))</f>
        <v/>
      </c>
      <c r="Y2622" s="29">
        <f>IF(OR(U2622="",V2622="",V2622="Excluded"),"",IF(COUNTIFS($U$5:$U$3004,U2622,$V$5:$V$3004,"&lt;&gt;"&amp;V2622,$V$5:$V$3004,"&lt;&gt;",$V$5:$V$3004,"&lt;&gt;Excluded")&gt;0,"LEAK RISK","OK"))</f>
        <v/>
      </c>
      <c r="Z2622" s="30" t="n"/>
    </row>
    <row r="2623">
      <c r="A2623" s="30" t="n"/>
      <c r="B2623" s="30" t="n"/>
      <c r="C2623" s="30" t="n"/>
      <c r="D2623" s="30" t="n"/>
      <c r="E2623" s="30" t="n"/>
      <c r="F2623" s="30" t="n"/>
      <c r="G2623" s="30" t="n"/>
      <c r="H2623" s="30" t="n"/>
      <c r="I2623" s="31" t="n"/>
      <c r="J2623" s="30" t="n"/>
      <c r="K2623" s="30" t="n"/>
      <c r="L2623" s="30" t="n"/>
      <c r="M2623" s="30" t="n"/>
      <c r="N2623" s="32" t="n"/>
      <c r="O2623" s="30" t="n"/>
      <c r="P2623" s="32" t="n"/>
      <c r="Q2623" s="30" t="n"/>
      <c r="R2623" s="32" t="n"/>
      <c r="S2623" s="30" t="n"/>
      <c r="T2623" s="30" t="n"/>
      <c r="U2623" s="30" t="n"/>
      <c r="V2623" s="30" t="n"/>
      <c r="W2623" s="29">
        <f>IF(H2623="","",IF(H2623="Kenya","Yes","No"))</f>
        <v/>
      </c>
      <c r="X2623" s="29">
        <f>IF(B2623="","",IF(COUNTIF($B$5:$B$3004,B2623)&gt;1,"DUPLICATE","OK"))</f>
        <v/>
      </c>
      <c r="Y2623" s="29">
        <f>IF(OR(U2623="",V2623="",V2623="Excluded"),"",IF(COUNTIFS($U$5:$U$3004,U2623,$V$5:$V$3004,"&lt;&gt;"&amp;V2623,$V$5:$V$3004,"&lt;&gt;",$V$5:$V$3004,"&lt;&gt;Excluded")&gt;0,"LEAK RISK","OK"))</f>
        <v/>
      </c>
      <c r="Z2623" s="30" t="n"/>
    </row>
    <row r="2624">
      <c r="A2624" s="30" t="n"/>
      <c r="B2624" s="30" t="n"/>
      <c r="C2624" s="30" t="n"/>
      <c r="D2624" s="30" t="n"/>
      <c r="E2624" s="30" t="n"/>
      <c r="F2624" s="30" t="n"/>
      <c r="G2624" s="30" t="n"/>
      <c r="H2624" s="30" t="n"/>
      <c r="I2624" s="31" t="n"/>
      <c r="J2624" s="30" t="n"/>
      <c r="K2624" s="30" t="n"/>
      <c r="L2624" s="30" t="n"/>
      <c r="M2624" s="30" t="n"/>
      <c r="N2624" s="32" t="n"/>
      <c r="O2624" s="30" t="n"/>
      <c r="P2624" s="32" t="n"/>
      <c r="Q2624" s="30" t="n"/>
      <c r="R2624" s="32" t="n"/>
      <c r="S2624" s="30" t="n"/>
      <c r="T2624" s="30" t="n"/>
      <c r="U2624" s="30" t="n"/>
      <c r="V2624" s="30" t="n"/>
      <c r="W2624" s="29">
        <f>IF(H2624="","",IF(H2624="Kenya","Yes","No"))</f>
        <v/>
      </c>
      <c r="X2624" s="29">
        <f>IF(B2624="","",IF(COUNTIF($B$5:$B$3004,B2624)&gt;1,"DUPLICATE","OK"))</f>
        <v/>
      </c>
      <c r="Y2624" s="29">
        <f>IF(OR(U2624="",V2624="",V2624="Excluded"),"",IF(COUNTIFS($U$5:$U$3004,U2624,$V$5:$V$3004,"&lt;&gt;"&amp;V2624,$V$5:$V$3004,"&lt;&gt;",$V$5:$V$3004,"&lt;&gt;Excluded")&gt;0,"LEAK RISK","OK"))</f>
        <v/>
      </c>
      <c r="Z2624" s="30" t="n"/>
    </row>
    <row r="2625">
      <c r="A2625" s="30" t="n"/>
      <c r="B2625" s="30" t="n"/>
      <c r="C2625" s="30" t="n"/>
      <c r="D2625" s="30" t="n"/>
      <c r="E2625" s="30" t="n"/>
      <c r="F2625" s="30" t="n"/>
      <c r="G2625" s="30" t="n"/>
      <c r="H2625" s="30" t="n"/>
      <c r="I2625" s="31" t="n"/>
      <c r="J2625" s="30" t="n"/>
      <c r="K2625" s="30" t="n"/>
      <c r="L2625" s="30" t="n"/>
      <c r="M2625" s="30" t="n"/>
      <c r="N2625" s="32" t="n"/>
      <c r="O2625" s="30" t="n"/>
      <c r="P2625" s="32" t="n"/>
      <c r="Q2625" s="30" t="n"/>
      <c r="R2625" s="32" t="n"/>
      <c r="S2625" s="30" t="n"/>
      <c r="T2625" s="30" t="n"/>
      <c r="U2625" s="30" t="n"/>
      <c r="V2625" s="30" t="n"/>
      <c r="W2625" s="29">
        <f>IF(H2625="","",IF(H2625="Kenya","Yes","No"))</f>
        <v/>
      </c>
      <c r="X2625" s="29">
        <f>IF(B2625="","",IF(COUNTIF($B$5:$B$3004,B2625)&gt;1,"DUPLICATE","OK"))</f>
        <v/>
      </c>
      <c r="Y2625" s="29">
        <f>IF(OR(U2625="",V2625="",V2625="Excluded"),"",IF(COUNTIFS($U$5:$U$3004,U2625,$V$5:$V$3004,"&lt;&gt;"&amp;V2625,$V$5:$V$3004,"&lt;&gt;",$V$5:$V$3004,"&lt;&gt;Excluded")&gt;0,"LEAK RISK","OK"))</f>
        <v/>
      </c>
      <c r="Z2625" s="30" t="n"/>
    </row>
    <row r="2626">
      <c r="A2626" s="30" t="n"/>
      <c r="B2626" s="30" t="n"/>
      <c r="C2626" s="30" t="n"/>
      <c r="D2626" s="30" t="n"/>
      <c r="E2626" s="30" t="n"/>
      <c r="F2626" s="30" t="n"/>
      <c r="G2626" s="30" t="n"/>
      <c r="H2626" s="30" t="n"/>
      <c r="I2626" s="31" t="n"/>
      <c r="J2626" s="30" t="n"/>
      <c r="K2626" s="30" t="n"/>
      <c r="L2626" s="30" t="n"/>
      <c r="M2626" s="30" t="n"/>
      <c r="N2626" s="32" t="n"/>
      <c r="O2626" s="30" t="n"/>
      <c r="P2626" s="32" t="n"/>
      <c r="Q2626" s="30" t="n"/>
      <c r="R2626" s="32" t="n"/>
      <c r="S2626" s="30" t="n"/>
      <c r="T2626" s="30" t="n"/>
      <c r="U2626" s="30" t="n"/>
      <c r="V2626" s="30" t="n"/>
      <c r="W2626" s="29">
        <f>IF(H2626="","",IF(H2626="Kenya","Yes","No"))</f>
        <v/>
      </c>
      <c r="X2626" s="29">
        <f>IF(B2626="","",IF(COUNTIF($B$5:$B$3004,B2626)&gt;1,"DUPLICATE","OK"))</f>
        <v/>
      </c>
      <c r="Y2626" s="29">
        <f>IF(OR(U2626="",V2626="",V2626="Excluded"),"",IF(COUNTIFS($U$5:$U$3004,U2626,$V$5:$V$3004,"&lt;&gt;"&amp;V2626,$V$5:$V$3004,"&lt;&gt;",$V$5:$V$3004,"&lt;&gt;Excluded")&gt;0,"LEAK RISK","OK"))</f>
        <v/>
      </c>
      <c r="Z2626" s="30" t="n"/>
    </row>
    <row r="2627">
      <c r="A2627" s="30" t="n"/>
      <c r="B2627" s="30" t="n"/>
      <c r="C2627" s="30" t="n"/>
      <c r="D2627" s="30" t="n"/>
      <c r="E2627" s="30" t="n"/>
      <c r="F2627" s="30" t="n"/>
      <c r="G2627" s="30" t="n"/>
      <c r="H2627" s="30" t="n"/>
      <c r="I2627" s="31" t="n"/>
      <c r="J2627" s="30" t="n"/>
      <c r="K2627" s="30" t="n"/>
      <c r="L2627" s="30" t="n"/>
      <c r="M2627" s="30" t="n"/>
      <c r="N2627" s="32" t="n"/>
      <c r="O2627" s="30" t="n"/>
      <c r="P2627" s="32" t="n"/>
      <c r="Q2627" s="30" t="n"/>
      <c r="R2627" s="32" t="n"/>
      <c r="S2627" s="30" t="n"/>
      <c r="T2627" s="30" t="n"/>
      <c r="U2627" s="30" t="n"/>
      <c r="V2627" s="30" t="n"/>
      <c r="W2627" s="29">
        <f>IF(H2627="","",IF(H2627="Kenya","Yes","No"))</f>
        <v/>
      </c>
      <c r="X2627" s="29">
        <f>IF(B2627="","",IF(COUNTIF($B$5:$B$3004,B2627)&gt;1,"DUPLICATE","OK"))</f>
        <v/>
      </c>
      <c r="Y2627" s="29">
        <f>IF(OR(U2627="",V2627="",V2627="Excluded"),"",IF(COUNTIFS($U$5:$U$3004,U2627,$V$5:$V$3004,"&lt;&gt;"&amp;V2627,$V$5:$V$3004,"&lt;&gt;",$V$5:$V$3004,"&lt;&gt;Excluded")&gt;0,"LEAK RISK","OK"))</f>
        <v/>
      </c>
      <c r="Z2627" s="30" t="n"/>
    </row>
    <row r="2628">
      <c r="A2628" s="30" t="n"/>
      <c r="B2628" s="30" t="n"/>
      <c r="C2628" s="30" t="n"/>
      <c r="D2628" s="30" t="n"/>
      <c r="E2628" s="30" t="n"/>
      <c r="F2628" s="30" t="n"/>
      <c r="G2628" s="30" t="n"/>
      <c r="H2628" s="30" t="n"/>
      <c r="I2628" s="31" t="n"/>
      <c r="J2628" s="30" t="n"/>
      <c r="K2628" s="30" t="n"/>
      <c r="L2628" s="30" t="n"/>
      <c r="M2628" s="30" t="n"/>
      <c r="N2628" s="32" t="n"/>
      <c r="O2628" s="30" t="n"/>
      <c r="P2628" s="32" t="n"/>
      <c r="Q2628" s="30" t="n"/>
      <c r="R2628" s="32" t="n"/>
      <c r="S2628" s="30" t="n"/>
      <c r="T2628" s="30" t="n"/>
      <c r="U2628" s="30" t="n"/>
      <c r="V2628" s="30" t="n"/>
      <c r="W2628" s="29">
        <f>IF(H2628="","",IF(H2628="Kenya","Yes","No"))</f>
        <v/>
      </c>
      <c r="X2628" s="29">
        <f>IF(B2628="","",IF(COUNTIF($B$5:$B$3004,B2628)&gt;1,"DUPLICATE","OK"))</f>
        <v/>
      </c>
      <c r="Y2628" s="29">
        <f>IF(OR(U2628="",V2628="",V2628="Excluded"),"",IF(COUNTIFS($U$5:$U$3004,U2628,$V$5:$V$3004,"&lt;&gt;"&amp;V2628,$V$5:$V$3004,"&lt;&gt;",$V$5:$V$3004,"&lt;&gt;Excluded")&gt;0,"LEAK RISK","OK"))</f>
        <v/>
      </c>
      <c r="Z2628" s="30" t="n"/>
    </row>
    <row r="2629">
      <c r="A2629" s="30" t="n"/>
      <c r="B2629" s="30" t="n"/>
      <c r="C2629" s="30" t="n"/>
      <c r="D2629" s="30" t="n"/>
      <c r="E2629" s="30" t="n"/>
      <c r="F2629" s="30" t="n"/>
      <c r="G2629" s="30" t="n"/>
      <c r="H2629" s="30" t="n"/>
      <c r="I2629" s="31" t="n"/>
      <c r="J2629" s="30" t="n"/>
      <c r="K2629" s="30" t="n"/>
      <c r="L2629" s="30" t="n"/>
      <c r="M2629" s="30" t="n"/>
      <c r="N2629" s="32" t="n"/>
      <c r="O2629" s="30" t="n"/>
      <c r="P2629" s="32" t="n"/>
      <c r="Q2629" s="30" t="n"/>
      <c r="R2629" s="32" t="n"/>
      <c r="S2629" s="30" t="n"/>
      <c r="T2629" s="30" t="n"/>
      <c r="U2629" s="30" t="n"/>
      <c r="V2629" s="30" t="n"/>
      <c r="W2629" s="29">
        <f>IF(H2629="","",IF(H2629="Kenya","Yes","No"))</f>
        <v/>
      </c>
      <c r="X2629" s="29">
        <f>IF(B2629="","",IF(COUNTIF($B$5:$B$3004,B2629)&gt;1,"DUPLICATE","OK"))</f>
        <v/>
      </c>
      <c r="Y2629" s="29">
        <f>IF(OR(U2629="",V2629="",V2629="Excluded"),"",IF(COUNTIFS($U$5:$U$3004,U2629,$V$5:$V$3004,"&lt;&gt;"&amp;V2629,$V$5:$V$3004,"&lt;&gt;",$V$5:$V$3004,"&lt;&gt;Excluded")&gt;0,"LEAK RISK","OK"))</f>
        <v/>
      </c>
      <c r="Z2629" s="30" t="n"/>
    </row>
    <row r="2630">
      <c r="A2630" s="30" t="n"/>
      <c r="B2630" s="30" t="n"/>
      <c r="C2630" s="30" t="n"/>
      <c r="D2630" s="30" t="n"/>
      <c r="E2630" s="30" t="n"/>
      <c r="F2630" s="30" t="n"/>
      <c r="G2630" s="30" t="n"/>
      <c r="H2630" s="30" t="n"/>
      <c r="I2630" s="31" t="n"/>
      <c r="J2630" s="30" t="n"/>
      <c r="K2630" s="30" t="n"/>
      <c r="L2630" s="30" t="n"/>
      <c r="M2630" s="30" t="n"/>
      <c r="N2630" s="32" t="n"/>
      <c r="O2630" s="30" t="n"/>
      <c r="P2630" s="32" t="n"/>
      <c r="Q2630" s="30" t="n"/>
      <c r="R2630" s="32" t="n"/>
      <c r="S2630" s="30" t="n"/>
      <c r="T2630" s="30" t="n"/>
      <c r="U2630" s="30" t="n"/>
      <c r="V2630" s="30" t="n"/>
      <c r="W2630" s="29">
        <f>IF(H2630="","",IF(H2630="Kenya","Yes","No"))</f>
        <v/>
      </c>
      <c r="X2630" s="29">
        <f>IF(B2630="","",IF(COUNTIF($B$5:$B$3004,B2630)&gt;1,"DUPLICATE","OK"))</f>
        <v/>
      </c>
      <c r="Y2630" s="29">
        <f>IF(OR(U2630="",V2630="",V2630="Excluded"),"",IF(COUNTIFS($U$5:$U$3004,U2630,$V$5:$V$3004,"&lt;&gt;"&amp;V2630,$V$5:$V$3004,"&lt;&gt;",$V$5:$V$3004,"&lt;&gt;Excluded")&gt;0,"LEAK RISK","OK"))</f>
        <v/>
      </c>
      <c r="Z2630" s="30" t="n"/>
    </row>
    <row r="2631">
      <c r="A2631" s="30" t="n"/>
      <c r="B2631" s="30" t="n"/>
      <c r="C2631" s="30" t="n"/>
      <c r="D2631" s="30" t="n"/>
      <c r="E2631" s="30" t="n"/>
      <c r="F2631" s="30" t="n"/>
      <c r="G2631" s="30" t="n"/>
      <c r="H2631" s="30" t="n"/>
      <c r="I2631" s="31" t="n"/>
      <c r="J2631" s="30" t="n"/>
      <c r="K2631" s="30" t="n"/>
      <c r="L2631" s="30" t="n"/>
      <c r="M2631" s="30" t="n"/>
      <c r="N2631" s="32" t="n"/>
      <c r="O2631" s="30" t="n"/>
      <c r="P2631" s="32" t="n"/>
      <c r="Q2631" s="30" t="n"/>
      <c r="R2631" s="32" t="n"/>
      <c r="S2631" s="30" t="n"/>
      <c r="T2631" s="30" t="n"/>
      <c r="U2631" s="30" t="n"/>
      <c r="V2631" s="30" t="n"/>
      <c r="W2631" s="29">
        <f>IF(H2631="","",IF(H2631="Kenya","Yes","No"))</f>
        <v/>
      </c>
      <c r="X2631" s="29">
        <f>IF(B2631="","",IF(COUNTIF($B$5:$B$3004,B2631)&gt;1,"DUPLICATE","OK"))</f>
        <v/>
      </c>
      <c r="Y2631" s="29">
        <f>IF(OR(U2631="",V2631="",V2631="Excluded"),"",IF(COUNTIFS($U$5:$U$3004,U2631,$V$5:$V$3004,"&lt;&gt;"&amp;V2631,$V$5:$V$3004,"&lt;&gt;",$V$5:$V$3004,"&lt;&gt;Excluded")&gt;0,"LEAK RISK","OK"))</f>
        <v/>
      </c>
      <c r="Z2631" s="30" t="n"/>
    </row>
    <row r="2632">
      <c r="A2632" s="30" t="n"/>
      <c r="B2632" s="30" t="n"/>
      <c r="C2632" s="30" t="n"/>
      <c r="D2632" s="30" t="n"/>
      <c r="E2632" s="30" t="n"/>
      <c r="F2632" s="30" t="n"/>
      <c r="G2632" s="30" t="n"/>
      <c r="H2632" s="30" t="n"/>
      <c r="I2632" s="31" t="n"/>
      <c r="J2632" s="30" t="n"/>
      <c r="K2632" s="30" t="n"/>
      <c r="L2632" s="30" t="n"/>
      <c r="M2632" s="30" t="n"/>
      <c r="N2632" s="32" t="n"/>
      <c r="O2632" s="30" t="n"/>
      <c r="P2632" s="32" t="n"/>
      <c r="Q2632" s="30" t="n"/>
      <c r="R2632" s="32" t="n"/>
      <c r="S2632" s="30" t="n"/>
      <c r="T2632" s="30" t="n"/>
      <c r="U2632" s="30" t="n"/>
      <c r="V2632" s="30" t="n"/>
      <c r="W2632" s="29">
        <f>IF(H2632="","",IF(H2632="Kenya","Yes","No"))</f>
        <v/>
      </c>
      <c r="X2632" s="29">
        <f>IF(B2632="","",IF(COUNTIF($B$5:$B$3004,B2632)&gt;1,"DUPLICATE","OK"))</f>
        <v/>
      </c>
      <c r="Y2632" s="29">
        <f>IF(OR(U2632="",V2632="",V2632="Excluded"),"",IF(COUNTIFS($U$5:$U$3004,U2632,$V$5:$V$3004,"&lt;&gt;"&amp;V2632,$V$5:$V$3004,"&lt;&gt;",$V$5:$V$3004,"&lt;&gt;Excluded")&gt;0,"LEAK RISK","OK"))</f>
        <v/>
      </c>
      <c r="Z2632" s="30" t="n"/>
    </row>
    <row r="2633">
      <c r="A2633" s="30" t="n"/>
      <c r="B2633" s="30" t="n"/>
      <c r="C2633" s="30" t="n"/>
      <c r="D2633" s="30" t="n"/>
      <c r="E2633" s="30" t="n"/>
      <c r="F2633" s="30" t="n"/>
      <c r="G2633" s="30" t="n"/>
      <c r="H2633" s="30" t="n"/>
      <c r="I2633" s="31" t="n"/>
      <c r="J2633" s="30" t="n"/>
      <c r="K2633" s="30" t="n"/>
      <c r="L2633" s="30" t="n"/>
      <c r="M2633" s="30" t="n"/>
      <c r="N2633" s="32" t="n"/>
      <c r="O2633" s="30" t="n"/>
      <c r="P2633" s="32" t="n"/>
      <c r="Q2633" s="30" t="n"/>
      <c r="R2633" s="32" t="n"/>
      <c r="S2633" s="30" t="n"/>
      <c r="T2633" s="30" t="n"/>
      <c r="U2633" s="30" t="n"/>
      <c r="V2633" s="30" t="n"/>
      <c r="W2633" s="29">
        <f>IF(H2633="","",IF(H2633="Kenya","Yes","No"))</f>
        <v/>
      </c>
      <c r="X2633" s="29">
        <f>IF(B2633="","",IF(COUNTIF($B$5:$B$3004,B2633)&gt;1,"DUPLICATE","OK"))</f>
        <v/>
      </c>
      <c r="Y2633" s="29">
        <f>IF(OR(U2633="",V2633="",V2633="Excluded"),"",IF(COUNTIFS($U$5:$U$3004,U2633,$V$5:$V$3004,"&lt;&gt;"&amp;V2633,$V$5:$V$3004,"&lt;&gt;",$V$5:$V$3004,"&lt;&gt;Excluded")&gt;0,"LEAK RISK","OK"))</f>
        <v/>
      </c>
      <c r="Z2633" s="30" t="n"/>
    </row>
    <row r="2634">
      <c r="A2634" s="30" t="n"/>
      <c r="B2634" s="30" t="n"/>
      <c r="C2634" s="30" t="n"/>
      <c r="D2634" s="30" t="n"/>
      <c r="E2634" s="30" t="n"/>
      <c r="F2634" s="30" t="n"/>
      <c r="G2634" s="30" t="n"/>
      <c r="H2634" s="30" t="n"/>
      <c r="I2634" s="31" t="n"/>
      <c r="J2634" s="30" t="n"/>
      <c r="K2634" s="30" t="n"/>
      <c r="L2634" s="30" t="n"/>
      <c r="M2634" s="30" t="n"/>
      <c r="N2634" s="32" t="n"/>
      <c r="O2634" s="30" t="n"/>
      <c r="P2634" s="32" t="n"/>
      <c r="Q2634" s="30" t="n"/>
      <c r="R2634" s="32" t="n"/>
      <c r="S2634" s="30" t="n"/>
      <c r="T2634" s="30" t="n"/>
      <c r="U2634" s="30" t="n"/>
      <c r="V2634" s="30" t="n"/>
      <c r="W2634" s="29">
        <f>IF(H2634="","",IF(H2634="Kenya","Yes","No"))</f>
        <v/>
      </c>
      <c r="X2634" s="29">
        <f>IF(B2634="","",IF(COUNTIF($B$5:$B$3004,B2634)&gt;1,"DUPLICATE","OK"))</f>
        <v/>
      </c>
      <c r="Y2634" s="29">
        <f>IF(OR(U2634="",V2634="",V2634="Excluded"),"",IF(COUNTIFS($U$5:$U$3004,U2634,$V$5:$V$3004,"&lt;&gt;"&amp;V2634,$V$5:$V$3004,"&lt;&gt;",$V$5:$V$3004,"&lt;&gt;Excluded")&gt;0,"LEAK RISK","OK"))</f>
        <v/>
      </c>
      <c r="Z2634" s="30" t="n"/>
    </row>
    <row r="2635">
      <c r="A2635" s="30" t="n"/>
      <c r="B2635" s="30" t="n"/>
      <c r="C2635" s="30" t="n"/>
      <c r="D2635" s="30" t="n"/>
      <c r="E2635" s="30" t="n"/>
      <c r="F2635" s="30" t="n"/>
      <c r="G2635" s="30" t="n"/>
      <c r="H2635" s="30" t="n"/>
      <c r="I2635" s="31" t="n"/>
      <c r="J2635" s="30" t="n"/>
      <c r="K2635" s="30" t="n"/>
      <c r="L2635" s="30" t="n"/>
      <c r="M2635" s="30" t="n"/>
      <c r="N2635" s="32" t="n"/>
      <c r="O2635" s="30" t="n"/>
      <c r="P2635" s="32" t="n"/>
      <c r="Q2635" s="30" t="n"/>
      <c r="R2635" s="32" t="n"/>
      <c r="S2635" s="30" t="n"/>
      <c r="T2635" s="30" t="n"/>
      <c r="U2635" s="30" t="n"/>
      <c r="V2635" s="30" t="n"/>
      <c r="W2635" s="29">
        <f>IF(H2635="","",IF(H2635="Kenya","Yes","No"))</f>
        <v/>
      </c>
      <c r="X2635" s="29">
        <f>IF(B2635="","",IF(COUNTIF($B$5:$B$3004,B2635)&gt;1,"DUPLICATE","OK"))</f>
        <v/>
      </c>
      <c r="Y2635" s="29">
        <f>IF(OR(U2635="",V2635="",V2635="Excluded"),"",IF(COUNTIFS($U$5:$U$3004,U2635,$V$5:$V$3004,"&lt;&gt;"&amp;V2635,$V$5:$V$3004,"&lt;&gt;",$V$5:$V$3004,"&lt;&gt;Excluded")&gt;0,"LEAK RISK","OK"))</f>
        <v/>
      </c>
      <c r="Z2635" s="30" t="n"/>
    </row>
    <row r="2636">
      <c r="A2636" s="30" t="n"/>
      <c r="B2636" s="30" t="n"/>
      <c r="C2636" s="30" t="n"/>
      <c r="D2636" s="30" t="n"/>
      <c r="E2636" s="30" t="n"/>
      <c r="F2636" s="30" t="n"/>
      <c r="G2636" s="30" t="n"/>
      <c r="H2636" s="30" t="n"/>
      <c r="I2636" s="31" t="n"/>
      <c r="J2636" s="30" t="n"/>
      <c r="K2636" s="30" t="n"/>
      <c r="L2636" s="30" t="n"/>
      <c r="M2636" s="30" t="n"/>
      <c r="N2636" s="32" t="n"/>
      <c r="O2636" s="30" t="n"/>
      <c r="P2636" s="32" t="n"/>
      <c r="Q2636" s="30" t="n"/>
      <c r="R2636" s="32" t="n"/>
      <c r="S2636" s="30" t="n"/>
      <c r="T2636" s="30" t="n"/>
      <c r="U2636" s="30" t="n"/>
      <c r="V2636" s="30" t="n"/>
      <c r="W2636" s="29">
        <f>IF(H2636="","",IF(H2636="Kenya","Yes","No"))</f>
        <v/>
      </c>
      <c r="X2636" s="29">
        <f>IF(B2636="","",IF(COUNTIF($B$5:$B$3004,B2636)&gt;1,"DUPLICATE","OK"))</f>
        <v/>
      </c>
      <c r="Y2636" s="29">
        <f>IF(OR(U2636="",V2636="",V2636="Excluded"),"",IF(COUNTIFS($U$5:$U$3004,U2636,$V$5:$V$3004,"&lt;&gt;"&amp;V2636,$V$5:$V$3004,"&lt;&gt;",$V$5:$V$3004,"&lt;&gt;Excluded")&gt;0,"LEAK RISK","OK"))</f>
        <v/>
      </c>
      <c r="Z2636" s="30" t="n"/>
    </row>
    <row r="2637">
      <c r="A2637" s="30" t="n"/>
      <c r="B2637" s="30" t="n"/>
      <c r="C2637" s="30" t="n"/>
      <c r="D2637" s="30" t="n"/>
      <c r="E2637" s="30" t="n"/>
      <c r="F2637" s="30" t="n"/>
      <c r="G2637" s="30" t="n"/>
      <c r="H2637" s="30" t="n"/>
      <c r="I2637" s="31" t="n"/>
      <c r="J2637" s="30" t="n"/>
      <c r="K2637" s="30" t="n"/>
      <c r="L2637" s="30" t="n"/>
      <c r="M2637" s="30" t="n"/>
      <c r="N2637" s="32" t="n"/>
      <c r="O2637" s="30" t="n"/>
      <c r="P2637" s="32" t="n"/>
      <c r="Q2637" s="30" t="n"/>
      <c r="R2637" s="32" t="n"/>
      <c r="S2637" s="30" t="n"/>
      <c r="T2637" s="30" t="n"/>
      <c r="U2637" s="30" t="n"/>
      <c r="V2637" s="30" t="n"/>
      <c r="W2637" s="29">
        <f>IF(H2637="","",IF(H2637="Kenya","Yes","No"))</f>
        <v/>
      </c>
      <c r="X2637" s="29">
        <f>IF(B2637="","",IF(COUNTIF($B$5:$B$3004,B2637)&gt;1,"DUPLICATE","OK"))</f>
        <v/>
      </c>
      <c r="Y2637" s="29">
        <f>IF(OR(U2637="",V2637="",V2637="Excluded"),"",IF(COUNTIFS($U$5:$U$3004,U2637,$V$5:$V$3004,"&lt;&gt;"&amp;V2637,$V$5:$V$3004,"&lt;&gt;",$V$5:$V$3004,"&lt;&gt;Excluded")&gt;0,"LEAK RISK","OK"))</f>
        <v/>
      </c>
      <c r="Z2637" s="30" t="n"/>
    </row>
    <row r="2638">
      <c r="A2638" s="30" t="n"/>
      <c r="B2638" s="30" t="n"/>
      <c r="C2638" s="30" t="n"/>
      <c r="D2638" s="30" t="n"/>
      <c r="E2638" s="30" t="n"/>
      <c r="F2638" s="30" t="n"/>
      <c r="G2638" s="30" t="n"/>
      <c r="H2638" s="30" t="n"/>
      <c r="I2638" s="31" t="n"/>
      <c r="J2638" s="30" t="n"/>
      <c r="K2638" s="30" t="n"/>
      <c r="L2638" s="30" t="n"/>
      <c r="M2638" s="30" t="n"/>
      <c r="N2638" s="32" t="n"/>
      <c r="O2638" s="30" t="n"/>
      <c r="P2638" s="32" t="n"/>
      <c r="Q2638" s="30" t="n"/>
      <c r="R2638" s="32" t="n"/>
      <c r="S2638" s="30" t="n"/>
      <c r="T2638" s="30" t="n"/>
      <c r="U2638" s="30" t="n"/>
      <c r="V2638" s="30" t="n"/>
      <c r="W2638" s="29">
        <f>IF(H2638="","",IF(H2638="Kenya","Yes","No"))</f>
        <v/>
      </c>
      <c r="X2638" s="29">
        <f>IF(B2638="","",IF(COUNTIF($B$5:$B$3004,B2638)&gt;1,"DUPLICATE","OK"))</f>
        <v/>
      </c>
      <c r="Y2638" s="29">
        <f>IF(OR(U2638="",V2638="",V2638="Excluded"),"",IF(COUNTIFS($U$5:$U$3004,U2638,$V$5:$V$3004,"&lt;&gt;"&amp;V2638,$V$5:$V$3004,"&lt;&gt;",$V$5:$V$3004,"&lt;&gt;Excluded")&gt;0,"LEAK RISK","OK"))</f>
        <v/>
      </c>
      <c r="Z2638" s="30" t="n"/>
    </row>
    <row r="2639">
      <c r="A2639" s="30" t="n"/>
      <c r="B2639" s="30" t="n"/>
      <c r="C2639" s="30" t="n"/>
      <c r="D2639" s="30" t="n"/>
      <c r="E2639" s="30" t="n"/>
      <c r="F2639" s="30" t="n"/>
      <c r="G2639" s="30" t="n"/>
      <c r="H2639" s="30" t="n"/>
      <c r="I2639" s="31" t="n"/>
      <c r="J2639" s="30" t="n"/>
      <c r="K2639" s="30" t="n"/>
      <c r="L2639" s="30" t="n"/>
      <c r="M2639" s="30" t="n"/>
      <c r="N2639" s="32" t="n"/>
      <c r="O2639" s="30" t="n"/>
      <c r="P2639" s="32" t="n"/>
      <c r="Q2639" s="30" t="n"/>
      <c r="R2639" s="32" t="n"/>
      <c r="S2639" s="30" t="n"/>
      <c r="T2639" s="30" t="n"/>
      <c r="U2639" s="30" t="n"/>
      <c r="V2639" s="30" t="n"/>
      <c r="W2639" s="29">
        <f>IF(H2639="","",IF(H2639="Kenya","Yes","No"))</f>
        <v/>
      </c>
      <c r="X2639" s="29">
        <f>IF(B2639="","",IF(COUNTIF($B$5:$B$3004,B2639)&gt;1,"DUPLICATE","OK"))</f>
        <v/>
      </c>
      <c r="Y2639" s="29">
        <f>IF(OR(U2639="",V2639="",V2639="Excluded"),"",IF(COUNTIFS($U$5:$U$3004,U2639,$V$5:$V$3004,"&lt;&gt;"&amp;V2639,$V$5:$V$3004,"&lt;&gt;",$V$5:$V$3004,"&lt;&gt;Excluded")&gt;0,"LEAK RISK","OK"))</f>
        <v/>
      </c>
      <c r="Z2639" s="30" t="n"/>
    </row>
    <row r="2640">
      <c r="A2640" s="30" t="n"/>
      <c r="B2640" s="30" t="n"/>
      <c r="C2640" s="30" t="n"/>
      <c r="D2640" s="30" t="n"/>
      <c r="E2640" s="30" t="n"/>
      <c r="F2640" s="30" t="n"/>
      <c r="G2640" s="30" t="n"/>
      <c r="H2640" s="30" t="n"/>
      <c r="I2640" s="31" t="n"/>
      <c r="J2640" s="30" t="n"/>
      <c r="K2640" s="30" t="n"/>
      <c r="L2640" s="30" t="n"/>
      <c r="M2640" s="30" t="n"/>
      <c r="N2640" s="32" t="n"/>
      <c r="O2640" s="30" t="n"/>
      <c r="P2640" s="32" t="n"/>
      <c r="Q2640" s="30" t="n"/>
      <c r="R2640" s="32" t="n"/>
      <c r="S2640" s="30" t="n"/>
      <c r="T2640" s="30" t="n"/>
      <c r="U2640" s="30" t="n"/>
      <c r="V2640" s="30" t="n"/>
      <c r="W2640" s="29">
        <f>IF(H2640="","",IF(H2640="Kenya","Yes","No"))</f>
        <v/>
      </c>
      <c r="X2640" s="29">
        <f>IF(B2640="","",IF(COUNTIF($B$5:$B$3004,B2640)&gt;1,"DUPLICATE","OK"))</f>
        <v/>
      </c>
      <c r="Y2640" s="29">
        <f>IF(OR(U2640="",V2640="",V2640="Excluded"),"",IF(COUNTIFS($U$5:$U$3004,U2640,$V$5:$V$3004,"&lt;&gt;"&amp;V2640,$V$5:$V$3004,"&lt;&gt;",$V$5:$V$3004,"&lt;&gt;Excluded")&gt;0,"LEAK RISK","OK"))</f>
        <v/>
      </c>
      <c r="Z2640" s="30" t="n"/>
    </row>
    <row r="2641">
      <c r="A2641" s="30" t="n"/>
      <c r="B2641" s="30" t="n"/>
      <c r="C2641" s="30" t="n"/>
      <c r="D2641" s="30" t="n"/>
      <c r="E2641" s="30" t="n"/>
      <c r="F2641" s="30" t="n"/>
      <c r="G2641" s="30" t="n"/>
      <c r="H2641" s="30" t="n"/>
      <c r="I2641" s="31" t="n"/>
      <c r="J2641" s="30" t="n"/>
      <c r="K2641" s="30" t="n"/>
      <c r="L2641" s="30" t="n"/>
      <c r="M2641" s="30" t="n"/>
      <c r="N2641" s="32" t="n"/>
      <c r="O2641" s="30" t="n"/>
      <c r="P2641" s="32" t="n"/>
      <c r="Q2641" s="30" t="n"/>
      <c r="R2641" s="32" t="n"/>
      <c r="S2641" s="30" t="n"/>
      <c r="T2641" s="30" t="n"/>
      <c r="U2641" s="30" t="n"/>
      <c r="V2641" s="30" t="n"/>
      <c r="W2641" s="29">
        <f>IF(H2641="","",IF(H2641="Kenya","Yes","No"))</f>
        <v/>
      </c>
      <c r="X2641" s="29">
        <f>IF(B2641="","",IF(COUNTIF($B$5:$B$3004,B2641)&gt;1,"DUPLICATE","OK"))</f>
        <v/>
      </c>
      <c r="Y2641" s="29">
        <f>IF(OR(U2641="",V2641="",V2641="Excluded"),"",IF(COUNTIFS($U$5:$U$3004,U2641,$V$5:$V$3004,"&lt;&gt;"&amp;V2641,$V$5:$V$3004,"&lt;&gt;",$V$5:$V$3004,"&lt;&gt;Excluded")&gt;0,"LEAK RISK","OK"))</f>
        <v/>
      </c>
      <c r="Z2641" s="30" t="n"/>
    </row>
    <row r="2642">
      <c r="A2642" s="30" t="n"/>
      <c r="B2642" s="30" t="n"/>
      <c r="C2642" s="30" t="n"/>
      <c r="D2642" s="30" t="n"/>
      <c r="E2642" s="30" t="n"/>
      <c r="F2642" s="30" t="n"/>
      <c r="G2642" s="30" t="n"/>
      <c r="H2642" s="30" t="n"/>
      <c r="I2642" s="31" t="n"/>
      <c r="J2642" s="30" t="n"/>
      <c r="K2642" s="30" t="n"/>
      <c r="L2642" s="30" t="n"/>
      <c r="M2642" s="30" t="n"/>
      <c r="N2642" s="32" t="n"/>
      <c r="O2642" s="30" t="n"/>
      <c r="P2642" s="32" t="n"/>
      <c r="Q2642" s="30" t="n"/>
      <c r="R2642" s="32" t="n"/>
      <c r="S2642" s="30" t="n"/>
      <c r="T2642" s="30" t="n"/>
      <c r="U2642" s="30" t="n"/>
      <c r="V2642" s="30" t="n"/>
      <c r="W2642" s="29">
        <f>IF(H2642="","",IF(H2642="Kenya","Yes","No"))</f>
        <v/>
      </c>
      <c r="X2642" s="29">
        <f>IF(B2642="","",IF(COUNTIF($B$5:$B$3004,B2642)&gt;1,"DUPLICATE","OK"))</f>
        <v/>
      </c>
      <c r="Y2642" s="29">
        <f>IF(OR(U2642="",V2642="",V2642="Excluded"),"",IF(COUNTIFS($U$5:$U$3004,U2642,$V$5:$V$3004,"&lt;&gt;"&amp;V2642,$V$5:$V$3004,"&lt;&gt;",$V$5:$V$3004,"&lt;&gt;Excluded")&gt;0,"LEAK RISK","OK"))</f>
        <v/>
      </c>
      <c r="Z2642" s="30" t="n"/>
    </row>
    <row r="2643">
      <c r="A2643" s="30" t="n"/>
      <c r="B2643" s="30" t="n"/>
      <c r="C2643" s="30" t="n"/>
      <c r="D2643" s="30" t="n"/>
      <c r="E2643" s="30" t="n"/>
      <c r="F2643" s="30" t="n"/>
      <c r="G2643" s="30" t="n"/>
      <c r="H2643" s="30" t="n"/>
      <c r="I2643" s="31" t="n"/>
      <c r="J2643" s="30" t="n"/>
      <c r="K2643" s="30" t="n"/>
      <c r="L2643" s="30" t="n"/>
      <c r="M2643" s="30" t="n"/>
      <c r="N2643" s="32" t="n"/>
      <c r="O2643" s="30" t="n"/>
      <c r="P2643" s="32" t="n"/>
      <c r="Q2643" s="30" t="n"/>
      <c r="R2643" s="32" t="n"/>
      <c r="S2643" s="30" t="n"/>
      <c r="T2643" s="30" t="n"/>
      <c r="U2643" s="30" t="n"/>
      <c r="V2643" s="30" t="n"/>
      <c r="W2643" s="29">
        <f>IF(H2643="","",IF(H2643="Kenya","Yes","No"))</f>
        <v/>
      </c>
      <c r="X2643" s="29">
        <f>IF(B2643="","",IF(COUNTIF($B$5:$B$3004,B2643)&gt;1,"DUPLICATE","OK"))</f>
        <v/>
      </c>
      <c r="Y2643" s="29">
        <f>IF(OR(U2643="",V2643="",V2643="Excluded"),"",IF(COUNTIFS($U$5:$U$3004,U2643,$V$5:$V$3004,"&lt;&gt;"&amp;V2643,$V$5:$V$3004,"&lt;&gt;",$V$5:$V$3004,"&lt;&gt;Excluded")&gt;0,"LEAK RISK","OK"))</f>
        <v/>
      </c>
      <c r="Z2643" s="30" t="n"/>
    </row>
    <row r="2644">
      <c r="A2644" s="30" t="n"/>
      <c r="B2644" s="30" t="n"/>
      <c r="C2644" s="30" t="n"/>
      <c r="D2644" s="30" t="n"/>
      <c r="E2644" s="30" t="n"/>
      <c r="F2644" s="30" t="n"/>
      <c r="G2644" s="30" t="n"/>
      <c r="H2644" s="30" t="n"/>
      <c r="I2644" s="31" t="n"/>
      <c r="J2644" s="30" t="n"/>
      <c r="K2644" s="30" t="n"/>
      <c r="L2644" s="30" t="n"/>
      <c r="M2644" s="30" t="n"/>
      <c r="N2644" s="32" t="n"/>
      <c r="O2644" s="30" t="n"/>
      <c r="P2644" s="32" t="n"/>
      <c r="Q2644" s="30" t="n"/>
      <c r="R2644" s="32" t="n"/>
      <c r="S2644" s="30" t="n"/>
      <c r="T2644" s="30" t="n"/>
      <c r="U2644" s="30" t="n"/>
      <c r="V2644" s="30" t="n"/>
      <c r="W2644" s="29">
        <f>IF(H2644="","",IF(H2644="Kenya","Yes","No"))</f>
        <v/>
      </c>
      <c r="X2644" s="29">
        <f>IF(B2644="","",IF(COUNTIF($B$5:$B$3004,B2644)&gt;1,"DUPLICATE","OK"))</f>
        <v/>
      </c>
      <c r="Y2644" s="29">
        <f>IF(OR(U2644="",V2644="",V2644="Excluded"),"",IF(COUNTIFS($U$5:$U$3004,U2644,$V$5:$V$3004,"&lt;&gt;"&amp;V2644,$V$5:$V$3004,"&lt;&gt;",$V$5:$V$3004,"&lt;&gt;Excluded")&gt;0,"LEAK RISK","OK"))</f>
        <v/>
      </c>
      <c r="Z2644" s="30" t="n"/>
    </row>
    <row r="2645">
      <c r="A2645" s="30" t="n"/>
      <c r="B2645" s="30" t="n"/>
      <c r="C2645" s="30" t="n"/>
      <c r="D2645" s="30" t="n"/>
      <c r="E2645" s="30" t="n"/>
      <c r="F2645" s="30" t="n"/>
      <c r="G2645" s="30" t="n"/>
      <c r="H2645" s="30" t="n"/>
      <c r="I2645" s="31" t="n"/>
      <c r="J2645" s="30" t="n"/>
      <c r="K2645" s="30" t="n"/>
      <c r="L2645" s="30" t="n"/>
      <c r="M2645" s="30" t="n"/>
      <c r="N2645" s="32" t="n"/>
      <c r="O2645" s="30" t="n"/>
      <c r="P2645" s="32" t="n"/>
      <c r="Q2645" s="30" t="n"/>
      <c r="R2645" s="32" t="n"/>
      <c r="S2645" s="30" t="n"/>
      <c r="T2645" s="30" t="n"/>
      <c r="U2645" s="30" t="n"/>
      <c r="V2645" s="30" t="n"/>
      <c r="W2645" s="29">
        <f>IF(H2645="","",IF(H2645="Kenya","Yes","No"))</f>
        <v/>
      </c>
      <c r="X2645" s="29">
        <f>IF(B2645="","",IF(COUNTIF($B$5:$B$3004,B2645)&gt;1,"DUPLICATE","OK"))</f>
        <v/>
      </c>
      <c r="Y2645" s="29">
        <f>IF(OR(U2645="",V2645="",V2645="Excluded"),"",IF(COUNTIFS($U$5:$U$3004,U2645,$V$5:$V$3004,"&lt;&gt;"&amp;V2645,$V$5:$V$3004,"&lt;&gt;",$V$5:$V$3004,"&lt;&gt;Excluded")&gt;0,"LEAK RISK","OK"))</f>
        <v/>
      </c>
      <c r="Z2645" s="30" t="n"/>
    </row>
    <row r="2646">
      <c r="A2646" s="30" t="n"/>
      <c r="B2646" s="30" t="n"/>
      <c r="C2646" s="30" t="n"/>
      <c r="D2646" s="30" t="n"/>
      <c r="E2646" s="30" t="n"/>
      <c r="F2646" s="30" t="n"/>
      <c r="G2646" s="30" t="n"/>
      <c r="H2646" s="30" t="n"/>
      <c r="I2646" s="31" t="n"/>
      <c r="J2646" s="30" t="n"/>
      <c r="K2646" s="30" t="n"/>
      <c r="L2646" s="30" t="n"/>
      <c r="M2646" s="30" t="n"/>
      <c r="N2646" s="32" t="n"/>
      <c r="O2646" s="30" t="n"/>
      <c r="P2646" s="32" t="n"/>
      <c r="Q2646" s="30" t="n"/>
      <c r="R2646" s="32" t="n"/>
      <c r="S2646" s="30" t="n"/>
      <c r="T2646" s="30" t="n"/>
      <c r="U2646" s="30" t="n"/>
      <c r="V2646" s="30" t="n"/>
      <c r="W2646" s="29">
        <f>IF(H2646="","",IF(H2646="Kenya","Yes","No"))</f>
        <v/>
      </c>
      <c r="X2646" s="29">
        <f>IF(B2646="","",IF(COUNTIF($B$5:$B$3004,B2646)&gt;1,"DUPLICATE","OK"))</f>
        <v/>
      </c>
      <c r="Y2646" s="29">
        <f>IF(OR(U2646="",V2646="",V2646="Excluded"),"",IF(COUNTIFS($U$5:$U$3004,U2646,$V$5:$V$3004,"&lt;&gt;"&amp;V2646,$V$5:$V$3004,"&lt;&gt;",$V$5:$V$3004,"&lt;&gt;Excluded")&gt;0,"LEAK RISK","OK"))</f>
        <v/>
      </c>
      <c r="Z2646" s="30" t="n"/>
    </row>
    <row r="2647">
      <c r="A2647" s="30" t="n"/>
      <c r="B2647" s="30" t="n"/>
      <c r="C2647" s="30" t="n"/>
      <c r="D2647" s="30" t="n"/>
      <c r="E2647" s="30" t="n"/>
      <c r="F2647" s="30" t="n"/>
      <c r="G2647" s="30" t="n"/>
      <c r="H2647" s="30" t="n"/>
      <c r="I2647" s="31" t="n"/>
      <c r="J2647" s="30" t="n"/>
      <c r="K2647" s="30" t="n"/>
      <c r="L2647" s="30" t="n"/>
      <c r="M2647" s="30" t="n"/>
      <c r="N2647" s="32" t="n"/>
      <c r="O2647" s="30" t="n"/>
      <c r="P2647" s="32" t="n"/>
      <c r="Q2647" s="30" t="n"/>
      <c r="R2647" s="32" t="n"/>
      <c r="S2647" s="30" t="n"/>
      <c r="T2647" s="30" t="n"/>
      <c r="U2647" s="30" t="n"/>
      <c r="V2647" s="30" t="n"/>
      <c r="W2647" s="29">
        <f>IF(H2647="","",IF(H2647="Kenya","Yes","No"))</f>
        <v/>
      </c>
      <c r="X2647" s="29">
        <f>IF(B2647="","",IF(COUNTIF($B$5:$B$3004,B2647)&gt;1,"DUPLICATE","OK"))</f>
        <v/>
      </c>
      <c r="Y2647" s="29">
        <f>IF(OR(U2647="",V2647="",V2647="Excluded"),"",IF(COUNTIFS($U$5:$U$3004,U2647,$V$5:$V$3004,"&lt;&gt;"&amp;V2647,$V$5:$V$3004,"&lt;&gt;",$V$5:$V$3004,"&lt;&gt;Excluded")&gt;0,"LEAK RISK","OK"))</f>
        <v/>
      </c>
      <c r="Z2647" s="30" t="n"/>
    </row>
    <row r="2648">
      <c r="A2648" s="30" t="n"/>
      <c r="B2648" s="30" t="n"/>
      <c r="C2648" s="30" t="n"/>
      <c r="D2648" s="30" t="n"/>
      <c r="E2648" s="30" t="n"/>
      <c r="F2648" s="30" t="n"/>
      <c r="G2648" s="30" t="n"/>
      <c r="H2648" s="30" t="n"/>
      <c r="I2648" s="31" t="n"/>
      <c r="J2648" s="30" t="n"/>
      <c r="K2648" s="30" t="n"/>
      <c r="L2648" s="30" t="n"/>
      <c r="M2648" s="30" t="n"/>
      <c r="N2648" s="32" t="n"/>
      <c r="O2648" s="30" t="n"/>
      <c r="P2648" s="32" t="n"/>
      <c r="Q2648" s="30" t="n"/>
      <c r="R2648" s="32" t="n"/>
      <c r="S2648" s="30" t="n"/>
      <c r="T2648" s="30" t="n"/>
      <c r="U2648" s="30" t="n"/>
      <c r="V2648" s="30" t="n"/>
      <c r="W2648" s="29">
        <f>IF(H2648="","",IF(H2648="Kenya","Yes","No"))</f>
        <v/>
      </c>
      <c r="X2648" s="29">
        <f>IF(B2648="","",IF(COUNTIF($B$5:$B$3004,B2648)&gt;1,"DUPLICATE","OK"))</f>
        <v/>
      </c>
      <c r="Y2648" s="29">
        <f>IF(OR(U2648="",V2648="",V2648="Excluded"),"",IF(COUNTIFS($U$5:$U$3004,U2648,$V$5:$V$3004,"&lt;&gt;"&amp;V2648,$V$5:$V$3004,"&lt;&gt;",$V$5:$V$3004,"&lt;&gt;Excluded")&gt;0,"LEAK RISK","OK"))</f>
        <v/>
      </c>
      <c r="Z2648" s="30" t="n"/>
    </row>
    <row r="2649">
      <c r="A2649" s="30" t="n"/>
      <c r="B2649" s="30" t="n"/>
      <c r="C2649" s="30" t="n"/>
      <c r="D2649" s="30" t="n"/>
      <c r="E2649" s="30" t="n"/>
      <c r="F2649" s="30" t="n"/>
      <c r="G2649" s="30" t="n"/>
      <c r="H2649" s="30" t="n"/>
      <c r="I2649" s="31" t="n"/>
      <c r="J2649" s="30" t="n"/>
      <c r="K2649" s="30" t="n"/>
      <c r="L2649" s="30" t="n"/>
      <c r="M2649" s="30" t="n"/>
      <c r="N2649" s="32" t="n"/>
      <c r="O2649" s="30" t="n"/>
      <c r="P2649" s="32" t="n"/>
      <c r="Q2649" s="30" t="n"/>
      <c r="R2649" s="32" t="n"/>
      <c r="S2649" s="30" t="n"/>
      <c r="T2649" s="30" t="n"/>
      <c r="U2649" s="30" t="n"/>
      <c r="V2649" s="30" t="n"/>
      <c r="W2649" s="29">
        <f>IF(H2649="","",IF(H2649="Kenya","Yes","No"))</f>
        <v/>
      </c>
      <c r="X2649" s="29">
        <f>IF(B2649="","",IF(COUNTIF($B$5:$B$3004,B2649)&gt;1,"DUPLICATE","OK"))</f>
        <v/>
      </c>
      <c r="Y2649" s="29">
        <f>IF(OR(U2649="",V2649="",V2649="Excluded"),"",IF(COUNTIFS($U$5:$U$3004,U2649,$V$5:$V$3004,"&lt;&gt;"&amp;V2649,$V$5:$V$3004,"&lt;&gt;",$V$5:$V$3004,"&lt;&gt;Excluded")&gt;0,"LEAK RISK","OK"))</f>
        <v/>
      </c>
      <c r="Z2649" s="30" t="n"/>
    </row>
    <row r="2650">
      <c r="A2650" s="30" t="n"/>
      <c r="B2650" s="30" t="n"/>
      <c r="C2650" s="30" t="n"/>
      <c r="D2650" s="30" t="n"/>
      <c r="E2650" s="30" t="n"/>
      <c r="F2650" s="30" t="n"/>
      <c r="G2650" s="30" t="n"/>
      <c r="H2650" s="30" t="n"/>
      <c r="I2650" s="31" t="n"/>
      <c r="J2650" s="30" t="n"/>
      <c r="K2650" s="30" t="n"/>
      <c r="L2650" s="30" t="n"/>
      <c r="M2650" s="30" t="n"/>
      <c r="N2650" s="32" t="n"/>
      <c r="O2650" s="30" t="n"/>
      <c r="P2650" s="32" t="n"/>
      <c r="Q2650" s="30" t="n"/>
      <c r="R2650" s="32" t="n"/>
      <c r="S2650" s="30" t="n"/>
      <c r="T2650" s="30" t="n"/>
      <c r="U2650" s="30" t="n"/>
      <c r="V2650" s="30" t="n"/>
      <c r="W2650" s="29">
        <f>IF(H2650="","",IF(H2650="Kenya","Yes","No"))</f>
        <v/>
      </c>
      <c r="X2650" s="29">
        <f>IF(B2650="","",IF(COUNTIF($B$5:$B$3004,B2650)&gt;1,"DUPLICATE","OK"))</f>
        <v/>
      </c>
      <c r="Y2650" s="29">
        <f>IF(OR(U2650="",V2650="",V2650="Excluded"),"",IF(COUNTIFS($U$5:$U$3004,U2650,$V$5:$V$3004,"&lt;&gt;"&amp;V2650,$V$5:$V$3004,"&lt;&gt;",$V$5:$V$3004,"&lt;&gt;Excluded")&gt;0,"LEAK RISK","OK"))</f>
        <v/>
      </c>
      <c r="Z2650" s="30" t="n"/>
    </row>
    <row r="2651">
      <c r="A2651" s="30" t="n"/>
      <c r="B2651" s="30" t="n"/>
      <c r="C2651" s="30" t="n"/>
      <c r="D2651" s="30" t="n"/>
      <c r="E2651" s="30" t="n"/>
      <c r="F2651" s="30" t="n"/>
      <c r="G2651" s="30" t="n"/>
      <c r="H2651" s="30" t="n"/>
      <c r="I2651" s="31" t="n"/>
      <c r="J2651" s="30" t="n"/>
      <c r="K2651" s="30" t="n"/>
      <c r="L2651" s="30" t="n"/>
      <c r="M2651" s="30" t="n"/>
      <c r="N2651" s="32" t="n"/>
      <c r="O2651" s="30" t="n"/>
      <c r="P2651" s="32" t="n"/>
      <c r="Q2651" s="30" t="n"/>
      <c r="R2651" s="32" t="n"/>
      <c r="S2651" s="30" t="n"/>
      <c r="T2651" s="30" t="n"/>
      <c r="U2651" s="30" t="n"/>
      <c r="V2651" s="30" t="n"/>
      <c r="W2651" s="29">
        <f>IF(H2651="","",IF(H2651="Kenya","Yes","No"))</f>
        <v/>
      </c>
      <c r="X2651" s="29">
        <f>IF(B2651="","",IF(COUNTIF($B$5:$B$3004,B2651)&gt;1,"DUPLICATE","OK"))</f>
        <v/>
      </c>
      <c r="Y2651" s="29">
        <f>IF(OR(U2651="",V2651="",V2651="Excluded"),"",IF(COUNTIFS($U$5:$U$3004,U2651,$V$5:$V$3004,"&lt;&gt;"&amp;V2651,$V$5:$V$3004,"&lt;&gt;",$V$5:$V$3004,"&lt;&gt;Excluded")&gt;0,"LEAK RISK","OK"))</f>
        <v/>
      </c>
      <c r="Z2651" s="30" t="n"/>
    </row>
    <row r="2652">
      <c r="A2652" s="30" t="n"/>
      <c r="B2652" s="30" t="n"/>
      <c r="C2652" s="30" t="n"/>
      <c r="D2652" s="30" t="n"/>
      <c r="E2652" s="30" t="n"/>
      <c r="F2652" s="30" t="n"/>
      <c r="G2652" s="30" t="n"/>
      <c r="H2652" s="30" t="n"/>
      <c r="I2652" s="31" t="n"/>
      <c r="J2652" s="30" t="n"/>
      <c r="K2652" s="30" t="n"/>
      <c r="L2652" s="30" t="n"/>
      <c r="M2652" s="30" t="n"/>
      <c r="N2652" s="32" t="n"/>
      <c r="O2652" s="30" t="n"/>
      <c r="P2652" s="32" t="n"/>
      <c r="Q2652" s="30" t="n"/>
      <c r="R2652" s="32" t="n"/>
      <c r="S2652" s="30" t="n"/>
      <c r="T2652" s="30" t="n"/>
      <c r="U2652" s="30" t="n"/>
      <c r="V2652" s="30" t="n"/>
      <c r="W2652" s="29">
        <f>IF(H2652="","",IF(H2652="Kenya","Yes","No"))</f>
        <v/>
      </c>
      <c r="X2652" s="29">
        <f>IF(B2652="","",IF(COUNTIF($B$5:$B$3004,B2652)&gt;1,"DUPLICATE","OK"))</f>
        <v/>
      </c>
      <c r="Y2652" s="29">
        <f>IF(OR(U2652="",V2652="",V2652="Excluded"),"",IF(COUNTIFS($U$5:$U$3004,U2652,$V$5:$V$3004,"&lt;&gt;"&amp;V2652,$V$5:$V$3004,"&lt;&gt;",$V$5:$V$3004,"&lt;&gt;Excluded")&gt;0,"LEAK RISK","OK"))</f>
        <v/>
      </c>
      <c r="Z2652" s="30" t="n"/>
    </row>
    <row r="2653">
      <c r="A2653" s="30" t="n"/>
      <c r="B2653" s="30" t="n"/>
      <c r="C2653" s="30" t="n"/>
      <c r="D2653" s="30" t="n"/>
      <c r="E2653" s="30" t="n"/>
      <c r="F2653" s="30" t="n"/>
      <c r="G2653" s="30" t="n"/>
      <c r="H2653" s="30" t="n"/>
      <c r="I2653" s="31" t="n"/>
      <c r="J2653" s="30" t="n"/>
      <c r="K2653" s="30" t="n"/>
      <c r="L2653" s="30" t="n"/>
      <c r="M2653" s="30" t="n"/>
      <c r="N2653" s="32" t="n"/>
      <c r="O2653" s="30" t="n"/>
      <c r="P2653" s="32" t="n"/>
      <c r="Q2653" s="30" t="n"/>
      <c r="R2653" s="32" t="n"/>
      <c r="S2653" s="30" t="n"/>
      <c r="T2653" s="30" t="n"/>
      <c r="U2653" s="30" t="n"/>
      <c r="V2653" s="30" t="n"/>
      <c r="W2653" s="29">
        <f>IF(H2653="","",IF(H2653="Kenya","Yes","No"))</f>
        <v/>
      </c>
      <c r="X2653" s="29">
        <f>IF(B2653="","",IF(COUNTIF($B$5:$B$3004,B2653)&gt;1,"DUPLICATE","OK"))</f>
        <v/>
      </c>
      <c r="Y2653" s="29">
        <f>IF(OR(U2653="",V2653="",V2653="Excluded"),"",IF(COUNTIFS($U$5:$U$3004,U2653,$V$5:$V$3004,"&lt;&gt;"&amp;V2653,$V$5:$V$3004,"&lt;&gt;",$V$5:$V$3004,"&lt;&gt;Excluded")&gt;0,"LEAK RISK","OK"))</f>
        <v/>
      </c>
      <c r="Z2653" s="30" t="n"/>
    </row>
    <row r="2654">
      <c r="A2654" s="30" t="n"/>
      <c r="B2654" s="30" t="n"/>
      <c r="C2654" s="30" t="n"/>
      <c r="D2654" s="30" t="n"/>
      <c r="E2654" s="30" t="n"/>
      <c r="F2654" s="30" t="n"/>
      <c r="G2654" s="30" t="n"/>
      <c r="H2654" s="30" t="n"/>
      <c r="I2654" s="31" t="n"/>
      <c r="J2654" s="30" t="n"/>
      <c r="K2654" s="30" t="n"/>
      <c r="L2654" s="30" t="n"/>
      <c r="M2654" s="30" t="n"/>
      <c r="N2654" s="32" t="n"/>
      <c r="O2654" s="30" t="n"/>
      <c r="P2654" s="32" t="n"/>
      <c r="Q2654" s="30" t="n"/>
      <c r="R2654" s="32" t="n"/>
      <c r="S2654" s="30" t="n"/>
      <c r="T2654" s="30" t="n"/>
      <c r="U2654" s="30" t="n"/>
      <c r="V2654" s="30" t="n"/>
      <c r="W2654" s="29">
        <f>IF(H2654="","",IF(H2654="Kenya","Yes","No"))</f>
        <v/>
      </c>
      <c r="X2654" s="29">
        <f>IF(B2654="","",IF(COUNTIF($B$5:$B$3004,B2654)&gt;1,"DUPLICATE","OK"))</f>
        <v/>
      </c>
      <c r="Y2654" s="29">
        <f>IF(OR(U2654="",V2654="",V2654="Excluded"),"",IF(COUNTIFS($U$5:$U$3004,U2654,$V$5:$V$3004,"&lt;&gt;"&amp;V2654,$V$5:$V$3004,"&lt;&gt;",$V$5:$V$3004,"&lt;&gt;Excluded")&gt;0,"LEAK RISK","OK"))</f>
        <v/>
      </c>
      <c r="Z2654" s="30" t="n"/>
    </row>
    <row r="2655">
      <c r="A2655" s="30" t="n"/>
      <c r="B2655" s="30" t="n"/>
      <c r="C2655" s="30" t="n"/>
      <c r="D2655" s="30" t="n"/>
      <c r="E2655" s="30" t="n"/>
      <c r="F2655" s="30" t="n"/>
      <c r="G2655" s="30" t="n"/>
      <c r="H2655" s="30" t="n"/>
      <c r="I2655" s="31" t="n"/>
      <c r="J2655" s="30" t="n"/>
      <c r="K2655" s="30" t="n"/>
      <c r="L2655" s="30" t="n"/>
      <c r="M2655" s="30" t="n"/>
      <c r="N2655" s="32" t="n"/>
      <c r="O2655" s="30" t="n"/>
      <c r="P2655" s="32" t="n"/>
      <c r="Q2655" s="30" t="n"/>
      <c r="R2655" s="32" t="n"/>
      <c r="S2655" s="30" t="n"/>
      <c r="T2655" s="30" t="n"/>
      <c r="U2655" s="30" t="n"/>
      <c r="V2655" s="30" t="n"/>
      <c r="W2655" s="29">
        <f>IF(H2655="","",IF(H2655="Kenya","Yes","No"))</f>
        <v/>
      </c>
      <c r="X2655" s="29">
        <f>IF(B2655="","",IF(COUNTIF($B$5:$B$3004,B2655)&gt;1,"DUPLICATE","OK"))</f>
        <v/>
      </c>
      <c r="Y2655" s="29">
        <f>IF(OR(U2655="",V2655="",V2655="Excluded"),"",IF(COUNTIFS($U$5:$U$3004,U2655,$V$5:$V$3004,"&lt;&gt;"&amp;V2655,$V$5:$V$3004,"&lt;&gt;",$V$5:$V$3004,"&lt;&gt;Excluded")&gt;0,"LEAK RISK","OK"))</f>
        <v/>
      </c>
      <c r="Z2655" s="30" t="n"/>
    </row>
    <row r="2656">
      <c r="A2656" s="30" t="n"/>
      <c r="B2656" s="30" t="n"/>
      <c r="C2656" s="30" t="n"/>
      <c r="D2656" s="30" t="n"/>
      <c r="E2656" s="30" t="n"/>
      <c r="F2656" s="30" t="n"/>
      <c r="G2656" s="30" t="n"/>
      <c r="H2656" s="30" t="n"/>
      <c r="I2656" s="31" t="n"/>
      <c r="J2656" s="30" t="n"/>
      <c r="K2656" s="30" t="n"/>
      <c r="L2656" s="30" t="n"/>
      <c r="M2656" s="30" t="n"/>
      <c r="N2656" s="32" t="n"/>
      <c r="O2656" s="30" t="n"/>
      <c r="P2656" s="32" t="n"/>
      <c r="Q2656" s="30" t="n"/>
      <c r="R2656" s="32" t="n"/>
      <c r="S2656" s="30" t="n"/>
      <c r="T2656" s="30" t="n"/>
      <c r="U2656" s="30" t="n"/>
      <c r="V2656" s="30" t="n"/>
      <c r="W2656" s="29">
        <f>IF(H2656="","",IF(H2656="Kenya","Yes","No"))</f>
        <v/>
      </c>
      <c r="X2656" s="29">
        <f>IF(B2656="","",IF(COUNTIF($B$5:$B$3004,B2656)&gt;1,"DUPLICATE","OK"))</f>
        <v/>
      </c>
      <c r="Y2656" s="29">
        <f>IF(OR(U2656="",V2656="",V2656="Excluded"),"",IF(COUNTIFS($U$5:$U$3004,U2656,$V$5:$V$3004,"&lt;&gt;"&amp;V2656,$V$5:$V$3004,"&lt;&gt;",$V$5:$V$3004,"&lt;&gt;Excluded")&gt;0,"LEAK RISK","OK"))</f>
        <v/>
      </c>
      <c r="Z2656" s="30" t="n"/>
    </row>
    <row r="2657">
      <c r="A2657" s="30" t="n"/>
      <c r="B2657" s="30" t="n"/>
      <c r="C2657" s="30" t="n"/>
      <c r="D2657" s="30" t="n"/>
      <c r="E2657" s="30" t="n"/>
      <c r="F2657" s="30" t="n"/>
      <c r="G2657" s="30" t="n"/>
      <c r="H2657" s="30" t="n"/>
      <c r="I2657" s="31" t="n"/>
      <c r="J2657" s="30" t="n"/>
      <c r="K2657" s="30" t="n"/>
      <c r="L2657" s="30" t="n"/>
      <c r="M2657" s="30" t="n"/>
      <c r="N2657" s="32" t="n"/>
      <c r="O2657" s="30" t="n"/>
      <c r="P2657" s="32" t="n"/>
      <c r="Q2657" s="30" t="n"/>
      <c r="R2657" s="32" t="n"/>
      <c r="S2657" s="30" t="n"/>
      <c r="T2657" s="30" t="n"/>
      <c r="U2657" s="30" t="n"/>
      <c r="V2657" s="30" t="n"/>
      <c r="W2657" s="29">
        <f>IF(H2657="","",IF(H2657="Kenya","Yes","No"))</f>
        <v/>
      </c>
      <c r="X2657" s="29">
        <f>IF(B2657="","",IF(COUNTIF($B$5:$B$3004,B2657)&gt;1,"DUPLICATE","OK"))</f>
        <v/>
      </c>
      <c r="Y2657" s="29">
        <f>IF(OR(U2657="",V2657="",V2657="Excluded"),"",IF(COUNTIFS($U$5:$U$3004,U2657,$V$5:$V$3004,"&lt;&gt;"&amp;V2657,$V$5:$V$3004,"&lt;&gt;",$V$5:$V$3004,"&lt;&gt;Excluded")&gt;0,"LEAK RISK","OK"))</f>
        <v/>
      </c>
      <c r="Z2657" s="30" t="n"/>
    </row>
    <row r="2658">
      <c r="A2658" s="30" t="n"/>
      <c r="B2658" s="30" t="n"/>
      <c r="C2658" s="30" t="n"/>
      <c r="D2658" s="30" t="n"/>
      <c r="E2658" s="30" t="n"/>
      <c r="F2658" s="30" t="n"/>
      <c r="G2658" s="30" t="n"/>
      <c r="H2658" s="30" t="n"/>
      <c r="I2658" s="31" t="n"/>
      <c r="J2658" s="30" t="n"/>
      <c r="K2658" s="30" t="n"/>
      <c r="L2658" s="30" t="n"/>
      <c r="M2658" s="30" t="n"/>
      <c r="N2658" s="32" t="n"/>
      <c r="O2658" s="30" t="n"/>
      <c r="P2658" s="32" t="n"/>
      <c r="Q2658" s="30" t="n"/>
      <c r="R2658" s="32" t="n"/>
      <c r="S2658" s="30" t="n"/>
      <c r="T2658" s="30" t="n"/>
      <c r="U2658" s="30" t="n"/>
      <c r="V2658" s="30" t="n"/>
      <c r="W2658" s="29">
        <f>IF(H2658="","",IF(H2658="Kenya","Yes","No"))</f>
        <v/>
      </c>
      <c r="X2658" s="29">
        <f>IF(B2658="","",IF(COUNTIF($B$5:$B$3004,B2658)&gt;1,"DUPLICATE","OK"))</f>
        <v/>
      </c>
      <c r="Y2658" s="29">
        <f>IF(OR(U2658="",V2658="",V2658="Excluded"),"",IF(COUNTIFS($U$5:$U$3004,U2658,$V$5:$V$3004,"&lt;&gt;"&amp;V2658,$V$5:$V$3004,"&lt;&gt;",$V$5:$V$3004,"&lt;&gt;Excluded")&gt;0,"LEAK RISK","OK"))</f>
        <v/>
      </c>
      <c r="Z2658" s="30" t="n"/>
    </row>
    <row r="2659">
      <c r="A2659" s="30" t="n"/>
      <c r="B2659" s="30" t="n"/>
      <c r="C2659" s="30" t="n"/>
      <c r="D2659" s="30" t="n"/>
      <c r="E2659" s="30" t="n"/>
      <c r="F2659" s="30" t="n"/>
      <c r="G2659" s="30" t="n"/>
      <c r="H2659" s="30" t="n"/>
      <c r="I2659" s="31" t="n"/>
      <c r="J2659" s="30" t="n"/>
      <c r="K2659" s="30" t="n"/>
      <c r="L2659" s="30" t="n"/>
      <c r="M2659" s="30" t="n"/>
      <c r="N2659" s="32" t="n"/>
      <c r="O2659" s="30" t="n"/>
      <c r="P2659" s="32" t="n"/>
      <c r="Q2659" s="30" t="n"/>
      <c r="R2659" s="32" t="n"/>
      <c r="S2659" s="30" t="n"/>
      <c r="T2659" s="30" t="n"/>
      <c r="U2659" s="30" t="n"/>
      <c r="V2659" s="30" t="n"/>
      <c r="W2659" s="29">
        <f>IF(H2659="","",IF(H2659="Kenya","Yes","No"))</f>
        <v/>
      </c>
      <c r="X2659" s="29">
        <f>IF(B2659="","",IF(COUNTIF($B$5:$B$3004,B2659)&gt;1,"DUPLICATE","OK"))</f>
        <v/>
      </c>
      <c r="Y2659" s="29">
        <f>IF(OR(U2659="",V2659="",V2659="Excluded"),"",IF(COUNTIFS($U$5:$U$3004,U2659,$V$5:$V$3004,"&lt;&gt;"&amp;V2659,$V$5:$V$3004,"&lt;&gt;",$V$5:$V$3004,"&lt;&gt;Excluded")&gt;0,"LEAK RISK","OK"))</f>
        <v/>
      </c>
      <c r="Z2659" s="30" t="n"/>
    </row>
    <row r="2660">
      <c r="A2660" s="30" t="n"/>
      <c r="B2660" s="30" t="n"/>
      <c r="C2660" s="30" t="n"/>
      <c r="D2660" s="30" t="n"/>
      <c r="E2660" s="30" t="n"/>
      <c r="F2660" s="30" t="n"/>
      <c r="G2660" s="30" t="n"/>
      <c r="H2660" s="30" t="n"/>
      <c r="I2660" s="31" t="n"/>
      <c r="J2660" s="30" t="n"/>
      <c r="K2660" s="30" t="n"/>
      <c r="L2660" s="30" t="n"/>
      <c r="M2660" s="30" t="n"/>
      <c r="N2660" s="32" t="n"/>
      <c r="O2660" s="30" t="n"/>
      <c r="P2660" s="32" t="n"/>
      <c r="Q2660" s="30" t="n"/>
      <c r="R2660" s="32" t="n"/>
      <c r="S2660" s="30" t="n"/>
      <c r="T2660" s="30" t="n"/>
      <c r="U2660" s="30" t="n"/>
      <c r="V2660" s="30" t="n"/>
      <c r="W2660" s="29">
        <f>IF(H2660="","",IF(H2660="Kenya","Yes","No"))</f>
        <v/>
      </c>
      <c r="X2660" s="29">
        <f>IF(B2660="","",IF(COUNTIF($B$5:$B$3004,B2660)&gt;1,"DUPLICATE","OK"))</f>
        <v/>
      </c>
      <c r="Y2660" s="29">
        <f>IF(OR(U2660="",V2660="",V2660="Excluded"),"",IF(COUNTIFS($U$5:$U$3004,U2660,$V$5:$V$3004,"&lt;&gt;"&amp;V2660,$V$5:$V$3004,"&lt;&gt;",$V$5:$V$3004,"&lt;&gt;Excluded")&gt;0,"LEAK RISK","OK"))</f>
        <v/>
      </c>
      <c r="Z2660" s="30" t="n"/>
    </row>
    <row r="2661">
      <c r="A2661" s="30" t="n"/>
      <c r="B2661" s="30" t="n"/>
      <c r="C2661" s="30" t="n"/>
      <c r="D2661" s="30" t="n"/>
      <c r="E2661" s="30" t="n"/>
      <c r="F2661" s="30" t="n"/>
      <c r="G2661" s="30" t="n"/>
      <c r="H2661" s="30" t="n"/>
      <c r="I2661" s="31" t="n"/>
      <c r="J2661" s="30" t="n"/>
      <c r="K2661" s="30" t="n"/>
      <c r="L2661" s="30" t="n"/>
      <c r="M2661" s="30" t="n"/>
      <c r="N2661" s="32" t="n"/>
      <c r="O2661" s="30" t="n"/>
      <c r="P2661" s="32" t="n"/>
      <c r="Q2661" s="30" t="n"/>
      <c r="R2661" s="32" t="n"/>
      <c r="S2661" s="30" t="n"/>
      <c r="T2661" s="30" t="n"/>
      <c r="U2661" s="30" t="n"/>
      <c r="V2661" s="30" t="n"/>
      <c r="W2661" s="29">
        <f>IF(H2661="","",IF(H2661="Kenya","Yes","No"))</f>
        <v/>
      </c>
      <c r="X2661" s="29">
        <f>IF(B2661="","",IF(COUNTIF($B$5:$B$3004,B2661)&gt;1,"DUPLICATE","OK"))</f>
        <v/>
      </c>
      <c r="Y2661" s="29">
        <f>IF(OR(U2661="",V2661="",V2661="Excluded"),"",IF(COUNTIFS($U$5:$U$3004,U2661,$V$5:$V$3004,"&lt;&gt;"&amp;V2661,$V$5:$V$3004,"&lt;&gt;",$V$5:$V$3004,"&lt;&gt;Excluded")&gt;0,"LEAK RISK","OK"))</f>
        <v/>
      </c>
      <c r="Z2661" s="30" t="n"/>
    </row>
    <row r="2662">
      <c r="A2662" s="30" t="n"/>
      <c r="B2662" s="30" t="n"/>
      <c r="C2662" s="30" t="n"/>
      <c r="D2662" s="30" t="n"/>
      <c r="E2662" s="30" t="n"/>
      <c r="F2662" s="30" t="n"/>
      <c r="G2662" s="30" t="n"/>
      <c r="H2662" s="30" t="n"/>
      <c r="I2662" s="31" t="n"/>
      <c r="J2662" s="30" t="n"/>
      <c r="K2662" s="30" t="n"/>
      <c r="L2662" s="30" t="n"/>
      <c r="M2662" s="30" t="n"/>
      <c r="N2662" s="32" t="n"/>
      <c r="O2662" s="30" t="n"/>
      <c r="P2662" s="32" t="n"/>
      <c r="Q2662" s="30" t="n"/>
      <c r="R2662" s="32" t="n"/>
      <c r="S2662" s="30" t="n"/>
      <c r="T2662" s="30" t="n"/>
      <c r="U2662" s="30" t="n"/>
      <c r="V2662" s="30" t="n"/>
      <c r="W2662" s="29">
        <f>IF(H2662="","",IF(H2662="Kenya","Yes","No"))</f>
        <v/>
      </c>
      <c r="X2662" s="29">
        <f>IF(B2662="","",IF(COUNTIF($B$5:$B$3004,B2662)&gt;1,"DUPLICATE","OK"))</f>
        <v/>
      </c>
      <c r="Y2662" s="29">
        <f>IF(OR(U2662="",V2662="",V2662="Excluded"),"",IF(COUNTIFS($U$5:$U$3004,U2662,$V$5:$V$3004,"&lt;&gt;"&amp;V2662,$V$5:$V$3004,"&lt;&gt;",$V$5:$V$3004,"&lt;&gt;Excluded")&gt;0,"LEAK RISK","OK"))</f>
        <v/>
      </c>
      <c r="Z2662" s="30" t="n"/>
    </row>
    <row r="2663">
      <c r="A2663" s="30" t="n"/>
      <c r="B2663" s="30" t="n"/>
      <c r="C2663" s="30" t="n"/>
      <c r="D2663" s="30" t="n"/>
      <c r="E2663" s="30" t="n"/>
      <c r="F2663" s="30" t="n"/>
      <c r="G2663" s="30" t="n"/>
      <c r="H2663" s="30" t="n"/>
      <c r="I2663" s="31" t="n"/>
      <c r="J2663" s="30" t="n"/>
      <c r="K2663" s="30" t="n"/>
      <c r="L2663" s="30" t="n"/>
      <c r="M2663" s="30" t="n"/>
      <c r="N2663" s="32" t="n"/>
      <c r="O2663" s="30" t="n"/>
      <c r="P2663" s="32" t="n"/>
      <c r="Q2663" s="30" t="n"/>
      <c r="R2663" s="32" t="n"/>
      <c r="S2663" s="30" t="n"/>
      <c r="T2663" s="30" t="n"/>
      <c r="U2663" s="30" t="n"/>
      <c r="V2663" s="30" t="n"/>
      <c r="W2663" s="29">
        <f>IF(H2663="","",IF(H2663="Kenya","Yes","No"))</f>
        <v/>
      </c>
      <c r="X2663" s="29">
        <f>IF(B2663="","",IF(COUNTIF($B$5:$B$3004,B2663)&gt;1,"DUPLICATE","OK"))</f>
        <v/>
      </c>
      <c r="Y2663" s="29">
        <f>IF(OR(U2663="",V2663="",V2663="Excluded"),"",IF(COUNTIFS($U$5:$U$3004,U2663,$V$5:$V$3004,"&lt;&gt;"&amp;V2663,$V$5:$V$3004,"&lt;&gt;",$V$5:$V$3004,"&lt;&gt;Excluded")&gt;0,"LEAK RISK","OK"))</f>
        <v/>
      </c>
      <c r="Z2663" s="30" t="n"/>
    </row>
    <row r="2664">
      <c r="A2664" s="30" t="n"/>
      <c r="B2664" s="30" t="n"/>
      <c r="C2664" s="30" t="n"/>
      <c r="D2664" s="30" t="n"/>
      <c r="E2664" s="30" t="n"/>
      <c r="F2664" s="30" t="n"/>
      <c r="G2664" s="30" t="n"/>
      <c r="H2664" s="30" t="n"/>
      <c r="I2664" s="31" t="n"/>
      <c r="J2664" s="30" t="n"/>
      <c r="K2664" s="30" t="n"/>
      <c r="L2664" s="30" t="n"/>
      <c r="M2664" s="30" t="n"/>
      <c r="N2664" s="32" t="n"/>
      <c r="O2664" s="30" t="n"/>
      <c r="P2664" s="32" t="n"/>
      <c r="Q2664" s="30" t="n"/>
      <c r="R2664" s="32" t="n"/>
      <c r="S2664" s="30" t="n"/>
      <c r="T2664" s="30" t="n"/>
      <c r="U2664" s="30" t="n"/>
      <c r="V2664" s="30" t="n"/>
      <c r="W2664" s="29">
        <f>IF(H2664="","",IF(H2664="Kenya","Yes","No"))</f>
        <v/>
      </c>
      <c r="X2664" s="29">
        <f>IF(B2664="","",IF(COUNTIF($B$5:$B$3004,B2664)&gt;1,"DUPLICATE","OK"))</f>
        <v/>
      </c>
      <c r="Y2664" s="29">
        <f>IF(OR(U2664="",V2664="",V2664="Excluded"),"",IF(COUNTIFS($U$5:$U$3004,U2664,$V$5:$V$3004,"&lt;&gt;"&amp;V2664,$V$5:$V$3004,"&lt;&gt;",$V$5:$V$3004,"&lt;&gt;Excluded")&gt;0,"LEAK RISK","OK"))</f>
        <v/>
      </c>
      <c r="Z2664" s="30" t="n"/>
    </row>
    <row r="2665">
      <c r="A2665" s="30" t="n"/>
      <c r="B2665" s="30" t="n"/>
      <c r="C2665" s="30" t="n"/>
      <c r="D2665" s="30" t="n"/>
      <c r="E2665" s="30" t="n"/>
      <c r="F2665" s="30" t="n"/>
      <c r="G2665" s="30" t="n"/>
      <c r="H2665" s="30" t="n"/>
      <c r="I2665" s="31" t="n"/>
      <c r="J2665" s="30" t="n"/>
      <c r="K2665" s="30" t="n"/>
      <c r="L2665" s="30" t="n"/>
      <c r="M2665" s="30" t="n"/>
      <c r="N2665" s="32" t="n"/>
      <c r="O2665" s="30" t="n"/>
      <c r="P2665" s="32" t="n"/>
      <c r="Q2665" s="30" t="n"/>
      <c r="R2665" s="32" t="n"/>
      <c r="S2665" s="30" t="n"/>
      <c r="T2665" s="30" t="n"/>
      <c r="U2665" s="30" t="n"/>
      <c r="V2665" s="30" t="n"/>
      <c r="W2665" s="29">
        <f>IF(H2665="","",IF(H2665="Kenya","Yes","No"))</f>
        <v/>
      </c>
      <c r="X2665" s="29">
        <f>IF(B2665="","",IF(COUNTIF($B$5:$B$3004,B2665)&gt;1,"DUPLICATE","OK"))</f>
        <v/>
      </c>
      <c r="Y2665" s="29">
        <f>IF(OR(U2665="",V2665="",V2665="Excluded"),"",IF(COUNTIFS($U$5:$U$3004,U2665,$V$5:$V$3004,"&lt;&gt;"&amp;V2665,$V$5:$V$3004,"&lt;&gt;",$V$5:$V$3004,"&lt;&gt;Excluded")&gt;0,"LEAK RISK","OK"))</f>
        <v/>
      </c>
      <c r="Z2665" s="30" t="n"/>
    </row>
    <row r="2666">
      <c r="A2666" s="30" t="n"/>
      <c r="B2666" s="30" t="n"/>
      <c r="C2666" s="30" t="n"/>
      <c r="D2666" s="30" t="n"/>
      <c r="E2666" s="30" t="n"/>
      <c r="F2666" s="30" t="n"/>
      <c r="G2666" s="30" t="n"/>
      <c r="H2666" s="30" t="n"/>
      <c r="I2666" s="31" t="n"/>
      <c r="J2666" s="30" t="n"/>
      <c r="K2666" s="30" t="n"/>
      <c r="L2666" s="30" t="n"/>
      <c r="M2666" s="30" t="n"/>
      <c r="N2666" s="32" t="n"/>
      <c r="O2666" s="30" t="n"/>
      <c r="P2666" s="32" t="n"/>
      <c r="Q2666" s="30" t="n"/>
      <c r="R2666" s="32" t="n"/>
      <c r="S2666" s="30" t="n"/>
      <c r="T2666" s="30" t="n"/>
      <c r="U2666" s="30" t="n"/>
      <c r="V2666" s="30" t="n"/>
      <c r="W2666" s="29">
        <f>IF(H2666="","",IF(H2666="Kenya","Yes","No"))</f>
        <v/>
      </c>
      <c r="X2666" s="29">
        <f>IF(B2666="","",IF(COUNTIF($B$5:$B$3004,B2666)&gt;1,"DUPLICATE","OK"))</f>
        <v/>
      </c>
      <c r="Y2666" s="29">
        <f>IF(OR(U2666="",V2666="",V2666="Excluded"),"",IF(COUNTIFS($U$5:$U$3004,U2666,$V$5:$V$3004,"&lt;&gt;"&amp;V2666,$V$5:$V$3004,"&lt;&gt;",$V$5:$V$3004,"&lt;&gt;Excluded")&gt;0,"LEAK RISK","OK"))</f>
        <v/>
      </c>
      <c r="Z2666" s="30" t="n"/>
    </row>
    <row r="2667">
      <c r="A2667" s="30" t="n"/>
      <c r="B2667" s="30" t="n"/>
      <c r="C2667" s="30" t="n"/>
      <c r="D2667" s="30" t="n"/>
      <c r="E2667" s="30" t="n"/>
      <c r="F2667" s="30" t="n"/>
      <c r="G2667" s="30" t="n"/>
      <c r="H2667" s="30" t="n"/>
      <c r="I2667" s="31" t="n"/>
      <c r="J2667" s="30" t="n"/>
      <c r="K2667" s="30" t="n"/>
      <c r="L2667" s="30" t="n"/>
      <c r="M2667" s="30" t="n"/>
      <c r="N2667" s="32" t="n"/>
      <c r="O2667" s="30" t="n"/>
      <c r="P2667" s="32" t="n"/>
      <c r="Q2667" s="30" t="n"/>
      <c r="R2667" s="32" t="n"/>
      <c r="S2667" s="30" t="n"/>
      <c r="T2667" s="30" t="n"/>
      <c r="U2667" s="30" t="n"/>
      <c r="V2667" s="30" t="n"/>
      <c r="W2667" s="29">
        <f>IF(H2667="","",IF(H2667="Kenya","Yes","No"))</f>
        <v/>
      </c>
      <c r="X2667" s="29">
        <f>IF(B2667="","",IF(COUNTIF($B$5:$B$3004,B2667)&gt;1,"DUPLICATE","OK"))</f>
        <v/>
      </c>
      <c r="Y2667" s="29">
        <f>IF(OR(U2667="",V2667="",V2667="Excluded"),"",IF(COUNTIFS($U$5:$U$3004,U2667,$V$5:$V$3004,"&lt;&gt;"&amp;V2667,$V$5:$V$3004,"&lt;&gt;",$V$5:$V$3004,"&lt;&gt;Excluded")&gt;0,"LEAK RISK","OK"))</f>
        <v/>
      </c>
      <c r="Z2667" s="30" t="n"/>
    </row>
    <row r="2668">
      <c r="A2668" s="30" t="n"/>
      <c r="B2668" s="30" t="n"/>
      <c r="C2668" s="30" t="n"/>
      <c r="D2668" s="30" t="n"/>
      <c r="E2668" s="30" t="n"/>
      <c r="F2668" s="30" t="n"/>
      <c r="G2668" s="30" t="n"/>
      <c r="H2668" s="30" t="n"/>
      <c r="I2668" s="31" t="n"/>
      <c r="J2668" s="30" t="n"/>
      <c r="K2668" s="30" t="n"/>
      <c r="L2668" s="30" t="n"/>
      <c r="M2668" s="30" t="n"/>
      <c r="N2668" s="32" t="n"/>
      <c r="O2668" s="30" t="n"/>
      <c r="P2668" s="32" t="n"/>
      <c r="Q2668" s="30" t="n"/>
      <c r="R2668" s="32" t="n"/>
      <c r="S2668" s="30" t="n"/>
      <c r="T2668" s="30" t="n"/>
      <c r="U2668" s="30" t="n"/>
      <c r="V2668" s="30" t="n"/>
      <c r="W2668" s="29">
        <f>IF(H2668="","",IF(H2668="Kenya","Yes","No"))</f>
        <v/>
      </c>
      <c r="X2668" s="29">
        <f>IF(B2668="","",IF(COUNTIF($B$5:$B$3004,B2668)&gt;1,"DUPLICATE","OK"))</f>
        <v/>
      </c>
      <c r="Y2668" s="29">
        <f>IF(OR(U2668="",V2668="",V2668="Excluded"),"",IF(COUNTIFS($U$5:$U$3004,U2668,$V$5:$V$3004,"&lt;&gt;"&amp;V2668,$V$5:$V$3004,"&lt;&gt;",$V$5:$V$3004,"&lt;&gt;Excluded")&gt;0,"LEAK RISK","OK"))</f>
        <v/>
      </c>
      <c r="Z2668" s="30" t="n"/>
    </row>
    <row r="2669">
      <c r="A2669" s="30" t="n"/>
      <c r="B2669" s="30" t="n"/>
      <c r="C2669" s="30" t="n"/>
      <c r="D2669" s="30" t="n"/>
      <c r="E2669" s="30" t="n"/>
      <c r="F2669" s="30" t="n"/>
      <c r="G2669" s="30" t="n"/>
      <c r="H2669" s="30" t="n"/>
      <c r="I2669" s="31" t="n"/>
      <c r="J2669" s="30" t="n"/>
      <c r="K2669" s="30" t="n"/>
      <c r="L2669" s="30" t="n"/>
      <c r="M2669" s="30" t="n"/>
      <c r="N2669" s="32" t="n"/>
      <c r="O2669" s="30" t="n"/>
      <c r="P2669" s="32" t="n"/>
      <c r="Q2669" s="30" t="n"/>
      <c r="R2669" s="32" t="n"/>
      <c r="S2669" s="30" t="n"/>
      <c r="T2669" s="30" t="n"/>
      <c r="U2669" s="30" t="n"/>
      <c r="V2669" s="30" t="n"/>
      <c r="W2669" s="29">
        <f>IF(H2669="","",IF(H2669="Kenya","Yes","No"))</f>
        <v/>
      </c>
      <c r="X2669" s="29">
        <f>IF(B2669="","",IF(COUNTIF($B$5:$B$3004,B2669)&gt;1,"DUPLICATE","OK"))</f>
        <v/>
      </c>
      <c r="Y2669" s="29">
        <f>IF(OR(U2669="",V2669="",V2669="Excluded"),"",IF(COUNTIFS($U$5:$U$3004,U2669,$V$5:$V$3004,"&lt;&gt;"&amp;V2669,$V$5:$V$3004,"&lt;&gt;",$V$5:$V$3004,"&lt;&gt;Excluded")&gt;0,"LEAK RISK","OK"))</f>
        <v/>
      </c>
      <c r="Z2669" s="30" t="n"/>
    </row>
    <row r="2670">
      <c r="A2670" s="30" t="n"/>
      <c r="B2670" s="30" t="n"/>
      <c r="C2670" s="30" t="n"/>
      <c r="D2670" s="30" t="n"/>
      <c r="E2670" s="30" t="n"/>
      <c r="F2670" s="30" t="n"/>
      <c r="G2670" s="30" t="n"/>
      <c r="H2670" s="30" t="n"/>
      <c r="I2670" s="31" t="n"/>
      <c r="J2670" s="30" t="n"/>
      <c r="K2670" s="30" t="n"/>
      <c r="L2670" s="30" t="n"/>
      <c r="M2670" s="30" t="n"/>
      <c r="N2670" s="32" t="n"/>
      <c r="O2670" s="30" t="n"/>
      <c r="P2670" s="32" t="n"/>
      <c r="Q2670" s="30" t="n"/>
      <c r="R2670" s="32" t="n"/>
      <c r="S2670" s="30" t="n"/>
      <c r="T2670" s="30" t="n"/>
      <c r="U2670" s="30" t="n"/>
      <c r="V2670" s="30" t="n"/>
      <c r="W2670" s="29">
        <f>IF(H2670="","",IF(H2670="Kenya","Yes","No"))</f>
        <v/>
      </c>
      <c r="X2670" s="29">
        <f>IF(B2670="","",IF(COUNTIF($B$5:$B$3004,B2670)&gt;1,"DUPLICATE","OK"))</f>
        <v/>
      </c>
      <c r="Y2670" s="29">
        <f>IF(OR(U2670="",V2670="",V2670="Excluded"),"",IF(COUNTIFS($U$5:$U$3004,U2670,$V$5:$V$3004,"&lt;&gt;"&amp;V2670,$V$5:$V$3004,"&lt;&gt;",$V$5:$V$3004,"&lt;&gt;Excluded")&gt;0,"LEAK RISK","OK"))</f>
        <v/>
      </c>
      <c r="Z2670" s="30" t="n"/>
    </row>
    <row r="2671">
      <c r="A2671" s="30" t="n"/>
      <c r="B2671" s="30" t="n"/>
      <c r="C2671" s="30" t="n"/>
      <c r="D2671" s="30" t="n"/>
      <c r="E2671" s="30" t="n"/>
      <c r="F2671" s="30" t="n"/>
      <c r="G2671" s="30" t="n"/>
      <c r="H2671" s="30" t="n"/>
      <c r="I2671" s="31" t="n"/>
      <c r="J2671" s="30" t="n"/>
      <c r="K2671" s="30" t="n"/>
      <c r="L2671" s="30" t="n"/>
      <c r="M2671" s="30" t="n"/>
      <c r="N2671" s="32" t="n"/>
      <c r="O2671" s="30" t="n"/>
      <c r="P2671" s="32" t="n"/>
      <c r="Q2671" s="30" t="n"/>
      <c r="R2671" s="32" t="n"/>
      <c r="S2671" s="30" t="n"/>
      <c r="T2671" s="30" t="n"/>
      <c r="U2671" s="30" t="n"/>
      <c r="V2671" s="30" t="n"/>
      <c r="W2671" s="29">
        <f>IF(H2671="","",IF(H2671="Kenya","Yes","No"))</f>
        <v/>
      </c>
      <c r="X2671" s="29">
        <f>IF(B2671="","",IF(COUNTIF($B$5:$B$3004,B2671)&gt;1,"DUPLICATE","OK"))</f>
        <v/>
      </c>
      <c r="Y2671" s="29">
        <f>IF(OR(U2671="",V2671="",V2671="Excluded"),"",IF(COUNTIFS($U$5:$U$3004,U2671,$V$5:$V$3004,"&lt;&gt;"&amp;V2671,$V$5:$V$3004,"&lt;&gt;",$V$5:$V$3004,"&lt;&gt;Excluded")&gt;0,"LEAK RISK","OK"))</f>
        <v/>
      </c>
      <c r="Z2671" s="30" t="n"/>
    </row>
    <row r="2672">
      <c r="A2672" s="30" t="n"/>
      <c r="B2672" s="30" t="n"/>
      <c r="C2672" s="30" t="n"/>
      <c r="D2672" s="30" t="n"/>
      <c r="E2672" s="30" t="n"/>
      <c r="F2672" s="30" t="n"/>
      <c r="G2672" s="30" t="n"/>
      <c r="H2672" s="30" t="n"/>
      <c r="I2672" s="31" t="n"/>
      <c r="J2672" s="30" t="n"/>
      <c r="K2672" s="30" t="n"/>
      <c r="L2672" s="30" t="n"/>
      <c r="M2672" s="30" t="n"/>
      <c r="N2672" s="32" t="n"/>
      <c r="O2672" s="30" t="n"/>
      <c r="P2672" s="32" t="n"/>
      <c r="Q2672" s="30" t="n"/>
      <c r="R2672" s="32" t="n"/>
      <c r="S2672" s="30" t="n"/>
      <c r="T2672" s="30" t="n"/>
      <c r="U2672" s="30" t="n"/>
      <c r="V2672" s="30" t="n"/>
      <c r="W2672" s="29">
        <f>IF(H2672="","",IF(H2672="Kenya","Yes","No"))</f>
        <v/>
      </c>
      <c r="X2672" s="29">
        <f>IF(B2672="","",IF(COUNTIF($B$5:$B$3004,B2672)&gt;1,"DUPLICATE","OK"))</f>
        <v/>
      </c>
      <c r="Y2672" s="29">
        <f>IF(OR(U2672="",V2672="",V2672="Excluded"),"",IF(COUNTIFS($U$5:$U$3004,U2672,$V$5:$V$3004,"&lt;&gt;"&amp;V2672,$V$5:$V$3004,"&lt;&gt;",$V$5:$V$3004,"&lt;&gt;Excluded")&gt;0,"LEAK RISK","OK"))</f>
        <v/>
      </c>
      <c r="Z2672" s="30" t="n"/>
    </row>
    <row r="2673">
      <c r="A2673" s="30" t="n"/>
      <c r="B2673" s="30" t="n"/>
      <c r="C2673" s="30" t="n"/>
      <c r="D2673" s="30" t="n"/>
      <c r="E2673" s="30" t="n"/>
      <c r="F2673" s="30" t="n"/>
      <c r="G2673" s="30" t="n"/>
      <c r="H2673" s="30" t="n"/>
      <c r="I2673" s="31" t="n"/>
      <c r="J2673" s="30" t="n"/>
      <c r="K2673" s="30" t="n"/>
      <c r="L2673" s="30" t="n"/>
      <c r="M2673" s="30" t="n"/>
      <c r="N2673" s="32" t="n"/>
      <c r="O2673" s="30" t="n"/>
      <c r="P2673" s="32" t="n"/>
      <c r="Q2673" s="30" t="n"/>
      <c r="R2673" s="32" t="n"/>
      <c r="S2673" s="30" t="n"/>
      <c r="T2673" s="30" t="n"/>
      <c r="U2673" s="30" t="n"/>
      <c r="V2673" s="30" t="n"/>
      <c r="W2673" s="29">
        <f>IF(H2673="","",IF(H2673="Kenya","Yes","No"))</f>
        <v/>
      </c>
      <c r="X2673" s="29">
        <f>IF(B2673="","",IF(COUNTIF($B$5:$B$3004,B2673)&gt;1,"DUPLICATE","OK"))</f>
        <v/>
      </c>
      <c r="Y2673" s="29">
        <f>IF(OR(U2673="",V2673="",V2673="Excluded"),"",IF(COUNTIFS($U$5:$U$3004,U2673,$V$5:$V$3004,"&lt;&gt;"&amp;V2673,$V$5:$V$3004,"&lt;&gt;",$V$5:$V$3004,"&lt;&gt;Excluded")&gt;0,"LEAK RISK","OK"))</f>
        <v/>
      </c>
      <c r="Z2673" s="30" t="n"/>
    </row>
    <row r="2674">
      <c r="A2674" s="30" t="n"/>
      <c r="B2674" s="30" t="n"/>
      <c r="C2674" s="30" t="n"/>
      <c r="D2674" s="30" t="n"/>
      <c r="E2674" s="30" t="n"/>
      <c r="F2674" s="30" t="n"/>
      <c r="G2674" s="30" t="n"/>
      <c r="H2674" s="30" t="n"/>
      <c r="I2674" s="31" t="n"/>
      <c r="J2674" s="30" t="n"/>
      <c r="K2674" s="30" t="n"/>
      <c r="L2674" s="30" t="n"/>
      <c r="M2674" s="30" t="n"/>
      <c r="N2674" s="32" t="n"/>
      <c r="O2674" s="30" t="n"/>
      <c r="P2674" s="32" t="n"/>
      <c r="Q2674" s="30" t="n"/>
      <c r="R2674" s="32" t="n"/>
      <c r="S2674" s="30" t="n"/>
      <c r="T2674" s="30" t="n"/>
      <c r="U2674" s="30" t="n"/>
      <c r="V2674" s="30" t="n"/>
      <c r="W2674" s="29">
        <f>IF(H2674="","",IF(H2674="Kenya","Yes","No"))</f>
        <v/>
      </c>
      <c r="X2674" s="29">
        <f>IF(B2674="","",IF(COUNTIF($B$5:$B$3004,B2674)&gt;1,"DUPLICATE","OK"))</f>
        <v/>
      </c>
      <c r="Y2674" s="29">
        <f>IF(OR(U2674="",V2674="",V2674="Excluded"),"",IF(COUNTIFS($U$5:$U$3004,U2674,$V$5:$V$3004,"&lt;&gt;"&amp;V2674,$V$5:$V$3004,"&lt;&gt;",$V$5:$V$3004,"&lt;&gt;Excluded")&gt;0,"LEAK RISK","OK"))</f>
        <v/>
      </c>
      <c r="Z2674" s="30" t="n"/>
    </row>
    <row r="2675">
      <c r="A2675" s="30" t="n"/>
      <c r="B2675" s="30" t="n"/>
      <c r="C2675" s="30" t="n"/>
      <c r="D2675" s="30" t="n"/>
      <c r="E2675" s="30" t="n"/>
      <c r="F2675" s="30" t="n"/>
      <c r="G2675" s="30" t="n"/>
      <c r="H2675" s="30" t="n"/>
      <c r="I2675" s="31" t="n"/>
      <c r="J2675" s="30" t="n"/>
      <c r="K2675" s="30" t="n"/>
      <c r="L2675" s="30" t="n"/>
      <c r="M2675" s="30" t="n"/>
      <c r="N2675" s="32" t="n"/>
      <c r="O2675" s="30" t="n"/>
      <c r="P2675" s="32" t="n"/>
      <c r="Q2675" s="30" t="n"/>
      <c r="R2675" s="32" t="n"/>
      <c r="S2675" s="30" t="n"/>
      <c r="T2675" s="30" t="n"/>
      <c r="U2675" s="30" t="n"/>
      <c r="V2675" s="30" t="n"/>
      <c r="W2675" s="29">
        <f>IF(H2675="","",IF(H2675="Kenya","Yes","No"))</f>
        <v/>
      </c>
      <c r="X2675" s="29">
        <f>IF(B2675="","",IF(COUNTIF($B$5:$B$3004,B2675)&gt;1,"DUPLICATE","OK"))</f>
        <v/>
      </c>
      <c r="Y2675" s="29">
        <f>IF(OR(U2675="",V2675="",V2675="Excluded"),"",IF(COUNTIFS($U$5:$U$3004,U2675,$V$5:$V$3004,"&lt;&gt;"&amp;V2675,$V$5:$V$3004,"&lt;&gt;",$V$5:$V$3004,"&lt;&gt;Excluded")&gt;0,"LEAK RISK","OK"))</f>
        <v/>
      </c>
      <c r="Z2675" s="30" t="n"/>
    </row>
    <row r="2676">
      <c r="A2676" s="30" t="n"/>
      <c r="B2676" s="30" t="n"/>
      <c r="C2676" s="30" t="n"/>
      <c r="D2676" s="30" t="n"/>
      <c r="E2676" s="30" t="n"/>
      <c r="F2676" s="30" t="n"/>
      <c r="G2676" s="30" t="n"/>
      <c r="H2676" s="30" t="n"/>
      <c r="I2676" s="31" t="n"/>
      <c r="J2676" s="30" t="n"/>
      <c r="K2676" s="30" t="n"/>
      <c r="L2676" s="30" t="n"/>
      <c r="M2676" s="30" t="n"/>
      <c r="N2676" s="32" t="n"/>
      <c r="O2676" s="30" t="n"/>
      <c r="P2676" s="32" t="n"/>
      <c r="Q2676" s="30" t="n"/>
      <c r="R2676" s="32" t="n"/>
      <c r="S2676" s="30" t="n"/>
      <c r="T2676" s="30" t="n"/>
      <c r="U2676" s="30" t="n"/>
      <c r="V2676" s="30" t="n"/>
      <c r="W2676" s="29">
        <f>IF(H2676="","",IF(H2676="Kenya","Yes","No"))</f>
        <v/>
      </c>
      <c r="X2676" s="29">
        <f>IF(B2676="","",IF(COUNTIF($B$5:$B$3004,B2676)&gt;1,"DUPLICATE","OK"))</f>
        <v/>
      </c>
      <c r="Y2676" s="29">
        <f>IF(OR(U2676="",V2676="",V2676="Excluded"),"",IF(COUNTIFS($U$5:$U$3004,U2676,$V$5:$V$3004,"&lt;&gt;"&amp;V2676,$V$5:$V$3004,"&lt;&gt;",$V$5:$V$3004,"&lt;&gt;Excluded")&gt;0,"LEAK RISK","OK"))</f>
        <v/>
      </c>
      <c r="Z2676" s="30" t="n"/>
    </row>
    <row r="2677">
      <c r="A2677" s="30" t="n"/>
      <c r="B2677" s="30" t="n"/>
      <c r="C2677" s="30" t="n"/>
      <c r="D2677" s="30" t="n"/>
      <c r="E2677" s="30" t="n"/>
      <c r="F2677" s="30" t="n"/>
      <c r="G2677" s="30" t="n"/>
      <c r="H2677" s="30" t="n"/>
      <c r="I2677" s="31" t="n"/>
      <c r="J2677" s="30" t="n"/>
      <c r="K2677" s="30" t="n"/>
      <c r="L2677" s="30" t="n"/>
      <c r="M2677" s="30" t="n"/>
      <c r="N2677" s="32" t="n"/>
      <c r="O2677" s="30" t="n"/>
      <c r="P2677" s="32" t="n"/>
      <c r="Q2677" s="30" t="n"/>
      <c r="R2677" s="32" t="n"/>
      <c r="S2677" s="30" t="n"/>
      <c r="T2677" s="30" t="n"/>
      <c r="U2677" s="30" t="n"/>
      <c r="V2677" s="30" t="n"/>
      <c r="W2677" s="29">
        <f>IF(H2677="","",IF(H2677="Kenya","Yes","No"))</f>
        <v/>
      </c>
      <c r="X2677" s="29">
        <f>IF(B2677="","",IF(COUNTIF($B$5:$B$3004,B2677)&gt;1,"DUPLICATE","OK"))</f>
        <v/>
      </c>
      <c r="Y2677" s="29">
        <f>IF(OR(U2677="",V2677="",V2677="Excluded"),"",IF(COUNTIFS($U$5:$U$3004,U2677,$V$5:$V$3004,"&lt;&gt;"&amp;V2677,$V$5:$V$3004,"&lt;&gt;",$V$5:$V$3004,"&lt;&gt;Excluded")&gt;0,"LEAK RISK","OK"))</f>
        <v/>
      </c>
      <c r="Z2677" s="30" t="n"/>
    </row>
    <row r="2678">
      <c r="A2678" s="30" t="n"/>
      <c r="B2678" s="30" t="n"/>
      <c r="C2678" s="30" t="n"/>
      <c r="D2678" s="30" t="n"/>
      <c r="E2678" s="30" t="n"/>
      <c r="F2678" s="30" t="n"/>
      <c r="G2678" s="30" t="n"/>
      <c r="H2678" s="30" t="n"/>
      <c r="I2678" s="31" t="n"/>
      <c r="J2678" s="30" t="n"/>
      <c r="K2678" s="30" t="n"/>
      <c r="L2678" s="30" t="n"/>
      <c r="M2678" s="30" t="n"/>
      <c r="N2678" s="32" t="n"/>
      <c r="O2678" s="30" t="n"/>
      <c r="P2678" s="32" t="n"/>
      <c r="Q2678" s="30" t="n"/>
      <c r="R2678" s="32" t="n"/>
      <c r="S2678" s="30" t="n"/>
      <c r="T2678" s="30" t="n"/>
      <c r="U2678" s="30" t="n"/>
      <c r="V2678" s="30" t="n"/>
      <c r="W2678" s="29">
        <f>IF(H2678="","",IF(H2678="Kenya","Yes","No"))</f>
        <v/>
      </c>
      <c r="X2678" s="29">
        <f>IF(B2678="","",IF(COUNTIF($B$5:$B$3004,B2678)&gt;1,"DUPLICATE","OK"))</f>
        <v/>
      </c>
      <c r="Y2678" s="29">
        <f>IF(OR(U2678="",V2678="",V2678="Excluded"),"",IF(COUNTIFS($U$5:$U$3004,U2678,$V$5:$V$3004,"&lt;&gt;"&amp;V2678,$V$5:$V$3004,"&lt;&gt;",$V$5:$V$3004,"&lt;&gt;Excluded")&gt;0,"LEAK RISK","OK"))</f>
        <v/>
      </c>
      <c r="Z2678" s="30" t="n"/>
    </row>
    <row r="2679">
      <c r="A2679" s="30" t="n"/>
      <c r="B2679" s="30" t="n"/>
      <c r="C2679" s="30" t="n"/>
      <c r="D2679" s="30" t="n"/>
      <c r="E2679" s="30" t="n"/>
      <c r="F2679" s="30" t="n"/>
      <c r="G2679" s="30" t="n"/>
      <c r="H2679" s="30" t="n"/>
      <c r="I2679" s="31" t="n"/>
      <c r="J2679" s="30" t="n"/>
      <c r="K2679" s="30" t="n"/>
      <c r="L2679" s="30" t="n"/>
      <c r="M2679" s="30" t="n"/>
      <c r="N2679" s="32" t="n"/>
      <c r="O2679" s="30" t="n"/>
      <c r="P2679" s="32" t="n"/>
      <c r="Q2679" s="30" t="n"/>
      <c r="R2679" s="32" t="n"/>
      <c r="S2679" s="30" t="n"/>
      <c r="T2679" s="30" t="n"/>
      <c r="U2679" s="30" t="n"/>
      <c r="V2679" s="30" t="n"/>
      <c r="W2679" s="29">
        <f>IF(H2679="","",IF(H2679="Kenya","Yes","No"))</f>
        <v/>
      </c>
      <c r="X2679" s="29">
        <f>IF(B2679="","",IF(COUNTIF($B$5:$B$3004,B2679)&gt;1,"DUPLICATE","OK"))</f>
        <v/>
      </c>
      <c r="Y2679" s="29">
        <f>IF(OR(U2679="",V2679="",V2679="Excluded"),"",IF(COUNTIFS($U$5:$U$3004,U2679,$V$5:$V$3004,"&lt;&gt;"&amp;V2679,$V$5:$V$3004,"&lt;&gt;",$V$5:$V$3004,"&lt;&gt;Excluded")&gt;0,"LEAK RISK","OK"))</f>
        <v/>
      </c>
      <c r="Z2679" s="30" t="n"/>
    </row>
    <row r="2680">
      <c r="A2680" s="30" t="n"/>
      <c r="B2680" s="30" t="n"/>
      <c r="C2680" s="30" t="n"/>
      <c r="D2680" s="30" t="n"/>
      <c r="E2680" s="30" t="n"/>
      <c r="F2680" s="30" t="n"/>
      <c r="G2680" s="30" t="n"/>
      <c r="H2680" s="30" t="n"/>
      <c r="I2680" s="31" t="n"/>
      <c r="J2680" s="30" t="n"/>
      <c r="K2680" s="30" t="n"/>
      <c r="L2680" s="30" t="n"/>
      <c r="M2680" s="30" t="n"/>
      <c r="N2680" s="32" t="n"/>
      <c r="O2680" s="30" t="n"/>
      <c r="P2680" s="32" t="n"/>
      <c r="Q2680" s="30" t="n"/>
      <c r="R2680" s="32" t="n"/>
      <c r="S2680" s="30" t="n"/>
      <c r="T2680" s="30" t="n"/>
      <c r="U2680" s="30" t="n"/>
      <c r="V2680" s="30" t="n"/>
      <c r="W2680" s="29">
        <f>IF(H2680="","",IF(H2680="Kenya","Yes","No"))</f>
        <v/>
      </c>
      <c r="X2680" s="29">
        <f>IF(B2680="","",IF(COUNTIF($B$5:$B$3004,B2680)&gt;1,"DUPLICATE","OK"))</f>
        <v/>
      </c>
      <c r="Y2680" s="29">
        <f>IF(OR(U2680="",V2680="",V2680="Excluded"),"",IF(COUNTIFS($U$5:$U$3004,U2680,$V$5:$V$3004,"&lt;&gt;"&amp;V2680,$V$5:$V$3004,"&lt;&gt;",$V$5:$V$3004,"&lt;&gt;Excluded")&gt;0,"LEAK RISK","OK"))</f>
        <v/>
      </c>
      <c r="Z2680" s="30" t="n"/>
    </row>
    <row r="2681">
      <c r="A2681" s="30" t="n"/>
      <c r="B2681" s="30" t="n"/>
      <c r="C2681" s="30" t="n"/>
      <c r="D2681" s="30" t="n"/>
      <c r="E2681" s="30" t="n"/>
      <c r="F2681" s="30" t="n"/>
      <c r="G2681" s="30" t="n"/>
      <c r="H2681" s="30" t="n"/>
      <c r="I2681" s="31" t="n"/>
      <c r="J2681" s="30" t="n"/>
      <c r="K2681" s="30" t="n"/>
      <c r="L2681" s="30" t="n"/>
      <c r="M2681" s="30" t="n"/>
      <c r="N2681" s="32" t="n"/>
      <c r="O2681" s="30" t="n"/>
      <c r="P2681" s="32" t="n"/>
      <c r="Q2681" s="30" t="n"/>
      <c r="R2681" s="32" t="n"/>
      <c r="S2681" s="30" t="n"/>
      <c r="T2681" s="30" t="n"/>
      <c r="U2681" s="30" t="n"/>
      <c r="V2681" s="30" t="n"/>
      <c r="W2681" s="29">
        <f>IF(H2681="","",IF(H2681="Kenya","Yes","No"))</f>
        <v/>
      </c>
      <c r="X2681" s="29">
        <f>IF(B2681="","",IF(COUNTIF($B$5:$B$3004,B2681)&gt;1,"DUPLICATE","OK"))</f>
        <v/>
      </c>
      <c r="Y2681" s="29">
        <f>IF(OR(U2681="",V2681="",V2681="Excluded"),"",IF(COUNTIFS($U$5:$U$3004,U2681,$V$5:$V$3004,"&lt;&gt;"&amp;V2681,$V$5:$V$3004,"&lt;&gt;",$V$5:$V$3004,"&lt;&gt;Excluded")&gt;0,"LEAK RISK","OK"))</f>
        <v/>
      </c>
      <c r="Z2681" s="30" t="n"/>
    </row>
    <row r="2682">
      <c r="A2682" s="30" t="n"/>
      <c r="B2682" s="30" t="n"/>
      <c r="C2682" s="30" t="n"/>
      <c r="D2682" s="30" t="n"/>
      <c r="E2682" s="30" t="n"/>
      <c r="F2682" s="30" t="n"/>
      <c r="G2682" s="30" t="n"/>
      <c r="H2682" s="30" t="n"/>
      <c r="I2682" s="31" t="n"/>
      <c r="J2682" s="30" t="n"/>
      <c r="K2682" s="30" t="n"/>
      <c r="L2682" s="30" t="n"/>
      <c r="M2682" s="30" t="n"/>
      <c r="N2682" s="32" t="n"/>
      <c r="O2682" s="30" t="n"/>
      <c r="P2682" s="32" t="n"/>
      <c r="Q2682" s="30" t="n"/>
      <c r="R2682" s="32" t="n"/>
      <c r="S2682" s="30" t="n"/>
      <c r="T2682" s="30" t="n"/>
      <c r="U2682" s="30" t="n"/>
      <c r="V2682" s="30" t="n"/>
      <c r="W2682" s="29">
        <f>IF(H2682="","",IF(H2682="Kenya","Yes","No"))</f>
        <v/>
      </c>
      <c r="X2682" s="29">
        <f>IF(B2682="","",IF(COUNTIF($B$5:$B$3004,B2682)&gt;1,"DUPLICATE","OK"))</f>
        <v/>
      </c>
      <c r="Y2682" s="29">
        <f>IF(OR(U2682="",V2682="",V2682="Excluded"),"",IF(COUNTIFS($U$5:$U$3004,U2682,$V$5:$V$3004,"&lt;&gt;"&amp;V2682,$V$5:$V$3004,"&lt;&gt;",$V$5:$V$3004,"&lt;&gt;Excluded")&gt;0,"LEAK RISK","OK"))</f>
        <v/>
      </c>
      <c r="Z2682" s="30" t="n"/>
    </row>
    <row r="2683">
      <c r="A2683" s="30" t="n"/>
      <c r="B2683" s="30" t="n"/>
      <c r="C2683" s="30" t="n"/>
      <c r="D2683" s="30" t="n"/>
      <c r="E2683" s="30" t="n"/>
      <c r="F2683" s="30" t="n"/>
      <c r="G2683" s="30" t="n"/>
      <c r="H2683" s="30" t="n"/>
      <c r="I2683" s="31" t="n"/>
      <c r="J2683" s="30" t="n"/>
      <c r="K2683" s="30" t="n"/>
      <c r="L2683" s="30" t="n"/>
      <c r="M2683" s="30" t="n"/>
      <c r="N2683" s="32" t="n"/>
      <c r="O2683" s="30" t="n"/>
      <c r="P2683" s="32" t="n"/>
      <c r="Q2683" s="30" t="n"/>
      <c r="R2683" s="32" t="n"/>
      <c r="S2683" s="30" t="n"/>
      <c r="T2683" s="30" t="n"/>
      <c r="U2683" s="30" t="n"/>
      <c r="V2683" s="30" t="n"/>
      <c r="W2683" s="29">
        <f>IF(H2683="","",IF(H2683="Kenya","Yes","No"))</f>
        <v/>
      </c>
      <c r="X2683" s="29">
        <f>IF(B2683="","",IF(COUNTIF($B$5:$B$3004,B2683)&gt;1,"DUPLICATE","OK"))</f>
        <v/>
      </c>
      <c r="Y2683" s="29">
        <f>IF(OR(U2683="",V2683="",V2683="Excluded"),"",IF(COUNTIFS($U$5:$U$3004,U2683,$V$5:$V$3004,"&lt;&gt;"&amp;V2683,$V$5:$V$3004,"&lt;&gt;",$V$5:$V$3004,"&lt;&gt;Excluded")&gt;0,"LEAK RISK","OK"))</f>
        <v/>
      </c>
      <c r="Z2683" s="30" t="n"/>
    </row>
    <row r="2684">
      <c r="A2684" s="30" t="n"/>
      <c r="B2684" s="30" t="n"/>
      <c r="C2684" s="30" t="n"/>
      <c r="D2684" s="30" t="n"/>
      <c r="E2684" s="30" t="n"/>
      <c r="F2684" s="30" t="n"/>
      <c r="G2684" s="30" t="n"/>
      <c r="H2684" s="30" t="n"/>
      <c r="I2684" s="31" t="n"/>
      <c r="J2684" s="30" t="n"/>
      <c r="K2684" s="30" t="n"/>
      <c r="L2684" s="30" t="n"/>
      <c r="M2684" s="30" t="n"/>
      <c r="N2684" s="32" t="n"/>
      <c r="O2684" s="30" t="n"/>
      <c r="P2684" s="32" t="n"/>
      <c r="Q2684" s="30" t="n"/>
      <c r="R2684" s="32" t="n"/>
      <c r="S2684" s="30" t="n"/>
      <c r="T2684" s="30" t="n"/>
      <c r="U2684" s="30" t="n"/>
      <c r="V2684" s="30" t="n"/>
      <c r="W2684" s="29">
        <f>IF(H2684="","",IF(H2684="Kenya","Yes","No"))</f>
        <v/>
      </c>
      <c r="X2684" s="29">
        <f>IF(B2684="","",IF(COUNTIF($B$5:$B$3004,B2684)&gt;1,"DUPLICATE","OK"))</f>
        <v/>
      </c>
      <c r="Y2684" s="29">
        <f>IF(OR(U2684="",V2684="",V2684="Excluded"),"",IF(COUNTIFS($U$5:$U$3004,U2684,$V$5:$V$3004,"&lt;&gt;"&amp;V2684,$V$5:$V$3004,"&lt;&gt;",$V$5:$V$3004,"&lt;&gt;Excluded")&gt;0,"LEAK RISK","OK"))</f>
        <v/>
      </c>
      <c r="Z2684" s="30" t="n"/>
    </row>
    <row r="2685">
      <c r="A2685" s="30" t="n"/>
      <c r="B2685" s="30" t="n"/>
      <c r="C2685" s="30" t="n"/>
      <c r="D2685" s="30" t="n"/>
      <c r="E2685" s="30" t="n"/>
      <c r="F2685" s="30" t="n"/>
      <c r="G2685" s="30" t="n"/>
      <c r="H2685" s="30" t="n"/>
      <c r="I2685" s="31" t="n"/>
      <c r="J2685" s="30" t="n"/>
      <c r="K2685" s="30" t="n"/>
      <c r="L2685" s="30" t="n"/>
      <c r="M2685" s="30" t="n"/>
      <c r="N2685" s="32" t="n"/>
      <c r="O2685" s="30" t="n"/>
      <c r="P2685" s="32" t="n"/>
      <c r="Q2685" s="30" t="n"/>
      <c r="R2685" s="32" t="n"/>
      <c r="S2685" s="30" t="n"/>
      <c r="T2685" s="30" t="n"/>
      <c r="U2685" s="30" t="n"/>
      <c r="V2685" s="30" t="n"/>
      <c r="W2685" s="29">
        <f>IF(H2685="","",IF(H2685="Kenya","Yes","No"))</f>
        <v/>
      </c>
      <c r="X2685" s="29">
        <f>IF(B2685="","",IF(COUNTIF($B$5:$B$3004,B2685)&gt;1,"DUPLICATE","OK"))</f>
        <v/>
      </c>
      <c r="Y2685" s="29">
        <f>IF(OR(U2685="",V2685="",V2685="Excluded"),"",IF(COUNTIFS($U$5:$U$3004,U2685,$V$5:$V$3004,"&lt;&gt;"&amp;V2685,$V$5:$V$3004,"&lt;&gt;",$V$5:$V$3004,"&lt;&gt;Excluded")&gt;0,"LEAK RISK","OK"))</f>
        <v/>
      </c>
      <c r="Z2685" s="30" t="n"/>
    </row>
    <row r="2686">
      <c r="A2686" s="30" t="n"/>
      <c r="B2686" s="30" t="n"/>
      <c r="C2686" s="30" t="n"/>
      <c r="D2686" s="30" t="n"/>
      <c r="E2686" s="30" t="n"/>
      <c r="F2686" s="30" t="n"/>
      <c r="G2686" s="30" t="n"/>
      <c r="H2686" s="30" t="n"/>
      <c r="I2686" s="31" t="n"/>
      <c r="J2686" s="30" t="n"/>
      <c r="K2686" s="30" t="n"/>
      <c r="L2686" s="30" t="n"/>
      <c r="M2686" s="30" t="n"/>
      <c r="N2686" s="32" t="n"/>
      <c r="O2686" s="30" t="n"/>
      <c r="P2686" s="32" t="n"/>
      <c r="Q2686" s="30" t="n"/>
      <c r="R2686" s="32" t="n"/>
      <c r="S2686" s="30" t="n"/>
      <c r="T2686" s="30" t="n"/>
      <c r="U2686" s="30" t="n"/>
      <c r="V2686" s="30" t="n"/>
      <c r="W2686" s="29">
        <f>IF(H2686="","",IF(H2686="Kenya","Yes","No"))</f>
        <v/>
      </c>
      <c r="X2686" s="29">
        <f>IF(B2686="","",IF(COUNTIF($B$5:$B$3004,B2686)&gt;1,"DUPLICATE","OK"))</f>
        <v/>
      </c>
      <c r="Y2686" s="29">
        <f>IF(OR(U2686="",V2686="",V2686="Excluded"),"",IF(COUNTIFS($U$5:$U$3004,U2686,$V$5:$V$3004,"&lt;&gt;"&amp;V2686,$V$5:$V$3004,"&lt;&gt;",$V$5:$V$3004,"&lt;&gt;Excluded")&gt;0,"LEAK RISK","OK"))</f>
        <v/>
      </c>
      <c r="Z2686" s="30" t="n"/>
    </row>
    <row r="2687">
      <c r="A2687" s="30" t="n"/>
      <c r="B2687" s="30" t="n"/>
      <c r="C2687" s="30" t="n"/>
      <c r="D2687" s="30" t="n"/>
      <c r="E2687" s="30" t="n"/>
      <c r="F2687" s="30" t="n"/>
      <c r="G2687" s="30" t="n"/>
      <c r="H2687" s="30" t="n"/>
      <c r="I2687" s="31" t="n"/>
      <c r="J2687" s="30" t="n"/>
      <c r="K2687" s="30" t="n"/>
      <c r="L2687" s="30" t="n"/>
      <c r="M2687" s="30" t="n"/>
      <c r="N2687" s="32" t="n"/>
      <c r="O2687" s="30" t="n"/>
      <c r="P2687" s="32" t="n"/>
      <c r="Q2687" s="30" t="n"/>
      <c r="R2687" s="32" t="n"/>
      <c r="S2687" s="30" t="n"/>
      <c r="T2687" s="30" t="n"/>
      <c r="U2687" s="30" t="n"/>
      <c r="V2687" s="30" t="n"/>
      <c r="W2687" s="29">
        <f>IF(H2687="","",IF(H2687="Kenya","Yes","No"))</f>
        <v/>
      </c>
      <c r="X2687" s="29">
        <f>IF(B2687="","",IF(COUNTIF($B$5:$B$3004,B2687)&gt;1,"DUPLICATE","OK"))</f>
        <v/>
      </c>
      <c r="Y2687" s="29">
        <f>IF(OR(U2687="",V2687="",V2687="Excluded"),"",IF(COUNTIFS($U$5:$U$3004,U2687,$V$5:$V$3004,"&lt;&gt;"&amp;V2687,$V$5:$V$3004,"&lt;&gt;",$V$5:$V$3004,"&lt;&gt;Excluded")&gt;0,"LEAK RISK","OK"))</f>
        <v/>
      </c>
      <c r="Z2687" s="30" t="n"/>
    </row>
    <row r="2688">
      <c r="A2688" s="30" t="n"/>
      <c r="B2688" s="30" t="n"/>
      <c r="C2688" s="30" t="n"/>
      <c r="D2688" s="30" t="n"/>
      <c r="E2688" s="30" t="n"/>
      <c r="F2688" s="30" t="n"/>
      <c r="G2688" s="30" t="n"/>
      <c r="H2688" s="30" t="n"/>
      <c r="I2688" s="31" t="n"/>
      <c r="J2688" s="30" t="n"/>
      <c r="K2688" s="30" t="n"/>
      <c r="L2688" s="30" t="n"/>
      <c r="M2688" s="30" t="n"/>
      <c r="N2688" s="32" t="n"/>
      <c r="O2688" s="30" t="n"/>
      <c r="P2688" s="32" t="n"/>
      <c r="Q2688" s="30" t="n"/>
      <c r="R2688" s="32" t="n"/>
      <c r="S2688" s="30" t="n"/>
      <c r="T2688" s="30" t="n"/>
      <c r="U2688" s="30" t="n"/>
      <c r="V2688" s="30" t="n"/>
      <c r="W2688" s="29">
        <f>IF(H2688="","",IF(H2688="Kenya","Yes","No"))</f>
        <v/>
      </c>
      <c r="X2688" s="29">
        <f>IF(B2688="","",IF(COUNTIF($B$5:$B$3004,B2688)&gt;1,"DUPLICATE","OK"))</f>
        <v/>
      </c>
      <c r="Y2688" s="29">
        <f>IF(OR(U2688="",V2688="",V2688="Excluded"),"",IF(COUNTIFS($U$5:$U$3004,U2688,$V$5:$V$3004,"&lt;&gt;"&amp;V2688,$V$5:$V$3004,"&lt;&gt;",$V$5:$V$3004,"&lt;&gt;Excluded")&gt;0,"LEAK RISK","OK"))</f>
        <v/>
      </c>
      <c r="Z2688" s="30" t="n"/>
    </row>
    <row r="2689">
      <c r="A2689" s="30" t="n"/>
      <c r="B2689" s="30" t="n"/>
      <c r="C2689" s="30" t="n"/>
      <c r="D2689" s="30" t="n"/>
      <c r="E2689" s="30" t="n"/>
      <c r="F2689" s="30" t="n"/>
      <c r="G2689" s="30" t="n"/>
      <c r="H2689" s="30" t="n"/>
      <c r="I2689" s="31" t="n"/>
      <c r="J2689" s="30" t="n"/>
      <c r="K2689" s="30" t="n"/>
      <c r="L2689" s="30" t="n"/>
      <c r="M2689" s="30" t="n"/>
      <c r="N2689" s="32" t="n"/>
      <c r="O2689" s="30" t="n"/>
      <c r="P2689" s="32" t="n"/>
      <c r="Q2689" s="30" t="n"/>
      <c r="R2689" s="32" t="n"/>
      <c r="S2689" s="30" t="n"/>
      <c r="T2689" s="30" t="n"/>
      <c r="U2689" s="30" t="n"/>
      <c r="V2689" s="30" t="n"/>
      <c r="W2689" s="29">
        <f>IF(H2689="","",IF(H2689="Kenya","Yes","No"))</f>
        <v/>
      </c>
      <c r="X2689" s="29">
        <f>IF(B2689="","",IF(COUNTIF($B$5:$B$3004,B2689)&gt;1,"DUPLICATE","OK"))</f>
        <v/>
      </c>
      <c r="Y2689" s="29">
        <f>IF(OR(U2689="",V2689="",V2689="Excluded"),"",IF(COUNTIFS($U$5:$U$3004,U2689,$V$5:$V$3004,"&lt;&gt;"&amp;V2689,$V$5:$V$3004,"&lt;&gt;",$V$5:$V$3004,"&lt;&gt;Excluded")&gt;0,"LEAK RISK","OK"))</f>
        <v/>
      </c>
      <c r="Z2689" s="30" t="n"/>
    </row>
    <row r="2690">
      <c r="A2690" s="30" t="n"/>
      <c r="B2690" s="30" t="n"/>
      <c r="C2690" s="30" t="n"/>
      <c r="D2690" s="30" t="n"/>
      <c r="E2690" s="30" t="n"/>
      <c r="F2690" s="30" t="n"/>
      <c r="G2690" s="30" t="n"/>
      <c r="H2690" s="30" t="n"/>
      <c r="I2690" s="31" t="n"/>
      <c r="J2690" s="30" t="n"/>
      <c r="K2690" s="30" t="n"/>
      <c r="L2690" s="30" t="n"/>
      <c r="M2690" s="30" t="n"/>
      <c r="N2690" s="32" t="n"/>
      <c r="O2690" s="30" t="n"/>
      <c r="P2690" s="32" t="n"/>
      <c r="Q2690" s="30" t="n"/>
      <c r="R2690" s="32" t="n"/>
      <c r="S2690" s="30" t="n"/>
      <c r="T2690" s="30" t="n"/>
      <c r="U2690" s="30" t="n"/>
      <c r="V2690" s="30" t="n"/>
      <c r="W2690" s="29">
        <f>IF(H2690="","",IF(H2690="Kenya","Yes","No"))</f>
        <v/>
      </c>
      <c r="X2690" s="29">
        <f>IF(B2690="","",IF(COUNTIF($B$5:$B$3004,B2690)&gt;1,"DUPLICATE","OK"))</f>
        <v/>
      </c>
      <c r="Y2690" s="29">
        <f>IF(OR(U2690="",V2690="",V2690="Excluded"),"",IF(COUNTIFS($U$5:$U$3004,U2690,$V$5:$V$3004,"&lt;&gt;"&amp;V2690,$V$5:$V$3004,"&lt;&gt;",$V$5:$V$3004,"&lt;&gt;Excluded")&gt;0,"LEAK RISK","OK"))</f>
        <v/>
      </c>
      <c r="Z2690" s="30" t="n"/>
    </row>
    <row r="2691">
      <c r="A2691" s="30" t="n"/>
      <c r="B2691" s="30" t="n"/>
      <c r="C2691" s="30" t="n"/>
      <c r="D2691" s="30" t="n"/>
      <c r="E2691" s="30" t="n"/>
      <c r="F2691" s="30" t="n"/>
      <c r="G2691" s="30" t="n"/>
      <c r="H2691" s="30" t="n"/>
      <c r="I2691" s="31" t="n"/>
      <c r="J2691" s="30" t="n"/>
      <c r="K2691" s="30" t="n"/>
      <c r="L2691" s="30" t="n"/>
      <c r="M2691" s="30" t="n"/>
      <c r="N2691" s="32" t="n"/>
      <c r="O2691" s="30" t="n"/>
      <c r="P2691" s="32" t="n"/>
      <c r="Q2691" s="30" t="n"/>
      <c r="R2691" s="32" t="n"/>
      <c r="S2691" s="30" t="n"/>
      <c r="T2691" s="30" t="n"/>
      <c r="U2691" s="30" t="n"/>
      <c r="V2691" s="30" t="n"/>
      <c r="W2691" s="29">
        <f>IF(H2691="","",IF(H2691="Kenya","Yes","No"))</f>
        <v/>
      </c>
      <c r="X2691" s="29">
        <f>IF(B2691="","",IF(COUNTIF($B$5:$B$3004,B2691)&gt;1,"DUPLICATE","OK"))</f>
        <v/>
      </c>
      <c r="Y2691" s="29">
        <f>IF(OR(U2691="",V2691="",V2691="Excluded"),"",IF(COUNTIFS($U$5:$U$3004,U2691,$V$5:$V$3004,"&lt;&gt;"&amp;V2691,$V$5:$V$3004,"&lt;&gt;",$V$5:$V$3004,"&lt;&gt;Excluded")&gt;0,"LEAK RISK","OK"))</f>
        <v/>
      </c>
      <c r="Z2691" s="30" t="n"/>
    </row>
    <row r="2692">
      <c r="A2692" s="30" t="n"/>
      <c r="B2692" s="30" t="n"/>
      <c r="C2692" s="30" t="n"/>
      <c r="D2692" s="30" t="n"/>
      <c r="E2692" s="30" t="n"/>
      <c r="F2692" s="30" t="n"/>
      <c r="G2692" s="30" t="n"/>
      <c r="H2692" s="30" t="n"/>
      <c r="I2692" s="31" t="n"/>
      <c r="J2692" s="30" t="n"/>
      <c r="K2692" s="30" t="n"/>
      <c r="L2692" s="30" t="n"/>
      <c r="M2692" s="30" t="n"/>
      <c r="N2692" s="32" t="n"/>
      <c r="O2692" s="30" t="n"/>
      <c r="P2692" s="32" t="n"/>
      <c r="Q2692" s="30" t="n"/>
      <c r="R2692" s="32" t="n"/>
      <c r="S2692" s="30" t="n"/>
      <c r="T2692" s="30" t="n"/>
      <c r="U2692" s="30" t="n"/>
      <c r="V2692" s="30" t="n"/>
      <c r="W2692" s="29">
        <f>IF(H2692="","",IF(H2692="Kenya","Yes","No"))</f>
        <v/>
      </c>
      <c r="X2692" s="29">
        <f>IF(B2692="","",IF(COUNTIF($B$5:$B$3004,B2692)&gt;1,"DUPLICATE","OK"))</f>
        <v/>
      </c>
      <c r="Y2692" s="29">
        <f>IF(OR(U2692="",V2692="",V2692="Excluded"),"",IF(COUNTIFS($U$5:$U$3004,U2692,$V$5:$V$3004,"&lt;&gt;"&amp;V2692,$V$5:$V$3004,"&lt;&gt;",$V$5:$V$3004,"&lt;&gt;Excluded")&gt;0,"LEAK RISK","OK"))</f>
        <v/>
      </c>
      <c r="Z2692" s="30" t="n"/>
    </row>
    <row r="2693">
      <c r="A2693" s="30" t="n"/>
      <c r="B2693" s="30" t="n"/>
      <c r="C2693" s="30" t="n"/>
      <c r="D2693" s="30" t="n"/>
      <c r="E2693" s="30" t="n"/>
      <c r="F2693" s="30" t="n"/>
      <c r="G2693" s="30" t="n"/>
      <c r="H2693" s="30" t="n"/>
      <c r="I2693" s="31" t="n"/>
      <c r="J2693" s="30" t="n"/>
      <c r="K2693" s="30" t="n"/>
      <c r="L2693" s="30" t="n"/>
      <c r="M2693" s="30" t="n"/>
      <c r="N2693" s="32" t="n"/>
      <c r="O2693" s="30" t="n"/>
      <c r="P2693" s="32" t="n"/>
      <c r="Q2693" s="30" t="n"/>
      <c r="R2693" s="32" t="n"/>
      <c r="S2693" s="30" t="n"/>
      <c r="T2693" s="30" t="n"/>
      <c r="U2693" s="30" t="n"/>
      <c r="V2693" s="30" t="n"/>
      <c r="W2693" s="29">
        <f>IF(H2693="","",IF(H2693="Kenya","Yes","No"))</f>
        <v/>
      </c>
      <c r="X2693" s="29">
        <f>IF(B2693="","",IF(COUNTIF($B$5:$B$3004,B2693)&gt;1,"DUPLICATE","OK"))</f>
        <v/>
      </c>
      <c r="Y2693" s="29">
        <f>IF(OR(U2693="",V2693="",V2693="Excluded"),"",IF(COUNTIFS($U$5:$U$3004,U2693,$V$5:$V$3004,"&lt;&gt;"&amp;V2693,$V$5:$V$3004,"&lt;&gt;",$V$5:$V$3004,"&lt;&gt;Excluded")&gt;0,"LEAK RISK","OK"))</f>
        <v/>
      </c>
      <c r="Z2693" s="30" t="n"/>
    </row>
    <row r="2694">
      <c r="A2694" s="30" t="n"/>
      <c r="B2694" s="30" t="n"/>
      <c r="C2694" s="30" t="n"/>
      <c r="D2694" s="30" t="n"/>
      <c r="E2694" s="30" t="n"/>
      <c r="F2694" s="30" t="n"/>
      <c r="G2694" s="30" t="n"/>
      <c r="H2694" s="30" t="n"/>
      <c r="I2694" s="31" t="n"/>
      <c r="J2694" s="30" t="n"/>
      <c r="K2694" s="30" t="n"/>
      <c r="L2694" s="30" t="n"/>
      <c r="M2694" s="30" t="n"/>
      <c r="N2694" s="32" t="n"/>
      <c r="O2694" s="30" t="n"/>
      <c r="P2694" s="32" t="n"/>
      <c r="Q2694" s="30" t="n"/>
      <c r="R2694" s="32" t="n"/>
      <c r="S2694" s="30" t="n"/>
      <c r="T2694" s="30" t="n"/>
      <c r="U2694" s="30" t="n"/>
      <c r="V2694" s="30" t="n"/>
      <c r="W2694" s="29">
        <f>IF(H2694="","",IF(H2694="Kenya","Yes","No"))</f>
        <v/>
      </c>
      <c r="X2694" s="29">
        <f>IF(B2694="","",IF(COUNTIF($B$5:$B$3004,B2694)&gt;1,"DUPLICATE","OK"))</f>
        <v/>
      </c>
      <c r="Y2694" s="29">
        <f>IF(OR(U2694="",V2694="",V2694="Excluded"),"",IF(COUNTIFS($U$5:$U$3004,U2694,$V$5:$V$3004,"&lt;&gt;"&amp;V2694,$V$5:$V$3004,"&lt;&gt;",$V$5:$V$3004,"&lt;&gt;Excluded")&gt;0,"LEAK RISK","OK"))</f>
        <v/>
      </c>
      <c r="Z2694" s="30" t="n"/>
    </row>
    <row r="2695">
      <c r="A2695" s="30" t="n"/>
      <c r="B2695" s="30" t="n"/>
      <c r="C2695" s="30" t="n"/>
      <c r="D2695" s="30" t="n"/>
      <c r="E2695" s="30" t="n"/>
      <c r="F2695" s="30" t="n"/>
      <c r="G2695" s="30" t="n"/>
      <c r="H2695" s="30" t="n"/>
      <c r="I2695" s="31" t="n"/>
      <c r="J2695" s="30" t="n"/>
      <c r="K2695" s="30" t="n"/>
      <c r="L2695" s="30" t="n"/>
      <c r="M2695" s="30" t="n"/>
      <c r="N2695" s="32" t="n"/>
      <c r="O2695" s="30" t="n"/>
      <c r="P2695" s="32" t="n"/>
      <c r="Q2695" s="30" t="n"/>
      <c r="R2695" s="32" t="n"/>
      <c r="S2695" s="30" t="n"/>
      <c r="T2695" s="30" t="n"/>
      <c r="U2695" s="30" t="n"/>
      <c r="V2695" s="30" t="n"/>
      <c r="W2695" s="29">
        <f>IF(H2695="","",IF(H2695="Kenya","Yes","No"))</f>
        <v/>
      </c>
      <c r="X2695" s="29">
        <f>IF(B2695="","",IF(COUNTIF($B$5:$B$3004,B2695)&gt;1,"DUPLICATE","OK"))</f>
        <v/>
      </c>
      <c r="Y2695" s="29">
        <f>IF(OR(U2695="",V2695="",V2695="Excluded"),"",IF(COUNTIFS($U$5:$U$3004,U2695,$V$5:$V$3004,"&lt;&gt;"&amp;V2695,$V$5:$V$3004,"&lt;&gt;",$V$5:$V$3004,"&lt;&gt;Excluded")&gt;0,"LEAK RISK","OK"))</f>
        <v/>
      </c>
      <c r="Z2695" s="30" t="n"/>
    </row>
    <row r="2696">
      <c r="A2696" s="30" t="n"/>
      <c r="B2696" s="30" t="n"/>
      <c r="C2696" s="30" t="n"/>
      <c r="D2696" s="30" t="n"/>
      <c r="E2696" s="30" t="n"/>
      <c r="F2696" s="30" t="n"/>
      <c r="G2696" s="30" t="n"/>
      <c r="H2696" s="30" t="n"/>
      <c r="I2696" s="31" t="n"/>
      <c r="J2696" s="30" t="n"/>
      <c r="K2696" s="30" t="n"/>
      <c r="L2696" s="30" t="n"/>
      <c r="M2696" s="30" t="n"/>
      <c r="N2696" s="32" t="n"/>
      <c r="O2696" s="30" t="n"/>
      <c r="P2696" s="32" t="n"/>
      <c r="Q2696" s="30" t="n"/>
      <c r="R2696" s="32" t="n"/>
      <c r="S2696" s="30" t="n"/>
      <c r="T2696" s="30" t="n"/>
      <c r="U2696" s="30" t="n"/>
      <c r="V2696" s="30" t="n"/>
      <c r="W2696" s="29">
        <f>IF(H2696="","",IF(H2696="Kenya","Yes","No"))</f>
        <v/>
      </c>
      <c r="X2696" s="29">
        <f>IF(B2696="","",IF(COUNTIF($B$5:$B$3004,B2696)&gt;1,"DUPLICATE","OK"))</f>
        <v/>
      </c>
      <c r="Y2696" s="29">
        <f>IF(OR(U2696="",V2696="",V2696="Excluded"),"",IF(COUNTIFS($U$5:$U$3004,U2696,$V$5:$V$3004,"&lt;&gt;"&amp;V2696,$V$5:$V$3004,"&lt;&gt;",$V$5:$V$3004,"&lt;&gt;Excluded")&gt;0,"LEAK RISK","OK"))</f>
        <v/>
      </c>
      <c r="Z2696" s="30" t="n"/>
    </row>
    <row r="2697">
      <c r="A2697" s="30" t="n"/>
      <c r="B2697" s="30" t="n"/>
      <c r="C2697" s="30" t="n"/>
      <c r="D2697" s="30" t="n"/>
      <c r="E2697" s="30" t="n"/>
      <c r="F2697" s="30" t="n"/>
      <c r="G2697" s="30" t="n"/>
      <c r="H2697" s="30" t="n"/>
      <c r="I2697" s="31" t="n"/>
      <c r="J2697" s="30" t="n"/>
      <c r="K2697" s="30" t="n"/>
      <c r="L2697" s="30" t="n"/>
      <c r="M2697" s="30" t="n"/>
      <c r="N2697" s="32" t="n"/>
      <c r="O2697" s="30" t="n"/>
      <c r="P2697" s="32" t="n"/>
      <c r="Q2697" s="30" t="n"/>
      <c r="R2697" s="32" t="n"/>
      <c r="S2697" s="30" t="n"/>
      <c r="T2697" s="30" t="n"/>
      <c r="U2697" s="30" t="n"/>
      <c r="V2697" s="30" t="n"/>
      <c r="W2697" s="29">
        <f>IF(H2697="","",IF(H2697="Kenya","Yes","No"))</f>
        <v/>
      </c>
      <c r="X2697" s="29">
        <f>IF(B2697="","",IF(COUNTIF($B$5:$B$3004,B2697)&gt;1,"DUPLICATE","OK"))</f>
        <v/>
      </c>
      <c r="Y2697" s="29">
        <f>IF(OR(U2697="",V2697="",V2697="Excluded"),"",IF(COUNTIFS($U$5:$U$3004,U2697,$V$5:$V$3004,"&lt;&gt;"&amp;V2697,$V$5:$V$3004,"&lt;&gt;",$V$5:$V$3004,"&lt;&gt;Excluded")&gt;0,"LEAK RISK","OK"))</f>
        <v/>
      </c>
      <c r="Z2697" s="30" t="n"/>
    </row>
    <row r="2698">
      <c r="A2698" s="30" t="n"/>
      <c r="B2698" s="30" t="n"/>
      <c r="C2698" s="30" t="n"/>
      <c r="D2698" s="30" t="n"/>
      <c r="E2698" s="30" t="n"/>
      <c r="F2698" s="30" t="n"/>
      <c r="G2698" s="30" t="n"/>
      <c r="H2698" s="30" t="n"/>
      <c r="I2698" s="31" t="n"/>
      <c r="J2698" s="30" t="n"/>
      <c r="K2698" s="30" t="n"/>
      <c r="L2698" s="30" t="n"/>
      <c r="M2698" s="30" t="n"/>
      <c r="N2698" s="32" t="n"/>
      <c r="O2698" s="30" t="n"/>
      <c r="P2698" s="32" t="n"/>
      <c r="Q2698" s="30" t="n"/>
      <c r="R2698" s="32" t="n"/>
      <c r="S2698" s="30" t="n"/>
      <c r="T2698" s="30" t="n"/>
      <c r="U2698" s="30" t="n"/>
      <c r="V2698" s="30" t="n"/>
      <c r="W2698" s="29">
        <f>IF(H2698="","",IF(H2698="Kenya","Yes","No"))</f>
        <v/>
      </c>
      <c r="X2698" s="29">
        <f>IF(B2698="","",IF(COUNTIF($B$5:$B$3004,B2698)&gt;1,"DUPLICATE","OK"))</f>
        <v/>
      </c>
      <c r="Y2698" s="29">
        <f>IF(OR(U2698="",V2698="",V2698="Excluded"),"",IF(COUNTIFS($U$5:$U$3004,U2698,$V$5:$V$3004,"&lt;&gt;"&amp;V2698,$V$5:$V$3004,"&lt;&gt;",$V$5:$V$3004,"&lt;&gt;Excluded")&gt;0,"LEAK RISK","OK"))</f>
        <v/>
      </c>
      <c r="Z2698" s="30" t="n"/>
    </row>
    <row r="2699">
      <c r="A2699" s="30" t="n"/>
      <c r="B2699" s="30" t="n"/>
      <c r="C2699" s="30" t="n"/>
      <c r="D2699" s="30" t="n"/>
      <c r="E2699" s="30" t="n"/>
      <c r="F2699" s="30" t="n"/>
      <c r="G2699" s="30" t="n"/>
      <c r="H2699" s="30" t="n"/>
      <c r="I2699" s="31" t="n"/>
      <c r="J2699" s="30" t="n"/>
      <c r="K2699" s="30" t="n"/>
      <c r="L2699" s="30" t="n"/>
      <c r="M2699" s="30" t="n"/>
      <c r="N2699" s="32" t="n"/>
      <c r="O2699" s="30" t="n"/>
      <c r="P2699" s="32" t="n"/>
      <c r="Q2699" s="30" t="n"/>
      <c r="R2699" s="32" t="n"/>
      <c r="S2699" s="30" t="n"/>
      <c r="T2699" s="30" t="n"/>
      <c r="U2699" s="30" t="n"/>
      <c r="V2699" s="30" t="n"/>
      <c r="W2699" s="29">
        <f>IF(H2699="","",IF(H2699="Kenya","Yes","No"))</f>
        <v/>
      </c>
      <c r="X2699" s="29">
        <f>IF(B2699="","",IF(COUNTIF($B$5:$B$3004,B2699)&gt;1,"DUPLICATE","OK"))</f>
        <v/>
      </c>
      <c r="Y2699" s="29">
        <f>IF(OR(U2699="",V2699="",V2699="Excluded"),"",IF(COUNTIFS($U$5:$U$3004,U2699,$V$5:$V$3004,"&lt;&gt;"&amp;V2699,$V$5:$V$3004,"&lt;&gt;",$V$5:$V$3004,"&lt;&gt;Excluded")&gt;0,"LEAK RISK","OK"))</f>
        <v/>
      </c>
      <c r="Z2699" s="30" t="n"/>
    </row>
    <row r="2700">
      <c r="A2700" s="30" t="n"/>
      <c r="B2700" s="30" t="n"/>
      <c r="C2700" s="30" t="n"/>
      <c r="D2700" s="30" t="n"/>
      <c r="E2700" s="30" t="n"/>
      <c r="F2700" s="30" t="n"/>
      <c r="G2700" s="30" t="n"/>
      <c r="H2700" s="30" t="n"/>
      <c r="I2700" s="31" t="n"/>
      <c r="J2700" s="30" t="n"/>
      <c r="K2700" s="30" t="n"/>
      <c r="L2700" s="30" t="n"/>
      <c r="M2700" s="30" t="n"/>
      <c r="N2700" s="32" t="n"/>
      <c r="O2700" s="30" t="n"/>
      <c r="P2700" s="32" t="n"/>
      <c r="Q2700" s="30" t="n"/>
      <c r="R2700" s="32" t="n"/>
      <c r="S2700" s="30" t="n"/>
      <c r="T2700" s="30" t="n"/>
      <c r="U2700" s="30" t="n"/>
      <c r="V2700" s="30" t="n"/>
      <c r="W2700" s="29">
        <f>IF(H2700="","",IF(H2700="Kenya","Yes","No"))</f>
        <v/>
      </c>
      <c r="X2700" s="29">
        <f>IF(B2700="","",IF(COUNTIF($B$5:$B$3004,B2700)&gt;1,"DUPLICATE","OK"))</f>
        <v/>
      </c>
      <c r="Y2700" s="29">
        <f>IF(OR(U2700="",V2700="",V2700="Excluded"),"",IF(COUNTIFS($U$5:$U$3004,U2700,$V$5:$V$3004,"&lt;&gt;"&amp;V2700,$V$5:$V$3004,"&lt;&gt;",$V$5:$V$3004,"&lt;&gt;Excluded")&gt;0,"LEAK RISK","OK"))</f>
        <v/>
      </c>
      <c r="Z2700" s="30" t="n"/>
    </row>
    <row r="2701">
      <c r="A2701" s="30" t="n"/>
      <c r="B2701" s="30" t="n"/>
      <c r="C2701" s="30" t="n"/>
      <c r="D2701" s="30" t="n"/>
      <c r="E2701" s="30" t="n"/>
      <c r="F2701" s="30" t="n"/>
      <c r="G2701" s="30" t="n"/>
      <c r="H2701" s="30" t="n"/>
      <c r="I2701" s="31" t="n"/>
      <c r="J2701" s="30" t="n"/>
      <c r="K2701" s="30" t="n"/>
      <c r="L2701" s="30" t="n"/>
      <c r="M2701" s="30" t="n"/>
      <c r="N2701" s="32" t="n"/>
      <c r="O2701" s="30" t="n"/>
      <c r="P2701" s="32" t="n"/>
      <c r="Q2701" s="30" t="n"/>
      <c r="R2701" s="32" t="n"/>
      <c r="S2701" s="30" t="n"/>
      <c r="T2701" s="30" t="n"/>
      <c r="U2701" s="30" t="n"/>
      <c r="V2701" s="30" t="n"/>
      <c r="W2701" s="29">
        <f>IF(H2701="","",IF(H2701="Kenya","Yes","No"))</f>
        <v/>
      </c>
      <c r="X2701" s="29">
        <f>IF(B2701="","",IF(COUNTIF($B$5:$B$3004,B2701)&gt;1,"DUPLICATE","OK"))</f>
        <v/>
      </c>
      <c r="Y2701" s="29">
        <f>IF(OR(U2701="",V2701="",V2701="Excluded"),"",IF(COUNTIFS($U$5:$U$3004,U2701,$V$5:$V$3004,"&lt;&gt;"&amp;V2701,$V$5:$V$3004,"&lt;&gt;",$V$5:$V$3004,"&lt;&gt;Excluded")&gt;0,"LEAK RISK","OK"))</f>
        <v/>
      </c>
      <c r="Z2701" s="30" t="n"/>
    </row>
    <row r="2702">
      <c r="A2702" s="30" t="n"/>
      <c r="B2702" s="30" t="n"/>
      <c r="C2702" s="30" t="n"/>
      <c r="D2702" s="30" t="n"/>
      <c r="E2702" s="30" t="n"/>
      <c r="F2702" s="30" t="n"/>
      <c r="G2702" s="30" t="n"/>
      <c r="H2702" s="30" t="n"/>
      <c r="I2702" s="31" t="n"/>
      <c r="J2702" s="30" t="n"/>
      <c r="K2702" s="30" t="n"/>
      <c r="L2702" s="30" t="n"/>
      <c r="M2702" s="30" t="n"/>
      <c r="N2702" s="32" t="n"/>
      <c r="O2702" s="30" t="n"/>
      <c r="P2702" s="32" t="n"/>
      <c r="Q2702" s="30" t="n"/>
      <c r="R2702" s="32" t="n"/>
      <c r="S2702" s="30" t="n"/>
      <c r="T2702" s="30" t="n"/>
      <c r="U2702" s="30" t="n"/>
      <c r="V2702" s="30" t="n"/>
      <c r="W2702" s="29">
        <f>IF(H2702="","",IF(H2702="Kenya","Yes","No"))</f>
        <v/>
      </c>
      <c r="X2702" s="29">
        <f>IF(B2702="","",IF(COUNTIF($B$5:$B$3004,B2702)&gt;1,"DUPLICATE","OK"))</f>
        <v/>
      </c>
      <c r="Y2702" s="29">
        <f>IF(OR(U2702="",V2702="",V2702="Excluded"),"",IF(COUNTIFS($U$5:$U$3004,U2702,$V$5:$V$3004,"&lt;&gt;"&amp;V2702,$V$5:$V$3004,"&lt;&gt;",$V$5:$V$3004,"&lt;&gt;Excluded")&gt;0,"LEAK RISK","OK"))</f>
        <v/>
      </c>
      <c r="Z2702" s="30" t="n"/>
    </row>
    <row r="2703">
      <c r="A2703" s="30" t="n"/>
      <c r="B2703" s="30" t="n"/>
      <c r="C2703" s="30" t="n"/>
      <c r="D2703" s="30" t="n"/>
      <c r="E2703" s="30" t="n"/>
      <c r="F2703" s="30" t="n"/>
      <c r="G2703" s="30" t="n"/>
      <c r="H2703" s="30" t="n"/>
      <c r="I2703" s="31" t="n"/>
      <c r="J2703" s="30" t="n"/>
      <c r="K2703" s="30" t="n"/>
      <c r="L2703" s="30" t="n"/>
      <c r="M2703" s="30" t="n"/>
      <c r="N2703" s="32" t="n"/>
      <c r="O2703" s="30" t="n"/>
      <c r="P2703" s="32" t="n"/>
      <c r="Q2703" s="30" t="n"/>
      <c r="R2703" s="32" t="n"/>
      <c r="S2703" s="30" t="n"/>
      <c r="T2703" s="30" t="n"/>
      <c r="U2703" s="30" t="n"/>
      <c r="V2703" s="30" t="n"/>
      <c r="W2703" s="29">
        <f>IF(H2703="","",IF(H2703="Kenya","Yes","No"))</f>
        <v/>
      </c>
      <c r="X2703" s="29">
        <f>IF(B2703="","",IF(COUNTIF($B$5:$B$3004,B2703)&gt;1,"DUPLICATE","OK"))</f>
        <v/>
      </c>
      <c r="Y2703" s="29">
        <f>IF(OR(U2703="",V2703="",V2703="Excluded"),"",IF(COUNTIFS($U$5:$U$3004,U2703,$V$5:$V$3004,"&lt;&gt;"&amp;V2703,$V$5:$V$3004,"&lt;&gt;",$V$5:$V$3004,"&lt;&gt;Excluded")&gt;0,"LEAK RISK","OK"))</f>
        <v/>
      </c>
      <c r="Z2703" s="30" t="n"/>
    </row>
    <row r="2704">
      <c r="A2704" s="30" t="n"/>
      <c r="B2704" s="30" t="n"/>
      <c r="C2704" s="30" t="n"/>
      <c r="D2704" s="30" t="n"/>
      <c r="E2704" s="30" t="n"/>
      <c r="F2704" s="30" t="n"/>
      <c r="G2704" s="30" t="n"/>
      <c r="H2704" s="30" t="n"/>
      <c r="I2704" s="31" t="n"/>
      <c r="J2704" s="30" t="n"/>
      <c r="K2704" s="30" t="n"/>
      <c r="L2704" s="30" t="n"/>
      <c r="M2704" s="30" t="n"/>
      <c r="N2704" s="32" t="n"/>
      <c r="O2704" s="30" t="n"/>
      <c r="P2704" s="32" t="n"/>
      <c r="Q2704" s="30" t="n"/>
      <c r="R2704" s="32" t="n"/>
      <c r="S2704" s="30" t="n"/>
      <c r="T2704" s="30" t="n"/>
      <c r="U2704" s="30" t="n"/>
      <c r="V2704" s="30" t="n"/>
      <c r="W2704" s="29">
        <f>IF(H2704="","",IF(H2704="Kenya","Yes","No"))</f>
        <v/>
      </c>
      <c r="X2704" s="29">
        <f>IF(B2704="","",IF(COUNTIF($B$5:$B$3004,B2704)&gt;1,"DUPLICATE","OK"))</f>
        <v/>
      </c>
      <c r="Y2704" s="29">
        <f>IF(OR(U2704="",V2704="",V2704="Excluded"),"",IF(COUNTIFS($U$5:$U$3004,U2704,$V$5:$V$3004,"&lt;&gt;"&amp;V2704,$V$5:$V$3004,"&lt;&gt;",$V$5:$V$3004,"&lt;&gt;Excluded")&gt;0,"LEAK RISK","OK"))</f>
        <v/>
      </c>
      <c r="Z2704" s="30" t="n"/>
    </row>
    <row r="2705">
      <c r="A2705" s="30" t="n"/>
      <c r="B2705" s="30" t="n"/>
      <c r="C2705" s="30" t="n"/>
      <c r="D2705" s="30" t="n"/>
      <c r="E2705" s="30" t="n"/>
      <c r="F2705" s="30" t="n"/>
      <c r="G2705" s="30" t="n"/>
      <c r="H2705" s="30" t="n"/>
      <c r="I2705" s="31" t="n"/>
      <c r="J2705" s="30" t="n"/>
      <c r="K2705" s="30" t="n"/>
      <c r="L2705" s="30" t="n"/>
      <c r="M2705" s="30" t="n"/>
      <c r="N2705" s="32" t="n"/>
      <c r="O2705" s="30" t="n"/>
      <c r="P2705" s="32" t="n"/>
      <c r="Q2705" s="30" t="n"/>
      <c r="R2705" s="32" t="n"/>
      <c r="S2705" s="30" t="n"/>
      <c r="T2705" s="30" t="n"/>
      <c r="U2705" s="30" t="n"/>
      <c r="V2705" s="30" t="n"/>
      <c r="W2705" s="29">
        <f>IF(H2705="","",IF(H2705="Kenya","Yes","No"))</f>
        <v/>
      </c>
      <c r="X2705" s="29">
        <f>IF(B2705="","",IF(COUNTIF($B$5:$B$3004,B2705)&gt;1,"DUPLICATE","OK"))</f>
        <v/>
      </c>
      <c r="Y2705" s="29">
        <f>IF(OR(U2705="",V2705="",V2705="Excluded"),"",IF(COUNTIFS($U$5:$U$3004,U2705,$V$5:$V$3004,"&lt;&gt;"&amp;V2705,$V$5:$V$3004,"&lt;&gt;",$V$5:$V$3004,"&lt;&gt;Excluded")&gt;0,"LEAK RISK","OK"))</f>
        <v/>
      </c>
      <c r="Z2705" s="30" t="n"/>
    </row>
    <row r="2706">
      <c r="A2706" s="30" t="n"/>
      <c r="B2706" s="30" t="n"/>
      <c r="C2706" s="30" t="n"/>
      <c r="D2706" s="30" t="n"/>
      <c r="E2706" s="30" t="n"/>
      <c r="F2706" s="30" t="n"/>
      <c r="G2706" s="30" t="n"/>
      <c r="H2706" s="30" t="n"/>
      <c r="I2706" s="31" t="n"/>
      <c r="J2706" s="30" t="n"/>
      <c r="K2706" s="30" t="n"/>
      <c r="L2706" s="30" t="n"/>
      <c r="M2706" s="30" t="n"/>
      <c r="N2706" s="32" t="n"/>
      <c r="O2706" s="30" t="n"/>
      <c r="P2706" s="32" t="n"/>
      <c r="Q2706" s="30" t="n"/>
      <c r="R2706" s="32" t="n"/>
      <c r="S2706" s="30" t="n"/>
      <c r="T2706" s="30" t="n"/>
      <c r="U2706" s="30" t="n"/>
      <c r="V2706" s="30" t="n"/>
      <c r="W2706" s="29">
        <f>IF(H2706="","",IF(H2706="Kenya","Yes","No"))</f>
        <v/>
      </c>
      <c r="X2706" s="29">
        <f>IF(B2706="","",IF(COUNTIF($B$5:$B$3004,B2706)&gt;1,"DUPLICATE","OK"))</f>
        <v/>
      </c>
      <c r="Y2706" s="29">
        <f>IF(OR(U2706="",V2706="",V2706="Excluded"),"",IF(COUNTIFS($U$5:$U$3004,U2706,$V$5:$V$3004,"&lt;&gt;"&amp;V2706,$V$5:$V$3004,"&lt;&gt;",$V$5:$V$3004,"&lt;&gt;Excluded")&gt;0,"LEAK RISK","OK"))</f>
        <v/>
      </c>
      <c r="Z2706" s="30" t="n"/>
    </row>
    <row r="2707">
      <c r="A2707" s="30" t="n"/>
      <c r="B2707" s="30" t="n"/>
      <c r="C2707" s="30" t="n"/>
      <c r="D2707" s="30" t="n"/>
      <c r="E2707" s="30" t="n"/>
      <c r="F2707" s="30" t="n"/>
      <c r="G2707" s="30" t="n"/>
      <c r="H2707" s="30" t="n"/>
      <c r="I2707" s="31" t="n"/>
      <c r="J2707" s="30" t="n"/>
      <c r="K2707" s="30" t="n"/>
      <c r="L2707" s="30" t="n"/>
      <c r="M2707" s="30" t="n"/>
      <c r="N2707" s="32" t="n"/>
      <c r="O2707" s="30" t="n"/>
      <c r="P2707" s="32" t="n"/>
      <c r="Q2707" s="30" t="n"/>
      <c r="R2707" s="32" t="n"/>
      <c r="S2707" s="30" t="n"/>
      <c r="T2707" s="30" t="n"/>
      <c r="U2707" s="30" t="n"/>
      <c r="V2707" s="30" t="n"/>
      <c r="W2707" s="29">
        <f>IF(H2707="","",IF(H2707="Kenya","Yes","No"))</f>
        <v/>
      </c>
      <c r="X2707" s="29">
        <f>IF(B2707="","",IF(COUNTIF($B$5:$B$3004,B2707)&gt;1,"DUPLICATE","OK"))</f>
        <v/>
      </c>
      <c r="Y2707" s="29">
        <f>IF(OR(U2707="",V2707="",V2707="Excluded"),"",IF(COUNTIFS($U$5:$U$3004,U2707,$V$5:$V$3004,"&lt;&gt;"&amp;V2707,$V$5:$V$3004,"&lt;&gt;",$V$5:$V$3004,"&lt;&gt;Excluded")&gt;0,"LEAK RISK","OK"))</f>
        <v/>
      </c>
      <c r="Z2707" s="30" t="n"/>
    </row>
    <row r="2708">
      <c r="A2708" s="30" t="n"/>
      <c r="B2708" s="30" t="n"/>
      <c r="C2708" s="30" t="n"/>
      <c r="D2708" s="30" t="n"/>
      <c r="E2708" s="30" t="n"/>
      <c r="F2708" s="30" t="n"/>
      <c r="G2708" s="30" t="n"/>
      <c r="H2708" s="30" t="n"/>
      <c r="I2708" s="31" t="n"/>
      <c r="J2708" s="30" t="n"/>
      <c r="K2708" s="30" t="n"/>
      <c r="L2708" s="30" t="n"/>
      <c r="M2708" s="30" t="n"/>
      <c r="N2708" s="32" t="n"/>
      <c r="O2708" s="30" t="n"/>
      <c r="P2708" s="32" t="n"/>
      <c r="Q2708" s="30" t="n"/>
      <c r="R2708" s="32" t="n"/>
      <c r="S2708" s="30" t="n"/>
      <c r="T2708" s="30" t="n"/>
      <c r="U2708" s="30" t="n"/>
      <c r="V2708" s="30" t="n"/>
      <c r="W2708" s="29">
        <f>IF(H2708="","",IF(H2708="Kenya","Yes","No"))</f>
        <v/>
      </c>
      <c r="X2708" s="29">
        <f>IF(B2708="","",IF(COUNTIF($B$5:$B$3004,B2708)&gt;1,"DUPLICATE","OK"))</f>
        <v/>
      </c>
      <c r="Y2708" s="29">
        <f>IF(OR(U2708="",V2708="",V2708="Excluded"),"",IF(COUNTIFS($U$5:$U$3004,U2708,$V$5:$V$3004,"&lt;&gt;"&amp;V2708,$V$5:$V$3004,"&lt;&gt;",$V$5:$V$3004,"&lt;&gt;Excluded")&gt;0,"LEAK RISK","OK"))</f>
        <v/>
      </c>
      <c r="Z2708" s="30" t="n"/>
    </row>
    <row r="2709">
      <c r="A2709" s="30" t="n"/>
      <c r="B2709" s="30" t="n"/>
      <c r="C2709" s="30" t="n"/>
      <c r="D2709" s="30" t="n"/>
      <c r="E2709" s="30" t="n"/>
      <c r="F2709" s="30" t="n"/>
      <c r="G2709" s="30" t="n"/>
      <c r="H2709" s="30" t="n"/>
      <c r="I2709" s="31" t="n"/>
      <c r="J2709" s="30" t="n"/>
      <c r="K2709" s="30" t="n"/>
      <c r="L2709" s="30" t="n"/>
      <c r="M2709" s="30" t="n"/>
      <c r="N2709" s="32" t="n"/>
      <c r="O2709" s="30" t="n"/>
      <c r="P2709" s="32" t="n"/>
      <c r="Q2709" s="30" t="n"/>
      <c r="R2709" s="32" t="n"/>
      <c r="S2709" s="30" t="n"/>
      <c r="T2709" s="30" t="n"/>
      <c r="U2709" s="30" t="n"/>
      <c r="V2709" s="30" t="n"/>
      <c r="W2709" s="29">
        <f>IF(H2709="","",IF(H2709="Kenya","Yes","No"))</f>
        <v/>
      </c>
      <c r="X2709" s="29">
        <f>IF(B2709="","",IF(COUNTIF($B$5:$B$3004,B2709)&gt;1,"DUPLICATE","OK"))</f>
        <v/>
      </c>
      <c r="Y2709" s="29">
        <f>IF(OR(U2709="",V2709="",V2709="Excluded"),"",IF(COUNTIFS($U$5:$U$3004,U2709,$V$5:$V$3004,"&lt;&gt;"&amp;V2709,$V$5:$V$3004,"&lt;&gt;",$V$5:$V$3004,"&lt;&gt;Excluded")&gt;0,"LEAK RISK","OK"))</f>
        <v/>
      </c>
      <c r="Z2709" s="30" t="n"/>
    </row>
    <row r="2710">
      <c r="A2710" s="30" t="n"/>
      <c r="B2710" s="30" t="n"/>
      <c r="C2710" s="30" t="n"/>
      <c r="D2710" s="30" t="n"/>
      <c r="E2710" s="30" t="n"/>
      <c r="F2710" s="30" t="n"/>
      <c r="G2710" s="30" t="n"/>
      <c r="H2710" s="30" t="n"/>
      <c r="I2710" s="31" t="n"/>
      <c r="J2710" s="30" t="n"/>
      <c r="K2710" s="30" t="n"/>
      <c r="L2710" s="30" t="n"/>
      <c r="M2710" s="30" t="n"/>
      <c r="N2710" s="32" t="n"/>
      <c r="O2710" s="30" t="n"/>
      <c r="P2710" s="32" t="n"/>
      <c r="Q2710" s="30" t="n"/>
      <c r="R2710" s="32" t="n"/>
      <c r="S2710" s="30" t="n"/>
      <c r="T2710" s="30" t="n"/>
      <c r="U2710" s="30" t="n"/>
      <c r="V2710" s="30" t="n"/>
      <c r="W2710" s="29">
        <f>IF(H2710="","",IF(H2710="Kenya","Yes","No"))</f>
        <v/>
      </c>
      <c r="X2710" s="29">
        <f>IF(B2710="","",IF(COUNTIF($B$5:$B$3004,B2710)&gt;1,"DUPLICATE","OK"))</f>
        <v/>
      </c>
      <c r="Y2710" s="29">
        <f>IF(OR(U2710="",V2710="",V2710="Excluded"),"",IF(COUNTIFS($U$5:$U$3004,U2710,$V$5:$V$3004,"&lt;&gt;"&amp;V2710,$V$5:$V$3004,"&lt;&gt;",$V$5:$V$3004,"&lt;&gt;Excluded")&gt;0,"LEAK RISK","OK"))</f>
        <v/>
      </c>
      <c r="Z2710" s="30" t="n"/>
    </row>
    <row r="2711">
      <c r="A2711" s="30" t="n"/>
      <c r="B2711" s="30" t="n"/>
      <c r="C2711" s="30" t="n"/>
      <c r="D2711" s="30" t="n"/>
      <c r="E2711" s="30" t="n"/>
      <c r="F2711" s="30" t="n"/>
      <c r="G2711" s="30" t="n"/>
      <c r="H2711" s="30" t="n"/>
      <c r="I2711" s="31" t="n"/>
      <c r="J2711" s="30" t="n"/>
      <c r="K2711" s="30" t="n"/>
      <c r="L2711" s="30" t="n"/>
      <c r="M2711" s="30" t="n"/>
      <c r="N2711" s="32" t="n"/>
      <c r="O2711" s="30" t="n"/>
      <c r="P2711" s="32" t="n"/>
      <c r="Q2711" s="30" t="n"/>
      <c r="R2711" s="32" t="n"/>
      <c r="S2711" s="30" t="n"/>
      <c r="T2711" s="30" t="n"/>
      <c r="U2711" s="30" t="n"/>
      <c r="V2711" s="30" t="n"/>
      <c r="W2711" s="29">
        <f>IF(H2711="","",IF(H2711="Kenya","Yes","No"))</f>
        <v/>
      </c>
      <c r="X2711" s="29">
        <f>IF(B2711="","",IF(COUNTIF($B$5:$B$3004,B2711)&gt;1,"DUPLICATE","OK"))</f>
        <v/>
      </c>
      <c r="Y2711" s="29">
        <f>IF(OR(U2711="",V2711="",V2711="Excluded"),"",IF(COUNTIFS($U$5:$U$3004,U2711,$V$5:$V$3004,"&lt;&gt;"&amp;V2711,$V$5:$V$3004,"&lt;&gt;",$V$5:$V$3004,"&lt;&gt;Excluded")&gt;0,"LEAK RISK","OK"))</f>
        <v/>
      </c>
      <c r="Z2711" s="30" t="n"/>
    </row>
    <row r="2712">
      <c r="A2712" s="30" t="n"/>
      <c r="B2712" s="30" t="n"/>
      <c r="C2712" s="30" t="n"/>
      <c r="D2712" s="30" t="n"/>
      <c r="E2712" s="30" t="n"/>
      <c r="F2712" s="30" t="n"/>
      <c r="G2712" s="30" t="n"/>
      <c r="H2712" s="30" t="n"/>
      <c r="I2712" s="31" t="n"/>
      <c r="J2712" s="30" t="n"/>
      <c r="K2712" s="30" t="n"/>
      <c r="L2712" s="30" t="n"/>
      <c r="M2712" s="30" t="n"/>
      <c r="N2712" s="32" t="n"/>
      <c r="O2712" s="30" t="n"/>
      <c r="P2712" s="32" t="n"/>
      <c r="Q2712" s="30" t="n"/>
      <c r="R2712" s="32" t="n"/>
      <c r="S2712" s="30" t="n"/>
      <c r="T2712" s="30" t="n"/>
      <c r="U2712" s="30" t="n"/>
      <c r="V2712" s="30" t="n"/>
      <c r="W2712" s="29">
        <f>IF(H2712="","",IF(H2712="Kenya","Yes","No"))</f>
        <v/>
      </c>
      <c r="X2712" s="29">
        <f>IF(B2712="","",IF(COUNTIF($B$5:$B$3004,B2712)&gt;1,"DUPLICATE","OK"))</f>
        <v/>
      </c>
      <c r="Y2712" s="29">
        <f>IF(OR(U2712="",V2712="",V2712="Excluded"),"",IF(COUNTIFS($U$5:$U$3004,U2712,$V$5:$V$3004,"&lt;&gt;"&amp;V2712,$V$5:$V$3004,"&lt;&gt;",$V$5:$V$3004,"&lt;&gt;Excluded")&gt;0,"LEAK RISK","OK"))</f>
        <v/>
      </c>
      <c r="Z2712" s="30" t="n"/>
    </row>
    <row r="2713">
      <c r="A2713" s="30" t="n"/>
      <c r="B2713" s="30" t="n"/>
      <c r="C2713" s="30" t="n"/>
      <c r="D2713" s="30" t="n"/>
      <c r="E2713" s="30" t="n"/>
      <c r="F2713" s="30" t="n"/>
      <c r="G2713" s="30" t="n"/>
      <c r="H2713" s="30" t="n"/>
      <c r="I2713" s="31" t="n"/>
      <c r="J2713" s="30" t="n"/>
      <c r="K2713" s="30" t="n"/>
      <c r="L2713" s="30" t="n"/>
      <c r="M2713" s="30" t="n"/>
      <c r="N2713" s="32" t="n"/>
      <c r="O2713" s="30" t="n"/>
      <c r="P2713" s="32" t="n"/>
      <c r="Q2713" s="30" t="n"/>
      <c r="R2713" s="32" t="n"/>
      <c r="S2713" s="30" t="n"/>
      <c r="T2713" s="30" t="n"/>
      <c r="U2713" s="30" t="n"/>
      <c r="V2713" s="30" t="n"/>
      <c r="W2713" s="29">
        <f>IF(H2713="","",IF(H2713="Kenya","Yes","No"))</f>
        <v/>
      </c>
      <c r="X2713" s="29">
        <f>IF(B2713="","",IF(COUNTIF($B$5:$B$3004,B2713)&gt;1,"DUPLICATE","OK"))</f>
        <v/>
      </c>
      <c r="Y2713" s="29">
        <f>IF(OR(U2713="",V2713="",V2713="Excluded"),"",IF(COUNTIFS($U$5:$U$3004,U2713,$V$5:$V$3004,"&lt;&gt;"&amp;V2713,$V$5:$V$3004,"&lt;&gt;",$V$5:$V$3004,"&lt;&gt;Excluded")&gt;0,"LEAK RISK","OK"))</f>
        <v/>
      </c>
      <c r="Z2713" s="30" t="n"/>
    </row>
    <row r="2714">
      <c r="A2714" s="30" t="n"/>
      <c r="B2714" s="30" t="n"/>
      <c r="C2714" s="30" t="n"/>
      <c r="D2714" s="30" t="n"/>
      <c r="E2714" s="30" t="n"/>
      <c r="F2714" s="30" t="n"/>
      <c r="G2714" s="30" t="n"/>
      <c r="H2714" s="30" t="n"/>
      <c r="I2714" s="31" t="n"/>
      <c r="J2714" s="30" t="n"/>
      <c r="K2714" s="30" t="n"/>
      <c r="L2714" s="30" t="n"/>
      <c r="M2714" s="30" t="n"/>
      <c r="N2714" s="32" t="n"/>
      <c r="O2714" s="30" t="n"/>
      <c r="P2714" s="32" t="n"/>
      <c r="Q2714" s="30" t="n"/>
      <c r="R2714" s="32" t="n"/>
      <c r="S2714" s="30" t="n"/>
      <c r="T2714" s="30" t="n"/>
      <c r="U2714" s="30" t="n"/>
      <c r="V2714" s="30" t="n"/>
      <c r="W2714" s="29">
        <f>IF(H2714="","",IF(H2714="Kenya","Yes","No"))</f>
        <v/>
      </c>
      <c r="X2714" s="29">
        <f>IF(B2714="","",IF(COUNTIF($B$5:$B$3004,B2714)&gt;1,"DUPLICATE","OK"))</f>
        <v/>
      </c>
      <c r="Y2714" s="29">
        <f>IF(OR(U2714="",V2714="",V2714="Excluded"),"",IF(COUNTIFS($U$5:$U$3004,U2714,$V$5:$V$3004,"&lt;&gt;"&amp;V2714,$V$5:$V$3004,"&lt;&gt;",$V$5:$V$3004,"&lt;&gt;Excluded")&gt;0,"LEAK RISK","OK"))</f>
        <v/>
      </c>
      <c r="Z2714" s="30" t="n"/>
    </row>
    <row r="2715">
      <c r="A2715" s="30" t="n"/>
      <c r="B2715" s="30" t="n"/>
      <c r="C2715" s="30" t="n"/>
      <c r="D2715" s="30" t="n"/>
      <c r="E2715" s="30" t="n"/>
      <c r="F2715" s="30" t="n"/>
      <c r="G2715" s="30" t="n"/>
      <c r="H2715" s="30" t="n"/>
      <c r="I2715" s="31" t="n"/>
      <c r="J2715" s="30" t="n"/>
      <c r="K2715" s="30" t="n"/>
      <c r="L2715" s="30" t="n"/>
      <c r="M2715" s="30" t="n"/>
      <c r="N2715" s="32" t="n"/>
      <c r="O2715" s="30" t="n"/>
      <c r="P2715" s="32" t="n"/>
      <c r="Q2715" s="30" t="n"/>
      <c r="R2715" s="32" t="n"/>
      <c r="S2715" s="30" t="n"/>
      <c r="T2715" s="30" t="n"/>
      <c r="U2715" s="30" t="n"/>
      <c r="V2715" s="30" t="n"/>
      <c r="W2715" s="29">
        <f>IF(H2715="","",IF(H2715="Kenya","Yes","No"))</f>
        <v/>
      </c>
      <c r="X2715" s="29">
        <f>IF(B2715="","",IF(COUNTIF($B$5:$B$3004,B2715)&gt;1,"DUPLICATE","OK"))</f>
        <v/>
      </c>
      <c r="Y2715" s="29">
        <f>IF(OR(U2715="",V2715="",V2715="Excluded"),"",IF(COUNTIFS($U$5:$U$3004,U2715,$V$5:$V$3004,"&lt;&gt;"&amp;V2715,$V$5:$V$3004,"&lt;&gt;",$V$5:$V$3004,"&lt;&gt;Excluded")&gt;0,"LEAK RISK","OK"))</f>
        <v/>
      </c>
      <c r="Z2715" s="30" t="n"/>
    </row>
    <row r="2716">
      <c r="A2716" s="30" t="n"/>
      <c r="B2716" s="30" t="n"/>
      <c r="C2716" s="30" t="n"/>
      <c r="D2716" s="30" t="n"/>
      <c r="E2716" s="30" t="n"/>
      <c r="F2716" s="30" t="n"/>
      <c r="G2716" s="30" t="n"/>
      <c r="H2716" s="30" t="n"/>
      <c r="I2716" s="31" t="n"/>
      <c r="J2716" s="30" t="n"/>
      <c r="K2716" s="30" t="n"/>
      <c r="L2716" s="30" t="n"/>
      <c r="M2716" s="30" t="n"/>
      <c r="N2716" s="32" t="n"/>
      <c r="O2716" s="30" t="n"/>
      <c r="P2716" s="32" t="n"/>
      <c r="Q2716" s="30" t="n"/>
      <c r="R2716" s="32" t="n"/>
      <c r="S2716" s="30" t="n"/>
      <c r="T2716" s="30" t="n"/>
      <c r="U2716" s="30" t="n"/>
      <c r="V2716" s="30" t="n"/>
      <c r="W2716" s="29">
        <f>IF(H2716="","",IF(H2716="Kenya","Yes","No"))</f>
        <v/>
      </c>
      <c r="X2716" s="29">
        <f>IF(B2716="","",IF(COUNTIF($B$5:$B$3004,B2716)&gt;1,"DUPLICATE","OK"))</f>
        <v/>
      </c>
      <c r="Y2716" s="29">
        <f>IF(OR(U2716="",V2716="",V2716="Excluded"),"",IF(COUNTIFS($U$5:$U$3004,U2716,$V$5:$V$3004,"&lt;&gt;"&amp;V2716,$V$5:$V$3004,"&lt;&gt;",$V$5:$V$3004,"&lt;&gt;Excluded")&gt;0,"LEAK RISK","OK"))</f>
        <v/>
      </c>
      <c r="Z2716" s="30" t="n"/>
    </row>
    <row r="2717">
      <c r="A2717" s="30" t="n"/>
      <c r="B2717" s="30" t="n"/>
      <c r="C2717" s="30" t="n"/>
      <c r="D2717" s="30" t="n"/>
      <c r="E2717" s="30" t="n"/>
      <c r="F2717" s="30" t="n"/>
      <c r="G2717" s="30" t="n"/>
      <c r="H2717" s="30" t="n"/>
      <c r="I2717" s="31" t="n"/>
      <c r="J2717" s="30" t="n"/>
      <c r="K2717" s="30" t="n"/>
      <c r="L2717" s="30" t="n"/>
      <c r="M2717" s="30" t="n"/>
      <c r="N2717" s="32" t="n"/>
      <c r="O2717" s="30" t="n"/>
      <c r="P2717" s="32" t="n"/>
      <c r="Q2717" s="30" t="n"/>
      <c r="R2717" s="32" t="n"/>
      <c r="S2717" s="30" t="n"/>
      <c r="T2717" s="30" t="n"/>
      <c r="U2717" s="30" t="n"/>
      <c r="V2717" s="30" t="n"/>
      <c r="W2717" s="29">
        <f>IF(H2717="","",IF(H2717="Kenya","Yes","No"))</f>
        <v/>
      </c>
      <c r="X2717" s="29">
        <f>IF(B2717="","",IF(COUNTIF($B$5:$B$3004,B2717)&gt;1,"DUPLICATE","OK"))</f>
        <v/>
      </c>
      <c r="Y2717" s="29">
        <f>IF(OR(U2717="",V2717="",V2717="Excluded"),"",IF(COUNTIFS($U$5:$U$3004,U2717,$V$5:$V$3004,"&lt;&gt;"&amp;V2717,$V$5:$V$3004,"&lt;&gt;",$V$5:$V$3004,"&lt;&gt;Excluded")&gt;0,"LEAK RISK","OK"))</f>
        <v/>
      </c>
      <c r="Z2717" s="30" t="n"/>
    </row>
    <row r="2718">
      <c r="A2718" s="30" t="n"/>
      <c r="B2718" s="30" t="n"/>
      <c r="C2718" s="30" t="n"/>
      <c r="D2718" s="30" t="n"/>
      <c r="E2718" s="30" t="n"/>
      <c r="F2718" s="30" t="n"/>
      <c r="G2718" s="30" t="n"/>
      <c r="H2718" s="30" t="n"/>
      <c r="I2718" s="31" t="n"/>
      <c r="J2718" s="30" t="n"/>
      <c r="K2718" s="30" t="n"/>
      <c r="L2718" s="30" t="n"/>
      <c r="M2718" s="30" t="n"/>
      <c r="N2718" s="32" t="n"/>
      <c r="O2718" s="30" t="n"/>
      <c r="P2718" s="32" t="n"/>
      <c r="Q2718" s="30" t="n"/>
      <c r="R2718" s="32" t="n"/>
      <c r="S2718" s="30" t="n"/>
      <c r="T2718" s="30" t="n"/>
      <c r="U2718" s="30" t="n"/>
      <c r="V2718" s="30" t="n"/>
      <c r="W2718" s="29">
        <f>IF(H2718="","",IF(H2718="Kenya","Yes","No"))</f>
        <v/>
      </c>
      <c r="X2718" s="29">
        <f>IF(B2718="","",IF(COUNTIF($B$5:$B$3004,B2718)&gt;1,"DUPLICATE","OK"))</f>
        <v/>
      </c>
      <c r="Y2718" s="29">
        <f>IF(OR(U2718="",V2718="",V2718="Excluded"),"",IF(COUNTIFS($U$5:$U$3004,U2718,$V$5:$V$3004,"&lt;&gt;"&amp;V2718,$V$5:$V$3004,"&lt;&gt;",$V$5:$V$3004,"&lt;&gt;Excluded")&gt;0,"LEAK RISK","OK"))</f>
        <v/>
      </c>
      <c r="Z2718" s="30" t="n"/>
    </row>
    <row r="2719">
      <c r="A2719" s="30" t="n"/>
      <c r="B2719" s="30" t="n"/>
      <c r="C2719" s="30" t="n"/>
      <c r="D2719" s="30" t="n"/>
      <c r="E2719" s="30" t="n"/>
      <c r="F2719" s="30" t="n"/>
      <c r="G2719" s="30" t="n"/>
      <c r="H2719" s="30" t="n"/>
      <c r="I2719" s="31" t="n"/>
      <c r="J2719" s="30" t="n"/>
      <c r="K2719" s="30" t="n"/>
      <c r="L2719" s="30" t="n"/>
      <c r="M2719" s="30" t="n"/>
      <c r="N2719" s="32" t="n"/>
      <c r="O2719" s="30" t="n"/>
      <c r="P2719" s="32" t="n"/>
      <c r="Q2719" s="30" t="n"/>
      <c r="R2719" s="32" t="n"/>
      <c r="S2719" s="30" t="n"/>
      <c r="T2719" s="30" t="n"/>
      <c r="U2719" s="30" t="n"/>
      <c r="V2719" s="30" t="n"/>
      <c r="W2719" s="29">
        <f>IF(H2719="","",IF(H2719="Kenya","Yes","No"))</f>
        <v/>
      </c>
      <c r="X2719" s="29">
        <f>IF(B2719="","",IF(COUNTIF($B$5:$B$3004,B2719)&gt;1,"DUPLICATE","OK"))</f>
        <v/>
      </c>
      <c r="Y2719" s="29">
        <f>IF(OR(U2719="",V2719="",V2719="Excluded"),"",IF(COUNTIFS($U$5:$U$3004,U2719,$V$5:$V$3004,"&lt;&gt;"&amp;V2719,$V$5:$V$3004,"&lt;&gt;",$V$5:$V$3004,"&lt;&gt;Excluded")&gt;0,"LEAK RISK","OK"))</f>
        <v/>
      </c>
      <c r="Z2719" s="30" t="n"/>
    </row>
    <row r="2720">
      <c r="A2720" s="30" t="n"/>
      <c r="B2720" s="30" t="n"/>
      <c r="C2720" s="30" t="n"/>
      <c r="D2720" s="30" t="n"/>
      <c r="E2720" s="30" t="n"/>
      <c r="F2720" s="30" t="n"/>
      <c r="G2720" s="30" t="n"/>
      <c r="H2720" s="30" t="n"/>
      <c r="I2720" s="31" t="n"/>
      <c r="J2720" s="30" t="n"/>
      <c r="K2720" s="30" t="n"/>
      <c r="L2720" s="30" t="n"/>
      <c r="M2720" s="30" t="n"/>
      <c r="N2720" s="32" t="n"/>
      <c r="O2720" s="30" t="n"/>
      <c r="P2720" s="32" t="n"/>
      <c r="Q2720" s="30" t="n"/>
      <c r="R2720" s="32" t="n"/>
      <c r="S2720" s="30" t="n"/>
      <c r="T2720" s="30" t="n"/>
      <c r="U2720" s="30" t="n"/>
      <c r="V2720" s="30" t="n"/>
      <c r="W2720" s="29">
        <f>IF(H2720="","",IF(H2720="Kenya","Yes","No"))</f>
        <v/>
      </c>
      <c r="X2720" s="29">
        <f>IF(B2720="","",IF(COUNTIF($B$5:$B$3004,B2720)&gt;1,"DUPLICATE","OK"))</f>
        <v/>
      </c>
      <c r="Y2720" s="29">
        <f>IF(OR(U2720="",V2720="",V2720="Excluded"),"",IF(COUNTIFS($U$5:$U$3004,U2720,$V$5:$V$3004,"&lt;&gt;"&amp;V2720,$V$5:$V$3004,"&lt;&gt;",$V$5:$V$3004,"&lt;&gt;Excluded")&gt;0,"LEAK RISK","OK"))</f>
        <v/>
      </c>
      <c r="Z2720" s="30" t="n"/>
    </row>
    <row r="2721">
      <c r="A2721" s="30" t="n"/>
      <c r="B2721" s="30" t="n"/>
      <c r="C2721" s="30" t="n"/>
      <c r="D2721" s="30" t="n"/>
      <c r="E2721" s="30" t="n"/>
      <c r="F2721" s="30" t="n"/>
      <c r="G2721" s="30" t="n"/>
      <c r="H2721" s="30" t="n"/>
      <c r="I2721" s="31" t="n"/>
      <c r="J2721" s="30" t="n"/>
      <c r="K2721" s="30" t="n"/>
      <c r="L2721" s="30" t="n"/>
      <c r="M2721" s="30" t="n"/>
      <c r="N2721" s="32" t="n"/>
      <c r="O2721" s="30" t="n"/>
      <c r="P2721" s="32" t="n"/>
      <c r="Q2721" s="30" t="n"/>
      <c r="R2721" s="32" t="n"/>
      <c r="S2721" s="30" t="n"/>
      <c r="T2721" s="30" t="n"/>
      <c r="U2721" s="30" t="n"/>
      <c r="V2721" s="30" t="n"/>
      <c r="W2721" s="29">
        <f>IF(H2721="","",IF(H2721="Kenya","Yes","No"))</f>
        <v/>
      </c>
      <c r="X2721" s="29">
        <f>IF(B2721="","",IF(COUNTIF($B$5:$B$3004,B2721)&gt;1,"DUPLICATE","OK"))</f>
        <v/>
      </c>
      <c r="Y2721" s="29">
        <f>IF(OR(U2721="",V2721="",V2721="Excluded"),"",IF(COUNTIFS($U$5:$U$3004,U2721,$V$5:$V$3004,"&lt;&gt;"&amp;V2721,$V$5:$V$3004,"&lt;&gt;",$V$5:$V$3004,"&lt;&gt;Excluded")&gt;0,"LEAK RISK","OK"))</f>
        <v/>
      </c>
      <c r="Z2721" s="30" t="n"/>
    </row>
    <row r="2722">
      <c r="A2722" s="30" t="n"/>
      <c r="B2722" s="30" t="n"/>
      <c r="C2722" s="30" t="n"/>
      <c r="D2722" s="30" t="n"/>
      <c r="E2722" s="30" t="n"/>
      <c r="F2722" s="30" t="n"/>
      <c r="G2722" s="30" t="n"/>
      <c r="H2722" s="30" t="n"/>
      <c r="I2722" s="31" t="n"/>
      <c r="J2722" s="30" t="n"/>
      <c r="K2722" s="30" t="n"/>
      <c r="L2722" s="30" t="n"/>
      <c r="M2722" s="30" t="n"/>
      <c r="N2722" s="32" t="n"/>
      <c r="O2722" s="30" t="n"/>
      <c r="P2722" s="32" t="n"/>
      <c r="Q2722" s="30" t="n"/>
      <c r="R2722" s="32" t="n"/>
      <c r="S2722" s="30" t="n"/>
      <c r="T2722" s="30" t="n"/>
      <c r="U2722" s="30" t="n"/>
      <c r="V2722" s="30" t="n"/>
      <c r="W2722" s="29">
        <f>IF(H2722="","",IF(H2722="Kenya","Yes","No"))</f>
        <v/>
      </c>
      <c r="X2722" s="29">
        <f>IF(B2722="","",IF(COUNTIF($B$5:$B$3004,B2722)&gt;1,"DUPLICATE","OK"))</f>
        <v/>
      </c>
      <c r="Y2722" s="29">
        <f>IF(OR(U2722="",V2722="",V2722="Excluded"),"",IF(COUNTIFS($U$5:$U$3004,U2722,$V$5:$V$3004,"&lt;&gt;"&amp;V2722,$V$5:$V$3004,"&lt;&gt;",$V$5:$V$3004,"&lt;&gt;Excluded")&gt;0,"LEAK RISK","OK"))</f>
        <v/>
      </c>
      <c r="Z2722" s="30" t="n"/>
    </row>
    <row r="2723">
      <c r="A2723" s="30" t="n"/>
      <c r="B2723" s="30" t="n"/>
      <c r="C2723" s="30" t="n"/>
      <c r="D2723" s="30" t="n"/>
      <c r="E2723" s="30" t="n"/>
      <c r="F2723" s="30" t="n"/>
      <c r="G2723" s="30" t="n"/>
      <c r="H2723" s="30" t="n"/>
      <c r="I2723" s="31" t="n"/>
      <c r="J2723" s="30" t="n"/>
      <c r="K2723" s="30" t="n"/>
      <c r="L2723" s="30" t="n"/>
      <c r="M2723" s="30" t="n"/>
      <c r="N2723" s="32" t="n"/>
      <c r="O2723" s="30" t="n"/>
      <c r="P2723" s="32" t="n"/>
      <c r="Q2723" s="30" t="n"/>
      <c r="R2723" s="32" t="n"/>
      <c r="S2723" s="30" t="n"/>
      <c r="T2723" s="30" t="n"/>
      <c r="U2723" s="30" t="n"/>
      <c r="V2723" s="30" t="n"/>
      <c r="W2723" s="29">
        <f>IF(H2723="","",IF(H2723="Kenya","Yes","No"))</f>
        <v/>
      </c>
      <c r="X2723" s="29">
        <f>IF(B2723="","",IF(COUNTIF($B$5:$B$3004,B2723)&gt;1,"DUPLICATE","OK"))</f>
        <v/>
      </c>
      <c r="Y2723" s="29">
        <f>IF(OR(U2723="",V2723="",V2723="Excluded"),"",IF(COUNTIFS($U$5:$U$3004,U2723,$V$5:$V$3004,"&lt;&gt;"&amp;V2723,$V$5:$V$3004,"&lt;&gt;",$V$5:$V$3004,"&lt;&gt;Excluded")&gt;0,"LEAK RISK","OK"))</f>
        <v/>
      </c>
      <c r="Z2723" s="30" t="n"/>
    </row>
    <row r="2724">
      <c r="A2724" s="30" t="n"/>
      <c r="B2724" s="30" t="n"/>
      <c r="C2724" s="30" t="n"/>
      <c r="D2724" s="30" t="n"/>
      <c r="E2724" s="30" t="n"/>
      <c r="F2724" s="30" t="n"/>
      <c r="G2724" s="30" t="n"/>
      <c r="H2724" s="30" t="n"/>
      <c r="I2724" s="31" t="n"/>
      <c r="J2724" s="30" t="n"/>
      <c r="K2724" s="30" t="n"/>
      <c r="L2724" s="30" t="n"/>
      <c r="M2724" s="30" t="n"/>
      <c r="N2724" s="32" t="n"/>
      <c r="O2724" s="30" t="n"/>
      <c r="P2724" s="32" t="n"/>
      <c r="Q2724" s="30" t="n"/>
      <c r="R2724" s="32" t="n"/>
      <c r="S2724" s="30" t="n"/>
      <c r="T2724" s="30" t="n"/>
      <c r="U2724" s="30" t="n"/>
      <c r="V2724" s="30" t="n"/>
      <c r="W2724" s="29">
        <f>IF(H2724="","",IF(H2724="Kenya","Yes","No"))</f>
        <v/>
      </c>
      <c r="X2724" s="29">
        <f>IF(B2724="","",IF(COUNTIF($B$5:$B$3004,B2724)&gt;1,"DUPLICATE","OK"))</f>
        <v/>
      </c>
      <c r="Y2724" s="29">
        <f>IF(OR(U2724="",V2724="",V2724="Excluded"),"",IF(COUNTIFS($U$5:$U$3004,U2724,$V$5:$V$3004,"&lt;&gt;"&amp;V2724,$V$5:$V$3004,"&lt;&gt;",$V$5:$V$3004,"&lt;&gt;Excluded")&gt;0,"LEAK RISK","OK"))</f>
        <v/>
      </c>
      <c r="Z2724" s="30" t="n"/>
    </row>
    <row r="2725">
      <c r="A2725" s="30" t="n"/>
      <c r="B2725" s="30" t="n"/>
      <c r="C2725" s="30" t="n"/>
      <c r="D2725" s="30" t="n"/>
      <c r="E2725" s="30" t="n"/>
      <c r="F2725" s="30" t="n"/>
      <c r="G2725" s="30" t="n"/>
      <c r="H2725" s="30" t="n"/>
      <c r="I2725" s="31" t="n"/>
      <c r="J2725" s="30" t="n"/>
      <c r="K2725" s="30" t="n"/>
      <c r="L2725" s="30" t="n"/>
      <c r="M2725" s="30" t="n"/>
      <c r="N2725" s="32" t="n"/>
      <c r="O2725" s="30" t="n"/>
      <c r="P2725" s="32" t="n"/>
      <c r="Q2725" s="30" t="n"/>
      <c r="R2725" s="32" t="n"/>
      <c r="S2725" s="30" t="n"/>
      <c r="T2725" s="30" t="n"/>
      <c r="U2725" s="30" t="n"/>
      <c r="V2725" s="30" t="n"/>
      <c r="W2725" s="29">
        <f>IF(H2725="","",IF(H2725="Kenya","Yes","No"))</f>
        <v/>
      </c>
      <c r="X2725" s="29">
        <f>IF(B2725="","",IF(COUNTIF($B$5:$B$3004,B2725)&gt;1,"DUPLICATE","OK"))</f>
        <v/>
      </c>
      <c r="Y2725" s="29">
        <f>IF(OR(U2725="",V2725="",V2725="Excluded"),"",IF(COUNTIFS($U$5:$U$3004,U2725,$V$5:$V$3004,"&lt;&gt;"&amp;V2725,$V$5:$V$3004,"&lt;&gt;",$V$5:$V$3004,"&lt;&gt;Excluded")&gt;0,"LEAK RISK","OK"))</f>
        <v/>
      </c>
      <c r="Z2725" s="30" t="n"/>
    </row>
    <row r="2726">
      <c r="A2726" s="30" t="n"/>
      <c r="B2726" s="30" t="n"/>
      <c r="C2726" s="30" t="n"/>
      <c r="D2726" s="30" t="n"/>
      <c r="E2726" s="30" t="n"/>
      <c r="F2726" s="30" t="n"/>
      <c r="G2726" s="30" t="n"/>
      <c r="H2726" s="30" t="n"/>
      <c r="I2726" s="31" t="n"/>
      <c r="J2726" s="30" t="n"/>
      <c r="K2726" s="30" t="n"/>
      <c r="L2726" s="30" t="n"/>
      <c r="M2726" s="30" t="n"/>
      <c r="N2726" s="32" t="n"/>
      <c r="O2726" s="30" t="n"/>
      <c r="P2726" s="32" t="n"/>
      <c r="Q2726" s="30" t="n"/>
      <c r="R2726" s="32" t="n"/>
      <c r="S2726" s="30" t="n"/>
      <c r="T2726" s="30" t="n"/>
      <c r="U2726" s="30" t="n"/>
      <c r="V2726" s="30" t="n"/>
      <c r="W2726" s="29">
        <f>IF(H2726="","",IF(H2726="Kenya","Yes","No"))</f>
        <v/>
      </c>
      <c r="X2726" s="29">
        <f>IF(B2726="","",IF(COUNTIF($B$5:$B$3004,B2726)&gt;1,"DUPLICATE","OK"))</f>
        <v/>
      </c>
      <c r="Y2726" s="29">
        <f>IF(OR(U2726="",V2726="",V2726="Excluded"),"",IF(COUNTIFS($U$5:$U$3004,U2726,$V$5:$V$3004,"&lt;&gt;"&amp;V2726,$V$5:$V$3004,"&lt;&gt;",$V$5:$V$3004,"&lt;&gt;Excluded")&gt;0,"LEAK RISK","OK"))</f>
        <v/>
      </c>
      <c r="Z2726" s="30" t="n"/>
    </row>
    <row r="2727">
      <c r="A2727" s="30" t="n"/>
      <c r="B2727" s="30" t="n"/>
      <c r="C2727" s="30" t="n"/>
      <c r="D2727" s="30" t="n"/>
      <c r="E2727" s="30" t="n"/>
      <c r="F2727" s="30" t="n"/>
      <c r="G2727" s="30" t="n"/>
      <c r="H2727" s="30" t="n"/>
      <c r="I2727" s="31" t="n"/>
      <c r="J2727" s="30" t="n"/>
      <c r="K2727" s="30" t="n"/>
      <c r="L2727" s="30" t="n"/>
      <c r="M2727" s="30" t="n"/>
      <c r="N2727" s="32" t="n"/>
      <c r="O2727" s="30" t="n"/>
      <c r="P2727" s="32" t="n"/>
      <c r="Q2727" s="30" t="n"/>
      <c r="R2727" s="32" t="n"/>
      <c r="S2727" s="30" t="n"/>
      <c r="T2727" s="30" t="n"/>
      <c r="U2727" s="30" t="n"/>
      <c r="V2727" s="30" t="n"/>
      <c r="W2727" s="29">
        <f>IF(H2727="","",IF(H2727="Kenya","Yes","No"))</f>
        <v/>
      </c>
      <c r="X2727" s="29">
        <f>IF(B2727="","",IF(COUNTIF($B$5:$B$3004,B2727)&gt;1,"DUPLICATE","OK"))</f>
        <v/>
      </c>
      <c r="Y2727" s="29">
        <f>IF(OR(U2727="",V2727="",V2727="Excluded"),"",IF(COUNTIFS($U$5:$U$3004,U2727,$V$5:$V$3004,"&lt;&gt;"&amp;V2727,$V$5:$V$3004,"&lt;&gt;",$V$5:$V$3004,"&lt;&gt;Excluded")&gt;0,"LEAK RISK","OK"))</f>
        <v/>
      </c>
      <c r="Z2727" s="30" t="n"/>
    </row>
    <row r="2728">
      <c r="A2728" s="30" t="n"/>
      <c r="B2728" s="30" t="n"/>
      <c r="C2728" s="30" t="n"/>
      <c r="D2728" s="30" t="n"/>
      <c r="E2728" s="30" t="n"/>
      <c r="F2728" s="30" t="n"/>
      <c r="G2728" s="30" t="n"/>
      <c r="H2728" s="30" t="n"/>
      <c r="I2728" s="31" t="n"/>
      <c r="J2728" s="30" t="n"/>
      <c r="K2728" s="30" t="n"/>
      <c r="L2728" s="30" t="n"/>
      <c r="M2728" s="30" t="n"/>
      <c r="N2728" s="32" t="n"/>
      <c r="O2728" s="30" t="n"/>
      <c r="P2728" s="32" t="n"/>
      <c r="Q2728" s="30" t="n"/>
      <c r="R2728" s="32" t="n"/>
      <c r="S2728" s="30" t="n"/>
      <c r="T2728" s="30" t="n"/>
      <c r="U2728" s="30" t="n"/>
      <c r="V2728" s="30" t="n"/>
      <c r="W2728" s="29">
        <f>IF(H2728="","",IF(H2728="Kenya","Yes","No"))</f>
        <v/>
      </c>
      <c r="X2728" s="29">
        <f>IF(B2728="","",IF(COUNTIF($B$5:$B$3004,B2728)&gt;1,"DUPLICATE","OK"))</f>
        <v/>
      </c>
      <c r="Y2728" s="29">
        <f>IF(OR(U2728="",V2728="",V2728="Excluded"),"",IF(COUNTIFS($U$5:$U$3004,U2728,$V$5:$V$3004,"&lt;&gt;"&amp;V2728,$V$5:$V$3004,"&lt;&gt;",$V$5:$V$3004,"&lt;&gt;Excluded")&gt;0,"LEAK RISK","OK"))</f>
        <v/>
      </c>
      <c r="Z2728" s="30" t="n"/>
    </row>
    <row r="2729">
      <c r="A2729" s="30" t="n"/>
      <c r="B2729" s="30" t="n"/>
      <c r="C2729" s="30" t="n"/>
      <c r="D2729" s="30" t="n"/>
      <c r="E2729" s="30" t="n"/>
      <c r="F2729" s="30" t="n"/>
      <c r="G2729" s="30" t="n"/>
      <c r="H2729" s="30" t="n"/>
      <c r="I2729" s="31" t="n"/>
      <c r="J2729" s="30" t="n"/>
      <c r="K2729" s="30" t="n"/>
      <c r="L2729" s="30" t="n"/>
      <c r="M2729" s="30" t="n"/>
      <c r="N2729" s="32" t="n"/>
      <c r="O2729" s="30" t="n"/>
      <c r="P2729" s="32" t="n"/>
      <c r="Q2729" s="30" t="n"/>
      <c r="R2729" s="32" t="n"/>
      <c r="S2729" s="30" t="n"/>
      <c r="T2729" s="30" t="n"/>
      <c r="U2729" s="30" t="n"/>
      <c r="V2729" s="30" t="n"/>
      <c r="W2729" s="29">
        <f>IF(H2729="","",IF(H2729="Kenya","Yes","No"))</f>
        <v/>
      </c>
      <c r="X2729" s="29">
        <f>IF(B2729="","",IF(COUNTIF($B$5:$B$3004,B2729)&gt;1,"DUPLICATE","OK"))</f>
        <v/>
      </c>
      <c r="Y2729" s="29">
        <f>IF(OR(U2729="",V2729="",V2729="Excluded"),"",IF(COUNTIFS($U$5:$U$3004,U2729,$V$5:$V$3004,"&lt;&gt;"&amp;V2729,$V$5:$V$3004,"&lt;&gt;",$V$5:$V$3004,"&lt;&gt;Excluded")&gt;0,"LEAK RISK","OK"))</f>
        <v/>
      </c>
      <c r="Z2729" s="30" t="n"/>
    </row>
    <row r="2730">
      <c r="A2730" s="30" t="n"/>
      <c r="B2730" s="30" t="n"/>
      <c r="C2730" s="30" t="n"/>
      <c r="D2730" s="30" t="n"/>
      <c r="E2730" s="30" t="n"/>
      <c r="F2730" s="30" t="n"/>
      <c r="G2730" s="30" t="n"/>
      <c r="H2730" s="30" t="n"/>
      <c r="I2730" s="31" t="n"/>
      <c r="J2730" s="30" t="n"/>
      <c r="K2730" s="30" t="n"/>
      <c r="L2730" s="30" t="n"/>
      <c r="M2730" s="30" t="n"/>
      <c r="N2730" s="32" t="n"/>
      <c r="O2730" s="30" t="n"/>
      <c r="P2730" s="32" t="n"/>
      <c r="Q2730" s="30" t="n"/>
      <c r="R2730" s="32" t="n"/>
      <c r="S2730" s="30" t="n"/>
      <c r="T2730" s="30" t="n"/>
      <c r="U2730" s="30" t="n"/>
      <c r="V2730" s="30" t="n"/>
      <c r="W2730" s="29">
        <f>IF(H2730="","",IF(H2730="Kenya","Yes","No"))</f>
        <v/>
      </c>
      <c r="X2730" s="29">
        <f>IF(B2730="","",IF(COUNTIF($B$5:$B$3004,B2730)&gt;1,"DUPLICATE","OK"))</f>
        <v/>
      </c>
      <c r="Y2730" s="29">
        <f>IF(OR(U2730="",V2730="",V2730="Excluded"),"",IF(COUNTIFS($U$5:$U$3004,U2730,$V$5:$V$3004,"&lt;&gt;"&amp;V2730,$V$5:$V$3004,"&lt;&gt;",$V$5:$V$3004,"&lt;&gt;Excluded")&gt;0,"LEAK RISK","OK"))</f>
        <v/>
      </c>
      <c r="Z2730" s="30" t="n"/>
    </row>
    <row r="2731">
      <c r="A2731" s="30" t="n"/>
      <c r="B2731" s="30" t="n"/>
      <c r="C2731" s="30" t="n"/>
      <c r="D2731" s="30" t="n"/>
      <c r="E2731" s="30" t="n"/>
      <c r="F2731" s="30" t="n"/>
      <c r="G2731" s="30" t="n"/>
      <c r="H2731" s="30" t="n"/>
      <c r="I2731" s="31" t="n"/>
      <c r="J2731" s="30" t="n"/>
      <c r="K2731" s="30" t="n"/>
      <c r="L2731" s="30" t="n"/>
      <c r="M2731" s="30" t="n"/>
      <c r="N2731" s="32" t="n"/>
      <c r="O2731" s="30" t="n"/>
      <c r="P2731" s="32" t="n"/>
      <c r="Q2731" s="30" t="n"/>
      <c r="R2731" s="32" t="n"/>
      <c r="S2731" s="30" t="n"/>
      <c r="T2731" s="30" t="n"/>
      <c r="U2731" s="30" t="n"/>
      <c r="V2731" s="30" t="n"/>
      <c r="W2731" s="29">
        <f>IF(H2731="","",IF(H2731="Kenya","Yes","No"))</f>
        <v/>
      </c>
      <c r="X2731" s="29">
        <f>IF(B2731="","",IF(COUNTIF($B$5:$B$3004,B2731)&gt;1,"DUPLICATE","OK"))</f>
        <v/>
      </c>
      <c r="Y2731" s="29">
        <f>IF(OR(U2731="",V2731="",V2731="Excluded"),"",IF(COUNTIFS($U$5:$U$3004,U2731,$V$5:$V$3004,"&lt;&gt;"&amp;V2731,$V$5:$V$3004,"&lt;&gt;",$V$5:$V$3004,"&lt;&gt;Excluded")&gt;0,"LEAK RISK","OK"))</f>
        <v/>
      </c>
      <c r="Z2731" s="30" t="n"/>
    </row>
    <row r="2732">
      <c r="A2732" s="30" t="n"/>
      <c r="B2732" s="30" t="n"/>
      <c r="C2732" s="30" t="n"/>
      <c r="D2732" s="30" t="n"/>
      <c r="E2732" s="30" t="n"/>
      <c r="F2732" s="30" t="n"/>
      <c r="G2732" s="30" t="n"/>
      <c r="H2732" s="30" t="n"/>
      <c r="I2732" s="31" t="n"/>
      <c r="J2732" s="30" t="n"/>
      <c r="K2732" s="30" t="n"/>
      <c r="L2732" s="30" t="n"/>
      <c r="M2732" s="30" t="n"/>
      <c r="N2732" s="32" t="n"/>
      <c r="O2732" s="30" t="n"/>
      <c r="P2732" s="32" t="n"/>
      <c r="Q2732" s="30" t="n"/>
      <c r="R2732" s="32" t="n"/>
      <c r="S2732" s="30" t="n"/>
      <c r="T2732" s="30" t="n"/>
      <c r="U2732" s="30" t="n"/>
      <c r="V2732" s="30" t="n"/>
      <c r="W2732" s="29">
        <f>IF(H2732="","",IF(H2732="Kenya","Yes","No"))</f>
        <v/>
      </c>
      <c r="X2732" s="29">
        <f>IF(B2732="","",IF(COUNTIF($B$5:$B$3004,B2732)&gt;1,"DUPLICATE","OK"))</f>
        <v/>
      </c>
      <c r="Y2732" s="29">
        <f>IF(OR(U2732="",V2732="",V2732="Excluded"),"",IF(COUNTIFS($U$5:$U$3004,U2732,$V$5:$V$3004,"&lt;&gt;"&amp;V2732,$V$5:$V$3004,"&lt;&gt;",$V$5:$V$3004,"&lt;&gt;Excluded")&gt;0,"LEAK RISK","OK"))</f>
        <v/>
      </c>
      <c r="Z2732" s="30" t="n"/>
    </row>
    <row r="2733">
      <c r="A2733" s="30" t="n"/>
      <c r="B2733" s="30" t="n"/>
      <c r="C2733" s="30" t="n"/>
      <c r="D2733" s="30" t="n"/>
      <c r="E2733" s="30" t="n"/>
      <c r="F2733" s="30" t="n"/>
      <c r="G2733" s="30" t="n"/>
      <c r="H2733" s="30" t="n"/>
      <c r="I2733" s="31" t="n"/>
      <c r="J2733" s="30" t="n"/>
      <c r="K2733" s="30" t="n"/>
      <c r="L2733" s="30" t="n"/>
      <c r="M2733" s="30" t="n"/>
      <c r="N2733" s="32" t="n"/>
      <c r="O2733" s="30" t="n"/>
      <c r="P2733" s="32" t="n"/>
      <c r="Q2733" s="30" t="n"/>
      <c r="R2733" s="32" t="n"/>
      <c r="S2733" s="30" t="n"/>
      <c r="T2733" s="30" t="n"/>
      <c r="U2733" s="30" t="n"/>
      <c r="V2733" s="30" t="n"/>
      <c r="W2733" s="29">
        <f>IF(H2733="","",IF(H2733="Kenya","Yes","No"))</f>
        <v/>
      </c>
      <c r="X2733" s="29">
        <f>IF(B2733="","",IF(COUNTIF($B$5:$B$3004,B2733)&gt;1,"DUPLICATE","OK"))</f>
        <v/>
      </c>
      <c r="Y2733" s="29">
        <f>IF(OR(U2733="",V2733="",V2733="Excluded"),"",IF(COUNTIFS($U$5:$U$3004,U2733,$V$5:$V$3004,"&lt;&gt;"&amp;V2733,$V$5:$V$3004,"&lt;&gt;",$V$5:$V$3004,"&lt;&gt;Excluded")&gt;0,"LEAK RISK","OK"))</f>
        <v/>
      </c>
      <c r="Z2733" s="30" t="n"/>
    </row>
    <row r="2734">
      <c r="A2734" s="30" t="n"/>
      <c r="B2734" s="30" t="n"/>
      <c r="C2734" s="30" t="n"/>
      <c r="D2734" s="30" t="n"/>
      <c r="E2734" s="30" t="n"/>
      <c r="F2734" s="30" t="n"/>
      <c r="G2734" s="30" t="n"/>
      <c r="H2734" s="30" t="n"/>
      <c r="I2734" s="31" t="n"/>
      <c r="J2734" s="30" t="n"/>
      <c r="K2734" s="30" t="n"/>
      <c r="L2734" s="30" t="n"/>
      <c r="M2734" s="30" t="n"/>
      <c r="N2734" s="32" t="n"/>
      <c r="O2734" s="30" t="n"/>
      <c r="P2734" s="32" t="n"/>
      <c r="Q2734" s="30" t="n"/>
      <c r="R2734" s="32" t="n"/>
      <c r="S2734" s="30" t="n"/>
      <c r="T2734" s="30" t="n"/>
      <c r="U2734" s="30" t="n"/>
      <c r="V2734" s="30" t="n"/>
      <c r="W2734" s="29">
        <f>IF(H2734="","",IF(H2734="Kenya","Yes","No"))</f>
        <v/>
      </c>
      <c r="X2734" s="29">
        <f>IF(B2734="","",IF(COUNTIF($B$5:$B$3004,B2734)&gt;1,"DUPLICATE","OK"))</f>
        <v/>
      </c>
      <c r="Y2734" s="29">
        <f>IF(OR(U2734="",V2734="",V2734="Excluded"),"",IF(COUNTIFS($U$5:$U$3004,U2734,$V$5:$V$3004,"&lt;&gt;"&amp;V2734,$V$5:$V$3004,"&lt;&gt;",$V$5:$V$3004,"&lt;&gt;Excluded")&gt;0,"LEAK RISK","OK"))</f>
        <v/>
      </c>
      <c r="Z2734" s="30" t="n"/>
    </row>
    <row r="2735">
      <c r="A2735" s="30" t="n"/>
      <c r="B2735" s="30" t="n"/>
      <c r="C2735" s="30" t="n"/>
      <c r="D2735" s="30" t="n"/>
      <c r="E2735" s="30" t="n"/>
      <c r="F2735" s="30" t="n"/>
      <c r="G2735" s="30" t="n"/>
      <c r="H2735" s="30" t="n"/>
      <c r="I2735" s="31" t="n"/>
      <c r="J2735" s="30" t="n"/>
      <c r="K2735" s="30" t="n"/>
      <c r="L2735" s="30" t="n"/>
      <c r="M2735" s="30" t="n"/>
      <c r="N2735" s="32" t="n"/>
      <c r="O2735" s="30" t="n"/>
      <c r="P2735" s="32" t="n"/>
      <c r="Q2735" s="30" t="n"/>
      <c r="R2735" s="32" t="n"/>
      <c r="S2735" s="30" t="n"/>
      <c r="T2735" s="30" t="n"/>
      <c r="U2735" s="30" t="n"/>
      <c r="V2735" s="30" t="n"/>
      <c r="W2735" s="29">
        <f>IF(H2735="","",IF(H2735="Kenya","Yes","No"))</f>
        <v/>
      </c>
      <c r="X2735" s="29">
        <f>IF(B2735="","",IF(COUNTIF($B$5:$B$3004,B2735)&gt;1,"DUPLICATE","OK"))</f>
        <v/>
      </c>
      <c r="Y2735" s="29">
        <f>IF(OR(U2735="",V2735="",V2735="Excluded"),"",IF(COUNTIFS($U$5:$U$3004,U2735,$V$5:$V$3004,"&lt;&gt;"&amp;V2735,$V$5:$V$3004,"&lt;&gt;",$V$5:$V$3004,"&lt;&gt;Excluded")&gt;0,"LEAK RISK","OK"))</f>
        <v/>
      </c>
      <c r="Z2735" s="30" t="n"/>
    </row>
    <row r="2736">
      <c r="A2736" s="30" t="n"/>
      <c r="B2736" s="30" t="n"/>
      <c r="C2736" s="30" t="n"/>
      <c r="D2736" s="30" t="n"/>
      <c r="E2736" s="30" t="n"/>
      <c r="F2736" s="30" t="n"/>
      <c r="G2736" s="30" t="n"/>
      <c r="H2736" s="30" t="n"/>
      <c r="I2736" s="31" t="n"/>
      <c r="J2736" s="30" t="n"/>
      <c r="K2736" s="30" t="n"/>
      <c r="L2736" s="30" t="n"/>
      <c r="M2736" s="30" t="n"/>
      <c r="N2736" s="32" t="n"/>
      <c r="O2736" s="30" t="n"/>
      <c r="P2736" s="32" t="n"/>
      <c r="Q2736" s="30" t="n"/>
      <c r="R2736" s="32" t="n"/>
      <c r="S2736" s="30" t="n"/>
      <c r="T2736" s="30" t="n"/>
      <c r="U2736" s="30" t="n"/>
      <c r="V2736" s="30" t="n"/>
      <c r="W2736" s="29">
        <f>IF(H2736="","",IF(H2736="Kenya","Yes","No"))</f>
        <v/>
      </c>
      <c r="X2736" s="29">
        <f>IF(B2736="","",IF(COUNTIF($B$5:$B$3004,B2736)&gt;1,"DUPLICATE","OK"))</f>
        <v/>
      </c>
      <c r="Y2736" s="29">
        <f>IF(OR(U2736="",V2736="",V2736="Excluded"),"",IF(COUNTIFS($U$5:$U$3004,U2736,$V$5:$V$3004,"&lt;&gt;"&amp;V2736,$V$5:$V$3004,"&lt;&gt;",$V$5:$V$3004,"&lt;&gt;Excluded")&gt;0,"LEAK RISK","OK"))</f>
        <v/>
      </c>
      <c r="Z2736" s="30" t="n"/>
    </row>
    <row r="2737">
      <c r="A2737" s="30" t="n"/>
      <c r="B2737" s="30" t="n"/>
      <c r="C2737" s="30" t="n"/>
      <c r="D2737" s="30" t="n"/>
      <c r="E2737" s="30" t="n"/>
      <c r="F2737" s="30" t="n"/>
      <c r="G2737" s="30" t="n"/>
      <c r="H2737" s="30" t="n"/>
      <c r="I2737" s="31" t="n"/>
      <c r="J2737" s="30" t="n"/>
      <c r="K2737" s="30" t="n"/>
      <c r="L2737" s="30" t="n"/>
      <c r="M2737" s="30" t="n"/>
      <c r="N2737" s="32" t="n"/>
      <c r="O2737" s="30" t="n"/>
      <c r="P2737" s="32" t="n"/>
      <c r="Q2737" s="30" t="n"/>
      <c r="R2737" s="32" t="n"/>
      <c r="S2737" s="30" t="n"/>
      <c r="T2737" s="30" t="n"/>
      <c r="U2737" s="30" t="n"/>
      <c r="V2737" s="30" t="n"/>
      <c r="W2737" s="29">
        <f>IF(H2737="","",IF(H2737="Kenya","Yes","No"))</f>
        <v/>
      </c>
      <c r="X2737" s="29">
        <f>IF(B2737="","",IF(COUNTIF($B$5:$B$3004,B2737)&gt;1,"DUPLICATE","OK"))</f>
        <v/>
      </c>
      <c r="Y2737" s="29">
        <f>IF(OR(U2737="",V2737="",V2737="Excluded"),"",IF(COUNTIFS($U$5:$U$3004,U2737,$V$5:$V$3004,"&lt;&gt;"&amp;V2737,$V$5:$V$3004,"&lt;&gt;",$V$5:$V$3004,"&lt;&gt;Excluded")&gt;0,"LEAK RISK","OK"))</f>
        <v/>
      </c>
      <c r="Z2737" s="30" t="n"/>
    </row>
    <row r="2738">
      <c r="A2738" s="30" t="n"/>
      <c r="B2738" s="30" t="n"/>
      <c r="C2738" s="30" t="n"/>
      <c r="D2738" s="30" t="n"/>
      <c r="E2738" s="30" t="n"/>
      <c r="F2738" s="30" t="n"/>
      <c r="G2738" s="30" t="n"/>
      <c r="H2738" s="30" t="n"/>
      <c r="I2738" s="31" t="n"/>
      <c r="J2738" s="30" t="n"/>
      <c r="K2738" s="30" t="n"/>
      <c r="L2738" s="30" t="n"/>
      <c r="M2738" s="30" t="n"/>
      <c r="N2738" s="32" t="n"/>
      <c r="O2738" s="30" t="n"/>
      <c r="P2738" s="32" t="n"/>
      <c r="Q2738" s="30" t="n"/>
      <c r="R2738" s="32" t="n"/>
      <c r="S2738" s="30" t="n"/>
      <c r="T2738" s="30" t="n"/>
      <c r="U2738" s="30" t="n"/>
      <c r="V2738" s="30" t="n"/>
      <c r="W2738" s="29">
        <f>IF(H2738="","",IF(H2738="Kenya","Yes","No"))</f>
        <v/>
      </c>
      <c r="X2738" s="29">
        <f>IF(B2738="","",IF(COUNTIF($B$5:$B$3004,B2738)&gt;1,"DUPLICATE","OK"))</f>
        <v/>
      </c>
      <c r="Y2738" s="29">
        <f>IF(OR(U2738="",V2738="",V2738="Excluded"),"",IF(COUNTIFS($U$5:$U$3004,U2738,$V$5:$V$3004,"&lt;&gt;"&amp;V2738,$V$5:$V$3004,"&lt;&gt;",$V$5:$V$3004,"&lt;&gt;Excluded")&gt;0,"LEAK RISK","OK"))</f>
        <v/>
      </c>
      <c r="Z2738" s="30" t="n"/>
    </row>
    <row r="2739">
      <c r="A2739" s="30" t="n"/>
      <c r="B2739" s="30" t="n"/>
      <c r="C2739" s="30" t="n"/>
      <c r="D2739" s="30" t="n"/>
      <c r="E2739" s="30" t="n"/>
      <c r="F2739" s="30" t="n"/>
      <c r="G2739" s="30" t="n"/>
      <c r="H2739" s="30" t="n"/>
      <c r="I2739" s="31" t="n"/>
      <c r="J2739" s="30" t="n"/>
      <c r="K2739" s="30" t="n"/>
      <c r="L2739" s="30" t="n"/>
      <c r="M2739" s="30" t="n"/>
      <c r="N2739" s="32" t="n"/>
      <c r="O2739" s="30" t="n"/>
      <c r="P2739" s="32" t="n"/>
      <c r="Q2739" s="30" t="n"/>
      <c r="R2739" s="32" t="n"/>
      <c r="S2739" s="30" t="n"/>
      <c r="T2739" s="30" t="n"/>
      <c r="U2739" s="30" t="n"/>
      <c r="V2739" s="30" t="n"/>
      <c r="W2739" s="29">
        <f>IF(H2739="","",IF(H2739="Kenya","Yes","No"))</f>
        <v/>
      </c>
      <c r="X2739" s="29">
        <f>IF(B2739="","",IF(COUNTIF($B$5:$B$3004,B2739)&gt;1,"DUPLICATE","OK"))</f>
        <v/>
      </c>
      <c r="Y2739" s="29">
        <f>IF(OR(U2739="",V2739="",V2739="Excluded"),"",IF(COUNTIFS($U$5:$U$3004,U2739,$V$5:$V$3004,"&lt;&gt;"&amp;V2739,$V$5:$V$3004,"&lt;&gt;",$V$5:$V$3004,"&lt;&gt;Excluded")&gt;0,"LEAK RISK","OK"))</f>
        <v/>
      </c>
      <c r="Z2739" s="30" t="n"/>
    </row>
    <row r="2740">
      <c r="A2740" s="30" t="n"/>
      <c r="B2740" s="30" t="n"/>
      <c r="C2740" s="30" t="n"/>
      <c r="D2740" s="30" t="n"/>
      <c r="E2740" s="30" t="n"/>
      <c r="F2740" s="30" t="n"/>
      <c r="G2740" s="30" t="n"/>
      <c r="H2740" s="30" t="n"/>
      <c r="I2740" s="31" t="n"/>
      <c r="J2740" s="30" t="n"/>
      <c r="K2740" s="30" t="n"/>
      <c r="L2740" s="30" t="n"/>
      <c r="M2740" s="30" t="n"/>
      <c r="N2740" s="32" t="n"/>
      <c r="O2740" s="30" t="n"/>
      <c r="P2740" s="32" t="n"/>
      <c r="Q2740" s="30" t="n"/>
      <c r="R2740" s="32" t="n"/>
      <c r="S2740" s="30" t="n"/>
      <c r="T2740" s="30" t="n"/>
      <c r="U2740" s="30" t="n"/>
      <c r="V2740" s="30" t="n"/>
      <c r="W2740" s="29">
        <f>IF(H2740="","",IF(H2740="Kenya","Yes","No"))</f>
        <v/>
      </c>
      <c r="X2740" s="29">
        <f>IF(B2740="","",IF(COUNTIF($B$5:$B$3004,B2740)&gt;1,"DUPLICATE","OK"))</f>
        <v/>
      </c>
      <c r="Y2740" s="29">
        <f>IF(OR(U2740="",V2740="",V2740="Excluded"),"",IF(COUNTIFS($U$5:$U$3004,U2740,$V$5:$V$3004,"&lt;&gt;"&amp;V2740,$V$5:$V$3004,"&lt;&gt;",$V$5:$V$3004,"&lt;&gt;Excluded")&gt;0,"LEAK RISK","OK"))</f>
        <v/>
      </c>
      <c r="Z2740" s="30" t="n"/>
    </row>
    <row r="2741">
      <c r="A2741" s="30" t="n"/>
      <c r="B2741" s="30" t="n"/>
      <c r="C2741" s="30" t="n"/>
      <c r="D2741" s="30" t="n"/>
      <c r="E2741" s="30" t="n"/>
      <c r="F2741" s="30" t="n"/>
      <c r="G2741" s="30" t="n"/>
      <c r="H2741" s="30" t="n"/>
      <c r="I2741" s="31" t="n"/>
      <c r="J2741" s="30" t="n"/>
      <c r="K2741" s="30" t="n"/>
      <c r="L2741" s="30" t="n"/>
      <c r="M2741" s="30" t="n"/>
      <c r="N2741" s="32" t="n"/>
      <c r="O2741" s="30" t="n"/>
      <c r="P2741" s="32" t="n"/>
      <c r="Q2741" s="30" t="n"/>
      <c r="R2741" s="32" t="n"/>
      <c r="S2741" s="30" t="n"/>
      <c r="T2741" s="30" t="n"/>
      <c r="U2741" s="30" t="n"/>
      <c r="V2741" s="30" t="n"/>
      <c r="W2741" s="29">
        <f>IF(H2741="","",IF(H2741="Kenya","Yes","No"))</f>
        <v/>
      </c>
      <c r="X2741" s="29">
        <f>IF(B2741="","",IF(COUNTIF($B$5:$B$3004,B2741)&gt;1,"DUPLICATE","OK"))</f>
        <v/>
      </c>
      <c r="Y2741" s="29">
        <f>IF(OR(U2741="",V2741="",V2741="Excluded"),"",IF(COUNTIFS($U$5:$U$3004,U2741,$V$5:$V$3004,"&lt;&gt;"&amp;V2741,$V$5:$V$3004,"&lt;&gt;",$V$5:$V$3004,"&lt;&gt;Excluded")&gt;0,"LEAK RISK","OK"))</f>
        <v/>
      </c>
      <c r="Z2741" s="30" t="n"/>
    </row>
    <row r="2742">
      <c r="A2742" s="30" t="n"/>
      <c r="B2742" s="30" t="n"/>
      <c r="C2742" s="30" t="n"/>
      <c r="D2742" s="30" t="n"/>
      <c r="E2742" s="30" t="n"/>
      <c r="F2742" s="30" t="n"/>
      <c r="G2742" s="30" t="n"/>
      <c r="H2742" s="30" t="n"/>
      <c r="I2742" s="31" t="n"/>
      <c r="J2742" s="30" t="n"/>
      <c r="K2742" s="30" t="n"/>
      <c r="L2742" s="30" t="n"/>
      <c r="M2742" s="30" t="n"/>
      <c r="N2742" s="32" t="n"/>
      <c r="O2742" s="30" t="n"/>
      <c r="P2742" s="32" t="n"/>
      <c r="Q2742" s="30" t="n"/>
      <c r="R2742" s="32" t="n"/>
      <c r="S2742" s="30" t="n"/>
      <c r="T2742" s="30" t="n"/>
      <c r="U2742" s="30" t="n"/>
      <c r="V2742" s="30" t="n"/>
      <c r="W2742" s="29">
        <f>IF(H2742="","",IF(H2742="Kenya","Yes","No"))</f>
        <v/>
      </c>
      <c r="X2742" s="29">
        <f>IF(B2742="","",IF(COUNTIF($B$5:$B$3004,B2742)&gt;1,"DUPLICATE","OK"))</f>
        <v/>
      </c>
      <c r="Y2742" s="29">
        <f>IF(OR(U2742="",V2742="",V2742="Excluded"),"",IF(COUNTIFS($U$5:$U$3004,U2742,$V$5:$V$3004,"&lt;&gt;"&amp;V2742,$V$5:$V$3004,"&lt;&gt;",$V$5:$V$3004,"&lt;&gt;Excluded")&gt;0,"LEAK RISK","OK"))</f>
        <v/>
      </c>
      <c r="Z2742" s="30" t="n"/>
    </row>
    <row r="2743">
      <c r="A2743" s="30" t="n"/>
      <c r="B2743" s="30" t="n"/>
      <c r="C2743" s="30" t="n"/>
      <c r="D2743" s="30" t="n"/>
      <c r="E2743" s="30" t="n"/>
      <c r="F2743" s="30" t="n"/>
      <c r="G2743" s="30" t="n"/>
      <c r="H2743" s="30" t="n"/>
      <c r="I2743" s="31" t="n"/>
      <c r="J2743" s="30" t="n"/>
      <c r="K2743" s="30" t="n"/>
      <c r="L2743" s="30" t="n"/>
      <c r="M2743" s="30" t="n"/>
      <c r="N2743" s="32" t="n"/>
      <c r="O2743" s="30" t="n"/>
      <c r="P2743" s="32" t="n"/>
      <c r="Q2743" s="30" t="n"/>
      <c r="R2743" s="32" t="n"/>
      <c r="S2743" s="30" t="n"/>
      <c r="T2743" s="30" t="n"/>
      <c r="U2743" s="30" t="n"/>
      <c r="V2743" s="30" t="n"/>
      <c r="W2743" s="29">
        <f>IF(H2743="","",IF(H2743="Kenya","Yes","No"))</f>
        <v/>
      </c>
      <c r="X2743" s="29">
        <f>IF(B2743="","",IF(COUNTIF($B$5:$B$3004,B2743)&gt;1,"DUPLICATE","OK"))</f>
        <v/>
      </c>
      <c r="Y2743" s="29">
        <f>IF(OR(U2743="",V2743="",V2743="Excluded"),"",IF(COUNTIFS($U$5:$U$3004,U2743,$V$5:$V$3004,"&lt;&gt;"&amp;V2743,$V$5:$V$3004,"&lt;&gt;",$V$5:$V$3004,"&lt;&gt;Excluded")&gt;0,"LEAK RISK","OK"))</f>
        <v/>
      </c>
      <c r="Z2743" s="30" t="n"/>
    </row>
    <row r="2744">
      <c r="A2744" s="30" t="n"/>
      <c r="B2744" s="30" t="n"/>
      <c r="C2744" s="30" t="n"/>
      <c r="D2744" s="30" t="n"/>
      <c r="E2744" s="30" t="n"/>
      <c r="F2744" s="30" t="n"/>
      <c r="G2744" s="30" t="n"/>
      <c r="H2744" s="30" t="n"/>
      <c r="I2744" s="31" t="n"/>
      <c r="J2744" s="30" t="n"/>
      <c r="K2744" s="30" t="n"/>
      <c r="L2744" s="30" t="n"/>
      <c r="M2744" s="30" t="n"/>
      <c r="N2744" s="32" t="n"/>
      <c r="O2744" s="30" t="n"/>
      <c r="P2744" s="32" t="n"/>
      <c r="Q2744" s="30" t="n"/>
      <c r="R2744" s="32" t="n"/>
      <c r="S2744" s="30" t="n"/>
      <c r="T2744" s="30" t="n"/>
      <c r="U2744" s="30" t="n"/>
      <c r="V2744" s="30" t="n"/>
      <c r="W2744" s="29">
        <f>IF(H2744="","",IF(H2744="Kenya","Yes","No"))</f>
        <v/>
      </c>
      <c r="X2744" s="29">
        <f>IF(B2744="","",IF(COUNTIF($B$5:$B$3004,B2744)&gt;1,"DUPLICATE","OK"))</f>
        <v/>
      </c>
      <c r="Y2744" s="29">
        <f>IF(OR(U2744="",V2744="",V2744="Excluded"),"",IF(COUNTIFS($U$5:$U$3004,U2744,$V$5:$V$3004,"&lt;&gt;"&amp;V2744,$V$5:$V$3004,"&lt;&gt;",$V$5:$V$3004,"&lt;&gt;Excluded")&gt;0,"LEAK RISK","OK"))</f>
        <v/>
      </c>
      <c r="Z2744" s="30" t="n"/>
    </row>
    <row r="2745">
      <c r="A2745" s="30" t="n"/>
      <c r="B2745" s="30" t="n"/>
      <c r="C2745" s="30" t="n"/>
      <c r="D2745" s="30" t="n"/>
      <c r="E2745" s="30" t="n"/>
      <c r="F2745" s="30" t="n"/>
      <c r="G2745" s="30" t="n"/>
      <c r="H2745" s="30" t="n"/>
      <c r="I2745" s="31" t="n"/>
      <c r="J2745" s="30" t="n"/>
      <c r="K2745" s="30" t="n"/>
      <c r="L2745" s="30" t="n"/>
      <c r="M2745" s="30" t="n"/>
      <c r="N2745" s="32" t="n"/>
      <c r="O2745" s="30" t="n"/>
      <c r="P2745" s="32" t="n"/>
      <c r="Q2745" s="30" t="n"/>
      <c r="R2745" s="32" t="n"/>
      <c r="S2745" s="30" t="n"/>
      <c r="T2745" s="30" t="n"/>
      <c r="U2745" s="30" t="n"/>
      <c r="V2745" s="30" t="n"/>
      <c r="W2745" s="29">
        <f>IF(H2745="","",IF(H2745="Kenya","Yes","No"))</f>
        <v/>
      </c>
      <c r="X2745" s="29">
        <f>IF(B2745="","",IF(COUNTIF($B$5:$B$3004,B2745)&gt;1,"DUPLICATE","OK"))</f>
        <v/>
      </c>
      <c r="Y2745" s="29">
        <f>IF(OR(U2745="",V2745="",V2745="Excluded"),"",IF(COUNTIFS($U$5:$U$3004,U2745,$V$5:$V$3004,"&lt;&gt;"&amp;V2745,$V$5:$V$3004,"&lt;&gt;",$V$5:$V$3004,"&lt;&gt;Excluded")&gt;0,"LEAK RISK","OK"))</f>
        <v/>
      </c>
      <c r="Z2745" s="30" t="n"/>
    </row>
    <row r="2746">
      <c r="A2746" s="30" t="n"/>
      <c r="B2746" s="30" t="n"/>
      <c r="C2746" s="30" t="n"/>
      <c r="D2746" s="30" t="n"/>
      <c r="E2746" s="30" t="n"/>
      <c r="F2746" s="30" t="n"/>
      <c r="G2746" s="30" t="n"/>
      <c r="H2746" s="30" t="n"/>
      <c r="I2746" s="31" t="n"/>
      <c r="J2746" s="30" t="n"/>
      <c r="K2746" s="30" t="n"/>
      <c r="L2746" s="30" t="n"/>
      <c r="M2746" s="30" t="n"/>
      <c r="N2746" s="32" t="n"/>
      <c r="O2746" s="30" t="n"/>
      <c r="P2746" s="32" t="n"/>
      <c r="Q2746" s="30" t="n"/>
      <c r="R2746" s="32" t="n"/>
      <c r="S2746" s="30" t="n"/>
      <c r="T2746" s="30" t="n"/>
      <c r="U2746" s="30" t="n"/>
      <c r="V2746" s="30" t="n"/>
      <c r="W2746" s="29">
        <f>IF(H2746="","",IF(H2746="Kenya","Yes","No"))</f>
        <v/>
      </c>
      <c r="X2746" s="29">
        <f>IF(B2746="","",IF(COUNTIF($B$5:$B$3004,B2746)&gt;1,"DUPLICATE","OK"))</f>
        <v/>
      </c>
      <c r="Y2746" s="29">
        <f>IF(OR(U2746="",V2746="",V2746="Excluded"),"",IF(COUNTIFS($U$5:$U$3004,U2746,$V$5:$V$3004,"&lt;&gt;"&amp;V2746,$V$5:$V$3004,"&lt;&gt;",$V$5:$V$3004,"&lt;&gt;Excluded")&gt;0,"LEAK RISK","OK"))</f>
        <v/>
      </c>
      <c r="Z2746" s="30" t="n"/>
    </row>
    <row r="2747">
      <c r="A2747" s="30" t="n"/>
      <c r="B2747" s="30" t="n"/>
      <c r="C2747" s="30" t="n"/>
      <c r="D2747" s="30" t="n"/>
      <c r="E2747" s="30" t="n"/>
      <c r="F2747" s="30" t="n"/>
      <c r="G2747" s="30" t="n"/>
      <c r="H2747" s="30" t="n"/>
      <c r="I2747" s="31" t="n"/>
      <c r="J2747" s="30" t="n"/>
      <c r="K2747" s="30" t="n"/>
      <c r="L2747" s="30" t="n"/>
      <c r="M2747" s="30" t="n"/>
      <c r="N2747" s="32" t="n"/>
      <c r="O2747" s="30" t="n"/>
      <c r="P2747" s="32" t="n"/>
      <c r="Q2747" s="30" t="n"/>
      <c r="R2747" s="32" t="n"/>
      <c r="S2747" s="30" t="n"/>
      <c r="T2747" s="30" t="n"/>
      <c r="U2747" s="30" t="n"/>
      <c r="V2747" s="30" t="n"/>
      <c r="W2747" s="29">
        <f>IF(H2747="","",IF(H2747="Kenya","Yes","No"))</f>
        <v/>
      </c>
      <c r="X2747" s="29">
        <f>IF(B2747="","",IF(COUNTIF($B$5:$B$3004,B2747)&gt;1,"DUPLICATE","OK"))</f>
        <v/>
      </c>
      <c r="Y2747" s="29">
        <f>IF(OR(U2747="",V2747="",V2747="Excluded"),"",IF(COUNTIFS($U$5:$U$3004,U2747,$V$5:$V$3004,"&lt;&gt;"&amp;V2747,$V$5:$V$3004,"&lt;&gt;",$V$5:$V$3004,"&lt;&gt;Excluded")&gt;0,"LEAK RISK","OK"))</f>
        <v/>
      </c>
      <c r="Z2747" s="30" t="n"/>
    </row>
    <row r="2748">
      <c r="A2748" s="30" t="n"/>
      <c r="B2748" s="30" t="n"/>
      <c r="C2748" s="30" t="n"/>
      <c r="D2748" s="30" t="n"/>
      <c r="E2748" s="30" t="n"/>
      <c r="F2748" s="30" t="n"/>
      <c r="G2748" s="30" t="n"/>
      <c r="H2748" s="30" t="n"/>
      <c r="I2748" s="31" t="n"/>
      <c r="J2748" s="30" t="n"/>
      <c r="K2748" s="30" t="n"/>
      <c r="L2748" s="30" t="n"/>
      <c r="M2748" s="30" t="n"/>
      <c r="N2748" s="32" t="n"/>
      <c r="O2748" s="30" t="n"/>
      <c r="P2748" s="32" t="n"/>
      <c r="Q2748" s="30" t="n"/>
      <c r="R2748" s="32" t="n"/>
      <c r="S2748" s="30" t="n"/>
      <c r="T2748" s="30" t="n"/>
      <c r="U2748" s="30" t="n"/>
      <c r="V2748" s="30" t="n"/>
      <c r="W2748" s="29">
        <f>IF(H2748="","",IF(H2748="Kenya","Yes","No"))</f>
        <v/>
      </c>
      <c r="X2748" s="29">
        <f>IF(B2748="","",IF(COUNTIF($B$5:$B$3004,B2748)&gt;1,"DUPLICATE","OK"))</f>
        <v/>
      </c>
      <c r="Y2748" s="29">
        <f>IF(OR(U2748="",V2748="",V2748="Excluded"),"",IF(COUNTIFS($U$5:$U$3004,U2748,$V$5:$V$3004,"&lt;&gt;"&amp;V2748,$V$5:$V$3004,"&lt;&gt;",$V$5:$V$3004,"&lt;&gt;Excluded")&gt;0,"LEAK RISK","OK"))</f>
        <v/>
      </c>
      <c r="Z2748" s="30" t="n"/>
    </row>
    <row r="2749">
      <c r="A2749" s="30" t="n"/>
      <c r="B2749" s="30" t="n"/>
      <c r="C2749" s="30" t="n"/>
      <c r="D2749" s="30" t="n"/>
      <c r="E2749" s="30" t="n"/>
      <c r="F2749" s="30" t="n"/>
      <c r="G2749" s="30" t="n"/>
      <c r="H2749" s="30" t="n"/>
      <c r="I2749" s="31" t="n"/>
      <c r="J2749" s="30" t="n"/>
      <c r="K2749" s="30" t="n"/>
      <c r="L2749" s="30" t="n"/>
      <c r="M2749" s="30" t="n"/>
      <c r="N2749" s="32" t="n"/>
      <c r="O2749" s="30" t="n"/>
      <c r="P2749" s="32" t="n"/>
      <c r="Q2749" s="30" t="n"/>
      <c r="R2749" s="32" t="n"/>
      <c r="S2749" s="30" t="n"/>
      <c r="T2749" s="30" t="n"/>
      <c r="U2749" s="30" t="n"/>
      <c r="V2749" s="30" t="n"/>
      <c r="W2749" s="29">
        <f>IF(H2749="","",IF(H2749="Kenya","Yes","No"))</f>
        <v/>
      </c>
      <c r="X2749" s="29">
        <f>IF(B2749="","",IF(COUNTIF($B$5:$B$3004,B2749)&gt;1,"DUPLICATE","OK"))</f>
        <v/>
      </c>
      <c r="Y2749" s="29">
        <f>IF(OR(U2749="",V2749="",V2749="Excluded"),"",IF(COUNTIFS($U$5:$U$3004,U2749,$V$5:$V$3004,"&lt;&gt;"&amp;V2749,$V$5:$V$3004,"&lt;&gt;",$V$5:$V$3004,"&lt;&gt;Excluded")&gt;0,"LEAK RISK","OK"))</f>
        <v/>
      </c>
      <c r="Z2749" s="30" t="n"/>
    </row>
    <row r="2750">
      <c r="A2750" s="30" t="n"/>
      <c r="B2750" s="30" t="n"/>
      <c r="C2750" s="30" t="n"/>
      <c r="D2750" s="30" t="n"/>
      <c r="E2750" s="30" t="n"/>
      <c r="F2750" s="30" t="n"/>
      <c r="G2750" s="30" t="n"/>
      <c r="H2750" s="30" t="n"/>
      <c r="I2750" s="31" t="n"/>
      <c r="J2750" s="30" t="n"/>
      <c r="K2750" s="30" t="n"/>
      <c r="L2750" s="30" t="n"/>
      <c r="M2750" s="30" t="n"/>
      <c r="N2750" s="32" t="n"/>
      <c r="O2750" s="30" t="n"/>
      <c r="P2750" s="32" t="n"/>
      <c r="Q2750" s="30" t="n"/>
      <c r="R2750" s="32" t="n"/>
      <c r="S2750" s="30" t="n"/>
      <c r="T2750" s="30" t="n"/>
      <c r="U2750" s="30" t="n"/>
      <c r="V2750" s="30" t="n"/>
      <c r="W2750" s="29">
        <f>IF(H2750="","",IF(H2750="Kenya","Yes","No"))</f>
        <v/>
      </c>
      <c r="X2750" s="29">
        <f>IF(B2750="","",IF(COUNTIF($B$5:$B$3004,B2750)&gt;1,"DUPLICATE","OK"))</f>
        <v/>
      </c>
      <c r="Y2750" s="29">
        <f>IF(OR(U2750="",V2750="",V2750="Excluded"),"",IF(COUNTIFS($U$5:$U$3004,U2750,$V$5:$V$3004,"&lt;&gt;"&amp;V2750,$V$5:$V$3004,"&lt;&gt;",$V$5:$V$3004,"&lt;&gt;Excluded")&gt;0,"LEAK RISK","OK"))</f>
        <v/>
      </c>
      <c r="Z2750" s="30" t="n"/>
    </row>
    <row r="2751">
      <c r="A2751" s="30" t="n"/>
      <c r="B2751" s="30" t="n"/>
      <c r="C2751" s="30" t="n"/>
      <c r="D2751" s="30" t="n"/>
      <c r="E2751" s="30" t="n"/>
      <c r="F2751" s="30" t="n"/>
      <c r="G2751" s="30" t="n"/>
      <c r="H2751" s="30" t="n"/>
      <c r="I2751" s="31" t="n"/>
      <c r="J2751" s="30" t="n"/>
      <c r="K2751" s="30" t="n"/>
      <c r="L2751" s="30" t="n"/>
      <c r="M2751" s="30" t="n"/>
      <c r="N2751" s="32" t="n"/>
      <c r="O2751" s="30" t="n"/>
      <c r="P2751" s="32" t="n"/>
      <c r="Q2751" s="30" t="n"/>
      <c r="R2751" s="32" t="n"/>
      <c r="S2751" s="30" t="n"/>
      <c r="T2751" s="30" t="n"/>
      <c r="U2751" s="30" t="n"/>
      <c r="V2751" s="30" t="n"/>
      <c r="W2751" s="29">
        <f>IF(H2751="","",IF(H2751="Kenya","Yes","No"))</f>
        <v/>
      </c>
      <c r="X2751" s="29">
        <f>IF(B2751="","",IF(COUNTIF($B$5:$B$3004,B2751)&gt;1,"DUPLICATE","OK"))</f>
        <v/>
      </c>
      <c r="Y2751" s="29">
        <f>IF(OR(U2751="",V2751="",V2751="Excluded"),"",IF(COUNTIFS($U$5:$U$3004,U2751,$V$5:$V$3004,"&lt;&gt;"&amp;V2751,$V$5:$V$3004,"&lt;&gt;",$V$5:$V$3004,"&lt;&gt;Excluded")&gt;0,"LEAK RISK","OK"))</f>
        <v/>
      </c>
      <c r="Z2751" s="30" t="n"/>
    </row>
    <row r="2752">
      <c r="A2752" s="30" t="n"/>
      <c r="B2752" s="30" t="n"/>
      <c r="C2752" s="30" t="n"/>
      <c r="D2752" s="30" t="n"/>
      <c r="E2752" s="30" t="n"/>
      <c r="F2752" s="30" t="n"/>
      <c r="G2752" s="30" t="n"/>
      <c r="H2752" s="30" t="n"/>
      <c r="I2752" s="31" t="n"/>
      <c r="J2752" s="30" t="n"/>
      <c r="K2752" s="30" t="n"/>
      <c r="L2752" s="30" t="n"/>
      <c r="M2752" s="30" t="n"/>
      <c r="N2752" s="32" t="n"/>
      <c r="O2752" s="30" t="n"/>
      <c r="P2752" s="32" t="n"/>
      <c r="Q2752" s="30" t="n"/>
      <c r="R2752" s="32" t="n"/>
      <c r="S2752" s="30" t="n"/>
      <c r="T2752" s="30" t="n"/>
      <c r="U2752" s="30" t="n"/>
      <c r="V2752" s="30" t="n"/>
      <c r="W2752" s="29">
        <f>IF(H2752="","",IF(H2752="Kenya","Yes","No"))</f>
        <v/>
      </c>
      <c r="X2752" s="29">
        <f>IF(B2752="","",IF(COUNTIF($B$5:$B$3004,B2752)&gt;1,"DUPLICATE","OK"))</f>
        <v/>
      </c>
      <c r="Y2752" s="29">
        <f>IF(OR(U2752="",V2752="",V2752="Excluded"),"",IF(COUNTIFS($U$5:$U$3004,U2752,$V$5:$V$3004,"&lt;&gt;"&amp;V2752,$V$5:$V$3004,"&lt;&gt;",$V$5:$V$3004,"&lt;&gt;Excluded")&gt;0,"LEAK RISK","OK"))</f>
        <v/>
      </c>
      <c r="Z2752" s="30" t="n"/>
    </row>
    <row r="2753">
      <c r="A2753" s="30" t="n"/>
      <c r="B2753" s="30" t="n"/>
      <c r="C2753" s="30" t="n"/>
      <c r="D2753" s="30" t="n"/>
      <c r="E2753" s="30" t="n"/>
      <c r="F2753" s="30" t="n"/>
      <c r="G2753" s="30" t="n"/>
      <c r="H2753" s="30" t="n"/>
      <c r="I2753" s="31" t="n"/>
      <c r="J2753" s="30" t="n"/>
      <c r="K2753" s="30" t="n"/>
      <c r="L2753" s="30" t="n"/>
      <c r="M2753" s="30" t="n"/>
      <c r="N2753" s="32" t="n"/>
      <c r="O2753" s="30" t="n"/>
      <c r="P2753" s="32" t="n"/>
      <c r="Q2753" s="30" t="n"/>
      <c r="R2753" s="32" t="n"/>
      <c r="S2753" s="30" t="n"/>
      <c r="T2753" s="30" t="n"/>
      <c r="U2753" s="30" t="n"/>
      <c r="V2753" s="30" t="n"/>
      <c r="W2753" s="29">
        <f>IF(H2753="","",IF(H2753="Kenya","Yes","No"))</f>
        <v/>
      </c>
      <c r="X2753" s="29">
        <f>IF(B2753="","",IF(COUNTIF($B$5:$B$3004,B2753)&gt;1,"DUPLICATE","OK"))</f>
        <v/>
      </c>
      <c r="Y2753" s="29">
        <f>IF(OR(U2753="",V2753="",V2753="Excluded"),"",IF(COUNTIFS($U$5:$U$3004,U2753,$V$5:$V$3004,"&lt;&gt;"&amp;V2753,$V$5:$V$3004,"&lt;&gt;",$V$5:$V$3004,"&lt;&gt;Excluded")&gt;0,"LEAK RISK","OK"))</f>
        <v/>
      </c>
      <c r="Z2753" s="30" t="n"/>
    </row>
    <row r="2754">
      <c r="A2754" s="30" t="n"/>
      <c r="B2754" s="30" t="n"/>
      <c r="C2754" s="30" t="n"/>
      <c r="D2754" s="30" t="n"/>
      <c r="E2754" s="30" t="n"/>
      <c r="F2754" s="30" t="n"/>
      <c r="G2754" s="30" t="n"/>
      <c r="H2754" s="30" t="n"/>
      <c r="I2754" s="31" t="n"/>
      <c r="J2754" s="30" t="n"/>
      <c r="K2754" s="30" t="n"/>
      <c r="L2754" s="30" t="n"/>
      <c r="M2754" s="30" t="n"/>
      <c r="N2754" s="32" t="n"/>
      <c r="O2754" s="30" t="n"/>
      <c r="P2754" s="32" t="n"/>
      <c r="Q2754" s="30" t="n"/>
      <c r="R2754" s="32" t="n"/>
      <c r="S2754" s="30" t="n"/>
      <c r="T2754" s="30" t="n"/>
      <c r="U2754" s="30" t="n"/>
      <c r="V2754" s="30" t="n"/>
      <c r="W2754" s="29">
        <f>IF(H2754="","",IF(H2754="Kenya","Yes","No"))</f>
        <v/>
      </c>
      <c r="X2754" s="29">
        <f>IF(B2754="","",IF(COUNTIF($B$5:$B$3004,B2754)&gt;1,"DUPLICATE","OK"))</f>
        <v/>
      </c>
      <c r="Y2754" s="29">
        <f>IF(OR(U2754="",V2754="",V2754="Excluded"),"",IF(COUNTIFS($U$5:$U$3004,U2754,$V$5:$V$3004,"&lt;&gt;"&amp;V2754,$V$5:$V$3004,"&lt;&gt;",$V$5:$V$3004,"&lt;&gt;Excluded")&gt;0,"LEAK RISK","OK"))</f>
        <v/>
      </c>
      <c r="Z2754" s="30" t="n"/>
    </row>
    <row r="2755">
      <c r="A2755" s="30" t="n"/>
      <c r="B2755" s="30" t="n"/>
      <c r="C2755" s="30" t="n"/>
      <c r="D2755" s="30" t="n"/>
      <c r="E2755" s="30" t="n"/>
      <c r="F2755" s="30" t="n"/>
      <c r="G2755" s="30" t="n"/>
      <c r="H2755" s="30" t="n"/>
      <c r="I2755" s="31" t="n"/>
      <c r="J2755" s="30" t="n"/>
      <c r="K2755" s="30" t="n"/>
      <c r="L2755" s="30" t="n"/>
      <c r="M2755" s="30" t="n"/>
      <c r="N2755" s="32" t="n"/>
      <c r="O2755" s="30" t="n"/>
      <c r="P2755" s="32" t="n"/>
      <c r="Q2755" s="30" t="n"/>
      <c r="R2755" s="32" t="n"/>
      <c r="S2755" s="30" t="n"/>
      <c r="T2755" s="30" t="n"/>
      <c r="U2755" s="30" t="n"/>
      <c r="V2755" s="30" t="n"/>
      <c r="W2755" s="29">
        <f>IF(H2755="","",IF(H2755="Kenya","Yes","No"))</f>
        <v/>
      </c>
      <c r="X2755" s="29">
        <f>IF(B2755="","",IF(COUNTIF($B$5:$B$3004,B2755)&gt;1,"DUPLICATE","OK"))</f>
        <v/>
      </c>
      <c r="Y2755" s="29">
        <f>IF(OR(U2755="",V2755="",V2755="Excluded"),"",IF(COUNTIFS($U$5:$U$3004,U2755,$V$5:$V$3004,"&lt;&gt;"&amp;V2755,$V$5:$V$3004,"&lt;&gt;",$V$5:$V$3004,"&lt;&gt;Excluded")&gt;0,"LEAK RISK","OK"))</f>
        <v/>
      </c>
      <c r="Z2755" s="30" t="n"/>
    </row>
    <row r="2756">
      <c r="A2756" s="30" t="n"/>
      <c r="B2756" s="30" t="n"/>
      <c r="C2756" s="30" t="n"/>
      <c r="D2756" s="30" t="n"/>
      <c r="E2756" s="30" t="n"/>
      <c r="F2756" s="30" t="n"/>
      <c r="G2756" s="30" t="n"/>
      <c r="H2756" s="30" t="n"/>
      <c r="I2756" s="31" t="n"/>
      <c r="J2756" s="30" t="n"/>
      <c r="K2756" s="30" t="n"/>
      <c r="L2756" s="30" t="n"/>
      <c r="M2756" s="30" t="n"/>
      <c r="N2756" s="32" t="n"/>
      <c r="O2756" s="30" t="n"/>
      <c r="P2756" s="32" t="n"/>
      <c r="Q2756" s="30" t="n"/>
      <c r="R2756" s="32" t="n"/>
      <c r="S2756" s="30" t="n"/>
      <c r="T2756" s="30" t="n"/>
      <c r="U2756" s="30" t="n"/>
      <c r="V2756" s="30" t="n"/>
      <c r="W2756" s="29">
        <f>IF(H2756="","",IF(H2756="Kenya","Yes","No"))</f>
        <v/>
      </c>
      <c r="X2756" s="29">
        <f>IF(B2756="","",IF(COUNTIF($B$5:$B$3004,B2756)&gt;1,"DUPLICATE","OK"))</f>
        <v/>
      </c>
      <c r="Y2756" s="29">
        <f>IF(OR(U2756="",V2756="",V2756="Excluded"),"",IF(COUNTIFS($U$5:$U$3004,U2756,$V$5:$V$3004,"&lt;&gt;"&amp;V2756,$V$5:$V$3004,"&lt;&gt;",$V$5:$V$3004,"&lt;&gt;Excluded")&gt;0,"LEAK RISK","OK"))</f>
        <v/>
      </c>
      <c r="Z2756" s="30" t="n"/>
    </row>
    <row r="2757">
      <c r="A2757" s="30" t="n"/>
      <c r="B2757" s="30" t="n"/>
      <c r="C2757" s="30" t="n"/>
      <c r="D2757" s="30" t="n"/>
      <c r="E2757" s="30" t="n"/>
      <c r="F2757" s="30" t="n"/>
      <c r="G2757" s="30" t="n"/>
      <c r="H2757" s="30" t="n"/>
      <c r="I2757" s="31" t="n"/>
      <c r="J2757" s="30" t="n"/>
      <c r="K2757" s="30" t="n"/>
      <c r="L2757" s="30" t="n"/>
      <c r="M2757" s="30" t="n"/>
      <c r="N2757" s="32" t="n"/>
      <c r="O2757" s="30" t="n"/>
      <c r="P2757" s="32" t="n"/>
      <c r="Q2757" s="30" t="n"/>
      <c r="R2757" s="32" t="n"/>
      <c r="S2757" s="30" t="n"/>
      <c r="T2757" s="30" t="n"/>
      <c r="U2757" s="30" t="n"/>
      <c r="V2757" s="30" t="n"/>
      <c r="W2757" s="29">
        <f>IF(H2757="","",IF(H2757="Kenya","Yes","No"))</f>
        <v/>
      </c>
      <c r="X2757" s="29">
        <f>IF(B2757="","",IF(COUNTIF($B$5:$B$3004,B2757)&gt;1,"DUPLICATE","OK"))</f>
        <v/>
      </c>
      <c r="Y2757" s="29">
        <f>IF(OR(U2757="",V2757="",V2757="Excluded"),"",IF(COUNTIFS($U$5:$U$3004,U2757,$V$5:$V$3004,"&lt;&gt;"&amp;V2757,$V$5:$V$3004,"&lt;&gt;",$V$5:$V$3004,"&lt;&gt;Excluded")&gt;0,"LEAK RISK","OK"))</f>
        <v/>
      </c>
      <c r="Z2757" s="30" t="n"/>
    </row>
    <row r="2758">
      <c r="A2758" s="30" t="n"/>
      <c r="B2758" s="30" t="n"/>
      <c r="C2758" s="30" t="n"/>
      <c r="D2758" s="30" t="n"/>
      <c r="E2758" s="30" t="n"/>
      <c r="F2758" s="30" t="n"/>
      <c r="G2758" s="30" t="n"/>
      <c r="H2758" s="30" t="n"/>
      <c r="I2758" s="31" t="n"/>
      <c r="J2758" s="30" t="n"/>
      <c r="K2758" s="30" t="n"/>
      <c r="L2758" s="30" t="n"/>
      <c r="M2758" s="30" t="n"/>
      <c r="N2758" s="32" t="n"/>
      <c r="O2758" s="30" t="n"/>
      <c r="P2758" s="32" t="n"/>
      <c r="Q2758" s="30" t="n"/>
      <c r="R2758" s="32" t="n"/>
      <c r="S2758" s="30" t="n"/>
      <c r="T2758" s="30" t="n"/>
      <c r="U2758" s="30" t="n"/>
      <c r="V2758" s="30" t="n"/>
      <c r="W2758" s="29">
        <f>IF(H2758="","",IF(H2758="Kenya","Yes","No"))</f>
        <v/>
      </c>
      <c r="X2758" s="29">
        <f>IF(B2758="","",IF(COUNTIF($B$5:$B$3004,B2758)&gt;1,"DUPLICATE","OK"))</f>
        <v/>
      </c>
      <c r="Y2758" s="29">
        <f>IF(OR(U2758="",V2758="",V2758="Excluded"),"",IF(COUNTIFS($U$5:$U$3004,U2758,$V$5:$V$3004,"&lt;&gt;"&amp;V2758,$V$5:$V$3004,"&lt;&gt;",$V$5:$V$3004,"&lt;&gt;Excluded")&gt;0,"LEAK RISK","OK"))</f>
        <v/>
      </c>
      <c r="Z2758" s="30" t="n"/>
    </row>
    <row r="2759">
      <c r="A2759" s="30" t="n"/>
      <c r="B2759" s="30" t="n"/>
      <c r="C2759" s="30" t="n"/>
      <c r="D2759" s="30" t="n"/>
      <c r="E2759" s="30" t="n"/>
      <c r="F2759" s="30" t="n"/>
      <c r="G2759" s="30" t="n"/>
      <c r="H2759" s="30" t="n"/>
      <c r="I2759" s="31" t="n"/>
      <c r="J2759" s="30" t="n"/>
      <c r="K2759" s="30" t="n"/>
      <c r="L2759" s="30" t="n"/>
      <c r="M2759" s="30" t="n"/>
      <c r="N2759" s="32" t="n"/>
      <c r="O2759" s="30" t="n"/>
      <c r="P2759" s="32" t="n"/>
      <c r="Q2759" s="30" t="n"/>
      <c r="R2759" s="32" t="n"/>
      <c r="S2759" s="30" t="n"/>
      <c r="T2759" s="30" t="n"/>
      <c r="U2759" s="30" t="n"/>
      <c r="V2759" s="30" t="n"/>
      <c r="W2759" s="29">
        <f>IF(H2759="","",IF(H2759="Kenya","Yes","No"))</f>
        <v/>
      </c>
      <c r="X2759" s="29">
        <f>IF(B2759="","",IF(COUNTIF($B$5:$B$3004,B2759)&gt;1,"DUPLICATE","OK"))</f>
        <v/>
      </c>
      <c r="Y2759" s="29">
        <f>IF(OR(U2759="",V2759="",V2759="Excluded"),"",IF(COUNTIFS($U$5:$U$3004,U2759,$V$5:$V$3004,"&lt;&gt;"&amp;V2759,$V$5:$V$3004,"&lt;&gt;",$V$5:$V$3004,"&lt;&gt;Excluded")&gt;0,"LEAK RISK","OK"))</f>
        <v/>
      </c>
      <c r="Z2759" s="30" t="n"/>
    </row>
    <row r="2760">
      <c r="A2760" s="30" t="n"/>
      <c r="B2760" s="30" t="n"/>
      <c r="C2760" s="30" t="n"/>
      <c r="D2760" s="30" t="n"/>
      <c r="E2760" s="30" t="n"/>
      <c r="F2760" s="30" t="n"/>
      <c r="G2760" s="30" t="n"/>
      <c r="H2760" s="30" t="n"/>
      <c r="I2760" s="31" t="n"/>
      <c r="J2760" s="30" t="n"/>
      <c r="K2760" s="30" t="n"/>
      <c r="L2760" s="30" t="n"/>
      <c r="M2760" s="30" t="n"/>
      <c r="N2760" s="32" t="n"/>
      <c r="O2760" s="30" t="n"/>
      <c r="P2760" s="32" t="n"/>
      <c r="Q2760" s="30" t="n"/>
      <c r="R2760" s="32" t="n"/>
      <c r="S2760" s="30" t="n"/>
      <c r="T2760" s="30" t="n"/>
      <c r="U2760" s="30" t="n"/>
      <c r="V2760" s="30" t="n"/>
      <c r="W2760" s="29">
        <f>IF(H2760="","",IF(H2760="Kenya","Yes","No"))</f>
        <v/>
      </c>
      <c r="X2760" s="29">
        <f>IF(B2760="","",IF(COUNTIF($B$5:$B$3004,B2760)&gt;1,"DUPLICATE","OK"))</f>
        <v/>
      </c>
      <c r="Y2760" s="29">
        <f>IF(OR(U2760="",V2760="",V2760="Excluded"),"",IF(COUNTIFS($U$5:$U$3004,U2760,$V$5:$V$3004,"&lt;&gt;"&amp;V2760,$V$5:$V$3004,"&lt;&gt;",$V$5:$V$3004,"&lt;&gt;Excluded")&gt;0,"LEAK RISK","OK"))</f>
        <v/>
      </c>
      <c r="Z2760" s="30" t="n"/>
    </row>
    <row r="2761">
      <c r="A2761" s="30" t="n"/>
      <c r="B2761" s="30" t="n"/>
      <c r="C2761" s="30" t="n"/>
      <c r="D2761" s="30" t="n"/>
      <c r="E2761" s="30" t="n"/>
      <c r="F2761" s="30" t="n"/>
      <c r="G2761" s="30" t="n"/>
      <c r="H2761" s="30" t="n"/>
      <c r="I2761" s="31" t="n"/>
      <c r="J2761" s="30" t="n"/>
      <c r="K2761" s="30" t="n"/>
      <c r="L2761" s="30" t="n"/>
      <c r="M2761" s="30" t="n"/>
      <c r="N2761" s="32" t="n"/>
      <c r="O2761" s="30" t="n"/>
      <c r="P2761" s="32" t="n"/>
      <c r="Q2761" s="30" t="n"/>
      <c r="R2761" s="32" t="n"/>
      <c r="S2761" s="30" t="n"/>
      <c r="T2761" s="30" t="n"/>
      <c r="U2761" s="30" t="n"/>
      <c r="V2761" s="30" t="n"/>
      <c r="W2761" s="29">
        <f>IF(H2761="","",IF(H2761="Kenya","Yes","No"))</f>
        <v/>
      </c>
      <c r="X2761" s="29">
        <f>IF(B2761="","",IF(COUNTIF($B$5:$B$3004,B2761)&gt;1,"DUPLICATE","OK"))</f>
        <v/>
      </c>
      <c r="Y2761" s="29">
        <f>IF(OR(U2761="",V2761="",V2761="Excluded"),"",IF(COUNTIFS($U$5:$U$3004,U2761,$V$5:$V$3004,"&lt;&gt;"&amp;V2761,$V$5:$V$3004,"&lt;&gt;",$V$5:$V$3004,"&lt;&gt;Excluded")&gt;0,"LEAK RISK","OK"))</f>
        <v/>
      </c>
      <c r="Z2761" s="30" t="n"/>
    </row>
    <row r="2762">
      <c r="A2762" s="30" t="n"/>
      <c r="B2762" s="30" t="n"/>
      <c r="C2762" s="30" t="n"/>
      <c r="D2762" s="30" t="n"/>
      <c r="E2762" s="30" t="n"/>
      <c r="F2762" s="30" t="n"/>
      <c r="G2762" s="30" t="n"/>
      <c r="H2762" s="30" t="n"/>
      <c r="I2762" s="31" t="n"/>
      <c r="J2762" s="30" t="n"/>
      <c r="K2762" s="30" t="n"/>
      <c r="L2762" s="30" t="n"/>
      <c r="M2762" s="30" t="n"/>
      <c r="N2762" s="32" t="n"/>
      <c r="O2762" s="30" t="n"/>
      <c r="P2762" s="32" t="n"/>
      <c r="Q2762" s="30" t="n"/>
      <c r="R2762" s="32" t="n"/>
      <c r="S2762" s="30" t="n"/>
      <c r="T2762" s="30" t="n"/>
      <c r="U2762" s="30" t="n"/>
      <c r="V2762" s="30" t="n"/>
      <c r="W2762" s="29">
        <f>IF(H2762="","",IF(H2762="Kenya","Yes","No"))</f>
        <v/>
      </c>
      <c r="X2762" s="29">
        <f>IF(B2762="","",IF(COUNTIF($B$5:$B$3004,B2762)&gt;1,"DUPLICATE","OK"))</f>
        <v/>
      </c>
      <c r="Y2762" s="29">
        <f>IF(OR(U2762="",V2762="",V2762="Excluded"),"",IF(COUNTIFS($U$5:$U$3004,U2762,$V$5:$V$3004,"&lt;&gt;"&amp;V2762,$V$5:$V$3004,"&lt;&gt;",$V$5:$V$3004,"&lt;&gt;Excluded")&gt;0,"LEAK RISK","OK"))</f>
        <v/>
      </c>
      <c r="Z2762" s="30" t="n"/>
    </row>
    <row r="2763">
      <c r="A2763" s="30" t="n"/>
      <c r="B2763" s="30" t="n"/>
      <c r="C2763" s="30" t="n"/>
      <c r="D2763" s="30" t="n"/>
      <c r="E2763" s="30" t="n"/>
      <c r="F2763" s="30" t="n"/>
      <c r="G2763" s="30" t="n"/>
      <c r="H2763" s="30" t="n"/>
      <c r="I2763" s="31" t="n"/>
      <c r="J2763" s="30" t="n"/>
      <c r="K2763" s="30" t="n"/>
      <c r="L2763" s="30" t="n"/>
      <c r="M2763" s="30" t="n"/>
      <c r="N2763" s="32" t="n"/>
      <c r="O2763" s="30" t="n"/>
      <c r="P2763" s="32" t="n"/>
      <c r="Q2763" s="30" t="n"/>
      <c r="R2763" s="32" t="n"/>
      <c r="S2763" s="30" t="n"/>
      <c r="T2763" s="30" t="n"/>
      <c r="U2763" s="30" t="n"/>
      <c r="V2763" s="30" t="n"/>
      <c r="W2763" s="29">
        <f>IF(H2763="","",IF(H2763="Kenya","Yes","No"))</f>
        <v/>
      </c>
      <c r="X2763" s="29">
        <f>IF(B2763="","",IF(COUNTIF($B$5:$B$3004,B2763)&gt;1,"DUPLICATE","OK"))</f>
        <v/>
      </c>
      <c r="Y2763" s="29">
        <f>IF(OR(U2763="",V2763="",V2763="Excluded"),"",IF(COUNTIFS($U$5:$U$3004,U2763,$V$5:$V$3004,"&lt;&gt;"&amp;V2763,$V$5:$V$3004,"&lt;&gt;",$V$5:$V$3004,"&lt;&gt;Excluded")&gt;0,"LEAK RISK","OK"))</f>
        <v/>
      </c>
      <c r="Z2763" s="30" t="n"/>
    </row>
    <row r="2764">
      <c r="A2764" s="30" t="n"/>
      <c r="B2764" s="30" t="n"/>
      <c r="C2764" s="30" t="n"/>
      <c r="D2764" s="30" t="n"/>
      <c r="E2764" s="30" t="n"/>
      <c r="F2764" s="30" t="n"/>
      <c r="G2764" s="30" t="n"/>
      <c r="H2764" s="30" t="n"/>
      <c r="I2764" s="31" t="n"/>
      <c r="J2764" s="30" t="n"/>
      <c r="K2764" s="30" t="n"/>
      <c r="L2764" s="30" t="n"/>
      <c r="M2764" s="30" t="n"/>
      <c r="N2764" s="32" t="n"/>
      <c r="O2764" s="30" t="n"/>
      <c r="P2764" s="32" t="n"/>
      <c r="Q2764" s="30" t="n"/>
      <c r="R2764" s="32" t="n"/>
      <c r="S2764" s="30" t="n"/>
      <c r="T2764" s="30" t="n"/>
      <c r="U2764" s="30" t="n"/>
      <c r="V2764" s="30" t="n"/>
      <c r="W2764" s="29">
        <f>IF(H2764="","",IF(H2764="Kenya","Yes","No"))</f>
        <v/>
      </c>
      <c r="X2764" s="29">
        <f>IF(B2764="","",IF(COUNTIF($B$5:$B$3004,B2764)&gt;1,"DUPLICATE","OK"))</f>
        <v/>
      </c>
      <c r="Y2764" s="29">
        <f>IF(OR(U2764="",V2764="",V2764="Excluded"),"",IF(COUNTIFS($U$5:$U$3004,U2764,$V$5:$V$3004,"&lt;&gt;"&amp;V2764,$V$5:$V$3004,"&lt;&gt;",$V$5:$V$3004,"&lt;&gt;Excluded")&gt;0,"LEAK RISK","OK"))</f>
        <v/>
      </c>
      <c r="Z2764" s="30" t="n"/>
    </row>
    <row r="2765">
      <c r="A2765" s="30" t="n"/>
      <c r="B2765" s="30" t="n"/>
      <c r="C2765" s="30" t="n"/>
      <c r="D2765" s="30" t="n"/>
      <c r="E2765" s="30" t="n"/>
      <c r="F2765" s="30" t="n"/>
      <c r="G2765" s="30" t="n"/>
      <c r="H2765" s="30" t="n"/>
      <c r="I2765" s="31" t="n"/>
      <c r="J2765" s="30" t="n"/>
      <c r="K2765" s="30" t="n"/>
      <c r="L2765" s="30" t="n"/>
      <c r="M2765" s="30" t="n"/>
      <c r="N2765" s="32" t="n"/>
      <c r="O2765" s="30" t="n"/>
      <c r="P2765" s="32" t="n"/>
      <c r="Q2765" s="30" t="n"/>
      <c r="R2765" s="32" t="n"/>
      <c r="S2765" s="30" t="n"/>
      <c r="T2765" s="30" t="n"/>
      <c r="U2765" s="30" t="n"/>
      <c r="V2765" s="30" t="n"/>
      <c r="W2765" s="29">
        <f>IF(H2765="","",IF(H2765="Kenya","Yes","No"))</f>
        <v/>
      </c>
      <c r="X2765" s="29">
        <f>IF(B2765="","",IF(COUNTIF($B$5:$B$3004,B2765)&gt;1,"DUPLICATE","OK"))</f>
        <v/>
      </c>
      <c r="Y2765" s="29">
        <f>IF(OR(U2765="",V2765="",V2765="Excluded"),"",IF(COUNTIFS($U$5:$U$3004,U2765,$V$5:$V$3004,"&lt;&gt;"&amp;V2765,$V$5:$V$3004,"&lt;&gt;",$V$5:$V$3004,"&lt;&gt;Excluded")&gt;0,"LEAK RISK","OK"))</f>
        <v/>
      </c>
      <c r="Z2765" s="30" t="n"/>
    </row>
    <row r="2766">
      <c r="A2766" s="30" t="n"/>
      <c r="B2766" s="30" t="n"/>
      <c r="C2766" s="30" t="n"/>
      <c r="D2766" s="30" t="n"/>
      <c r="E2766" s="30" t="n"/>
      <c r="F2766" s="30" t="n"/>
      <c r="G2766" s="30" t="n"/>
      <c r="H2766" s="30" t="n"/>
      <c r="I2766" s="31" t="n"/>
      <c r="J2766" s="30" t="n"/>
      <c r="K2766" s="30" t="n"/>
      <c r="L2766" s="30" t="n"/>
      <c r="M2766" s="30" t="n"/>
      <c r="N2766" s="32" t="n"/>
      <c r="O2766" s="30" t="n"/>
      <c r="P2766" s="32" t="n"/>
      <c r="Q2766" s="30" t="n"/>
      <c r="R2766" s="32" t="n"/>
      <c r="S2766" s="30" t="n"/>
      <c r="T2766" s="30" t="n"/>
      <c r="U2766" s="30" t="n"/>
      <c r="V2766" s="30" t="n"/>
      <c r="W2766" s="29">
        <f>IF(H2766="","",IF(H2766="Kenya","Yes","No"))</f>
        <v/>
      </c>
      <c r="X2766" s="29">
        <f>IF(B2766="","",IF(COUNTIF($B$5:$B$3004,B2766)&gt;1,"DUPLICATE","OK"))</f>
        <v/>
      </c>
      <c r="Y2766" s="29">
        <f>IF(OR(U2766="",V2766="",V2766="Excluded"),"",IF(COUNTIFS($U$5:$U$3004,U2766,$V$5:$V$3004,"&lt;&gt;"&amp;V2766,$V$5:$V$3004,"&lt;&gt;",$V$5:$V$3004,"&lt;&gt;Excluded")&gt;0,"LEAK RISK","OK"))</f>
        <v/>
      </c>
      <c r="Z2766" s="30" t="n"/>
    </row>
    <row r="2767">
      <c r="A2767" s="30" t="n"/>
      <c r="B2767" s="30" t="n"/>
      <c r="C2767" s="30" t="n"/>
      <c r="D2767" s="30" t="n"/>
      <c r="E2767" s="30" t="n"/>
      <c r="F2767" s="30" t="n"/>
      <c r="G2767" s="30" t="n"/>
      <c r="H2767" s="30" t="n"/>
      <c r="I2767" s="31" t="n"/>
      <c r="J2767" s="30" t="n"/>
      <c r="K2767" s="30" t="n"/>
      <c r="L2767" s="30" t="n"/>
      <c r="M2767" s="30" t="n"/>
      <c r="N2767" s="32" t="n"/>
      <c r="O2767" s="30" t="n"/>
      <c r="P2767" s="32" t="n"/>
      <c r="Q2767" s="30" t="n"/>
      <c r="R2767" s="32" t="n"/>
      <c r="S2767" s="30" t="n"/>
      <c r="T2767" s="30" t="n"/>
      <c r="U2767" s="30" t="n"/>
      <c r="V2767" s="30" t="n"/>
      <c r="W2767" s="29">
        <f>IF(H2767="","",IF(H2767="Kenya","Yes","No"))</f>
        <v/>
      </c>
      <c r="X2767" s="29">
        <f>IF(B2767="","",IF(COUNTIF($B$5:$B$3004,B2767)&gt;1,"DUPLICATE","OK"))</f>
        <v/>
      </c>
      <c r="Y2767" s="29">
        <f>IF(OR(U2767="",V2767="",V2767="Excluded"),"",IF(COUNTIFS($U$5:$U$3004,U2767,$V$5:$V$3004,"&lt;&gt;"&amp;V2767,$V$5:$V$3004,"&lt;&gt;",$V$5:$V$3004,"&lt;&gt;Excluded")&gt;0,"LEAK RISK","OK"))</f>
        <v/>
      </c>
      <c r="Z2767" s="30" t="n"/>
    </row>
    <row r="2768">
      <c r="A2768" s="30" t="n"/>
      <c r="B2768" s="30" t="n"/>
      <c r="C2768" s="30" t="n"/>
      <c r="D2768" s="30" t="n"/>
      <c r="E2768" s="30" t="n"/>
      <c r="F2768" s="30" t="n"/>
      <c r="G2768" s="30" t="n"/>
      <c r="H2768" s="30" t="n"/>
      <c r="I2768" s="31" t="n"/>
      <c r="J2768" s="30" t="n"/>
      <c r="K2768" s="30" t="n"/>
      <c r="L2768" s="30" t="n"/>
      <c r="M2768" s="30" t="n"/>
      <c r="N2768" s="32" t="n"/>
      <c r="O2768" s="30" t="n"/>
      <c r="P2768" s="32" t="n"/>
      <c r="Q2768" s="30" t="n"/>
      <c r="R2768" s="32" t="n"/>
      <c r="S2768" s="30" t="n"/>
      <c r="T2768" s="30" t="n"/>
      <c r="U2768" s="30" t="n"/>
      <c r="V2768" s="30" t="n"/>
      <c r="W2768" s="29">
        <f>IF(H2768="","",IF(H2768="Kenya","Yes","No"))</f>
        <v/>
      </c>
      <c r="X2768" s="29">
        <f>IF(B2768="","",IF(COUNTIF($B$5:$B$3004,B2768)&gt;1,"DUPLICATE","OK"))</f>
        <v/>
      </c>
      <c r="Y2768" s="29">
        <f>IF(OR(U2768="",V2768="",V2768="Excluded"),"",IF(COUNTIFS($U$5:$U$3004,U2768,$V$5:$V$3004,"&lt;&gt;"&amp;V2768,$V$5:$V$3004,"&lt;&gt;",$V$5:$V$3004,"&lt;&gt;Excluded")&gt;0,"LEAK RISK","OK"))</f>
        <v/>
      </c>
      <c r="Z2768" s="30" t="n"/>
    </row>
    <row r="2769">
      <c r="A2769" s="30" t="n"/>
      <c r="B2769" s="30" t="n"/>
      <c r="C2769" s="30" t="n"/>
      <c r="D2769" s="30" t="n"/>
      <c r="E2769" s="30" t="n"/>
      <c r="F2769" s="30" t="n"/>
      <c r="G2769" s="30" t="n"/>
      <c r="H2769" s="30" t="n"/>
      <c r="I2769" s="31" t="n"/>
      <c r="J2769" s="30" t="n"/>
      <c r="K2769" s="30" t="n"/>
      <c r="L2769" s="30" t="n"/>
      <c r="M2769" s="30" t="n"/>
      <c r="N2769" s="32" t="n"/>
      <c r="O2769" s="30" t="n"/>
      <c r="P2769" s="32" t="n"/>
      <c r="Q2769" s="30" t="n"/>
      <c r="R2769" s="32" t="n"/>
      <c r="S2769" s="30" t="n"/>
      <c r="T2769" s="30" t="n"/>
      <c r="U2769" s="30" t="n"/>
      <c r="V2769" s="30" t="n"/>
      <c r="W2769" s="29">
        <f>IF(H2769="","",IF(H2769="Kenya","Yes","No"))</f>
        <v/>
      </c>
      <c r="X2769" s="29">
        <f>IF(B2769="","",IF(COUNTIF($B$5:$B$3004,B2769)&gt;1,"DUPLICATE","OK"))</f>
        <v/>
      </c>
      <c r="Y2769" s="29">
        <f>IF(OR(U2769="",V2769="",V2769="Excluded"),"",IF(COUNTIFS($U$5:$U$3004,U2769,$V$5:$V$3004,"&lt;&gt;"&amp;V2769,$V$5:$V$3004,"&lt;&gt;",$V$5:$V$3004,"&lt;&gt;Excluded")&gt;0,"LEAK RISK","OK"))</f>
        <v/>
      </c>
      <c r="Z2769" s="30" t="n"/>
    </row>
    <row r="2770">
      <c r="A2770" s="30" t="n"/>
      <c r="B2770" s="30" t="n"/>
      <c r="C2770" s="30" t="n"/>
      <c r="D2770" s="30" t="n"/>
      <c r="E2770" s="30" t="n"/>
      <c r="F2770" s="30" t="n"/>
      <c r="G2770" s="30" t="n"/>
      <c r="H2770" s="30" t="n"/>
      <c r="I2770" s="31" t="n"/>
      <c r="J2770" s="30" t="n"/>
      <c r="K2770" s="30" t="n"/>
      <c r="L2770" s="30" t="n"/>
      <c r="M2770" s="30" t="n"/>
      <c r="N2770" s="32" t="n"/>
      <c r="O2770" s="30" t="n"/>
      <c r="P2770" s="32" t="n"/>
      <c r="Q2770" s="30" t="n"/>
      <c r="R2770" s="32" t="n"/>
      <c r="S2770" s="30" t="n"/>
      <c r="T2770" s="30" t="n"/>
      <c r="U2770" s="30" t="n"/>
      <c r="V2770" s="30" t="n"/>
      <c r="W2770" s="29">
        <f>IF(H2770="","",IF(H2770="Kenya","Yes","No"))</f>
        <v/>
      </c>
      <c r="X2770" s="29">
        <f>IF(B2770="","",IF(COUNTIF($B$5:$B$3004,B2770)&gt;1,"DUPLICATE","OK"))</f>
        <v/>
      </c>
      <c r="Y2770" s="29">
        <f>IF(OR(U2770="",V2770="",V2770="Excluded"),"",IF(COUNTIFS($U$5:$U$3004,U2770,$V$5:$V$3004,"&lt;&gt;"&amp;V2770,$V$5:$V$3004,"&lt;&gt;",$V$5:$V$3004,"&lt;&gt;Excluded")&gt;0,"LEAK RISK","OK"))</f>
        <v/>
      </c>
      <c r="Z2770" s="30" t="n"/>
    </row>
    <row r="2771">
      <c r="A2771" s="30" t="n"/>
      <c r="B2771" s="30" t="n"/>
      <c r="C2771" s="30" t="n"/>
      <c r="D2771" s="30" t="n"/>
      <c r="E2771" s="30" t="n"/>
      <c r="F2771" s="30" t="n"/>
      <c r="G2771" s="30" t="n"/>
      <c r="H2771" s="30" t="n"/>
      <c r="I2771" s="31" t="n"/>
      <c r="J2771" s="30" t="n"/>
      <c r="K2771" s="30" t="n"/>
      <c r="L2771" s="30" t="n"/>
      <c r="M2771" s="30" t="n"/>
      <c r="N2771" s="32" t="n"/>
      <c r="O2771" s="30" t="n"/>
      <c r="P2771" s="32" t="n"/>
      <c r="Q2771" s="30" t="n"/>
      <c r="R2771" s="32" t="n"/>
      <c r="S2771" s="30" t="n"/>
      <c r="T2771" s="30" t="n"/>
      <c r="U2771" s="30" t="n"/>
      <c r="V2771" s="30" t="n"/>
      <c r="W2771" s="29">
        <f>IF(H2771="","",IF(H2771="Kenya","Yes","No"))</f>
        <v/>
      </c>
      <c r="X2771" s="29">
        <f>IF(B2771="","",IF(COUNTIF($B$5:$B$3004,B2771)&gt;1,"DUPLICATE","OK"))</f>
        <v/>
      </c>
      <c r="Y2771" s="29">
        <f>IF(OR(U2771="",V2771="",V2771="Excluded"),"",IF(COUNTIFS($U$5:$U$3004,U2771,$V$5:$V$3004,"&lt;&gt;"&amp;V2771,$V$5:$V$3004,"&lt;&gt;",$V$5:$V$3004,"&lt;&gt;Excluded")&gt;0,"LEAK RISK","OK"))</f>
        <v/>
      </c>
      <c r="Z2771" s="30" t="n"/>
    </row>
    <row r="2772">
      <c r="A2772" s="30" t="n"/>
      <c r="B2772" s="30" t="n"/>
      <c r="C2772" s="30" t="n"/>
      <c r="D2772" s="30" t="n"/>
      <c r="E2772" s="30" t="n"/>
      <c r="F2772" s="30" t="n"/>
      <c r="G2772" s="30" t="n"/>
      <c r="H2772" s="30" t="n"/>
      <c r="I2772" s="31" t="n"/>
      <c r="J2772" s="30" t="n"/>
      <c r="K2772" s="30" t="n"/>
      <c r="L2772" s="30" t="n"/>
      <c r="M2772" s="30" t="n"/>
      <c r="N2772" s="32" t="n"/>
      <c r="O2772" s="30" t="n"/>
      <c r="P2772" s="32" t="n"/>
      <c r="Q2772" s="30" t="n"/>
      <c r="R2772" s="32" t="n"/>
      <c r="S2772" s="30" t="n"/>
      <c r="T2772" s="30" t="n"/>
      <c r="U2772" s="30" t="n"/>
      <c r="V2772" s="30" t="n"/>
      <c r="W2772" s="29">
        <f>IF(H2772="","",IF(H2772="Kenya","Yes","No"))</f>
        <v/>
      </c>
      <c r="X2772" s="29">
        <f>IF(B2772="","",IF(COUNTIF($B$5:$B$3004,B2772)&gt;1,"DUPLICATE","OK"))</f>
        <v/>
      </c>
      <c r="Y2772" s="29">
        <f>IF(OR(U2772="",V2772="",V2772="Excluded"),"",IF(COUNTIFS($U$5:$U$3004,U2772,$V$5:$V$3004,"&lt;&gt;"&amp;V2772,$V$5:$V$3004,"&lt;&gt;",$V$5:$V$3004,"&lt;&gt;Excluded")&gt;0,"LEAK RISK","OK"))</f>
        <v/>
      </c>
      <c r="Z2772" s="30" t="n"/>
    </row>
    <row r="2773">
      <c r="A2773" s="30" t="n"/>
      <c r="B2773" s="30" t="n"/>
      <c r="C2773" s="30" t="n"/>
      <c r="D2773" s="30" t="n"/>
      <c r="E2773" s="30" t="n"/>
      <c r="F2773" s="30" t="n"/>
      <c r="G2773" s="30" t="n"/>
      <c r="H2773" s="30" t="n"/>
      <c r="I2773" s="31" t="n"/>
      <c r="J2773" s="30" t="n"/>
      <c r="K2773" s="30" t="n"/>
      <c r="L2773" s="30" t="n"/>
      <c r="M2773" s="30" t="n"/>
      <c r="N2773" s="32" t="n"/>
      <c r="O2773" s="30" t="n"/>
      <c r="P2773" s="32" t="n"/>
      <c r="Q2773" s="30" t="n"/>
      <c r="R2773" s="32" t="n"/>
      <c r="S2773" s="30" t="n"/>
      <c r="T2773" s="30" t="n"/>
      <c r="U2773" s="30" t="n"/>
      <c r="V2773" s="30" t="n"/>
      <c r="W2773" s="29">
        <f>IF(H2773="","",IF(H2773="Kenya","Yes","No"))</f>
        <v/>
      </c>
      <c r="X2773" s="29">
        <f>IF(B2773="","",IF(COUNTIF($B$5:$B$3004,B2773)&gt;1,"DUPLICATE","OK"))</f>
        <v/>
      </c>
      <c r="Y2773" s="29">
        <f>IF(OR(U2773="",V2773="",V2773="Excluded"),"",IF(COUNTIFS($U$5:$U$3004,U2773,$V$5:$V$3004,"&lt;&gt;"&amp;V2773,$V$5:$V$3004,"&lt;&gt;",$V$5:$V$3004,"&lt;&gt;Excluded")&gt;0,"LEAK RISK","OK"))</f>
        <v/>
      </c>
      <c r="Z2773" s="30" t="n"/>
    </row>
    <row r="2774">
      <c r="A2774" s="30" t="n"/>
      <c r="B2774" s="30" t="n"/>
      <c r="C2774" s="30" t="n"/>
      <c r="D2774" s="30" t="n"/>
      <c r="E2774" s="30" t="n"/>
      <c r="F2774" s="30" t="n"/>
      <c r="G2774" s="30" t="n"/>
      <c r="H2774" s="30" t="n"/>
      <c r="I2774" s="31" t="n"/>
      <c r="J2774" s="30" t="n"/>
      <c r="K2774" s="30" t="n"/>
      <c r="L2774" s="30" t="n"/>
      <c r="M2774" s="30" t="n"/>
      <c r="N2774" s="32" t="n"/>
      <c r="O2774" s="30" t="n"/>
      <c r="P2774" s="32" t="n"/>
      <c r="Q2774" s="30" t="n"/>
      <c r="R2774" s="32" t="n"/>
      <c r="S2774" s="30" t="n"/>
      <c r="T2774" s="30" t="n"/>
      <c r="U2774" s="30" t="n"/>
      <c r="V2774" s="30" t="n"/>
      <c r="W2774" s="29">
        <f>IF(H2774="","",IF(H2774="Kenya","Yes","No"))</f>
        <v/>
      </c>
      <c r="X2774" s="29">
        <f>IF(B2774="","",IF(COUNTIF($B$5:$B$3004,B2774)&gt;1,"DUPLICATE","OK"))</f>
        <v/>
      </c>
      <c r="Y2774" s="29">
        <f>IF(OR(U2774="",V2774="",V2774="Excluded"),"",IF(COUNTIFS($U$5:$U$3004,U2774,$V$5:$V$3004,"&lt;&gt;"&amp;V2774,$V$5:$V$3004,"&lt;&gt;",$V$5:$V$3004,"&lt;&gt;Excluded")&gt;0,"LEAK RISK","OK"))</f>
        <v/>
      </c>
      <c r="Z2774" s="30" t="n"/>
    </row>
    <row r="2775">
      <c r="A2775" s="30" t="n"/>
      <c r="B2775" s="30" t="n"/>
      <c r="C2775" s="30" t="n"/>
      <c r="D2775" s="30" t="n"/>
      <c r="E2775" s="30" t="n"/>
      <c r="F2775" s="30" t="n"/>
      <c r="G2775" s="30" t="n"/>
      <c r="H2775" s="30" t="n"/>
      <c r="I2775" s="31" t="n"/>
      <c r="J2775" s="30" t="n"/>
      <c r="K2775" s="30" t="n"/>
      <c r="L2775" s="30" t="n"/>
      <c r="M2775" s="30" t="n"/>
      <c r="N2775" s="32" t="n"/>
      <c r="O2775" s="30" t="n"/>
      <c r="P2775" s="32" t="n"/>
      <c r="Q2775" s="30" t="n"/>
      <c r="R2775" s="32" t="n"/>
      <c r="S2775" s="30" t="n"/>
      <c r="T2775" s="30" t="n"/>
      <c r="U2775" s="30" t="n"/>
      <c r="V2775" s="30" t="n"/>
      <c r="W2775" s="29">
        <f>IF(H2775="","",IF(H2775="Kenya","Yes","No"))</f>
        <v/>
      </c>
      <c r="X2775" s="29">
        <f>IF(B2775="","",IF(COUNTIF($B$5:$B$3004,B2775)&gt;1,"DUPLICATE","OK"))</f>
        <v/>
      </c>
      <c r="Y2775" s="29">
        <f>IF(OR(U2775="",V2775="",V2775="Excluded"),"",IF(COUNTIFS($U$5:$U$3004,U2775,$V$5:$V$3004,"&lt;&gt;"&amp;V2775,$V$5:$V$3004,"&lt;&gt;",$V$5:$V$3004,"&lt;&gt;Excluded")&gt;0,"LEAK RISK","OK"))</f>
        <v/>
      </c>
      <c r="Z2775" s="30" t="n"/>
    </row>
    <row r="2776">
      <c r="A2776" s="30" t="n"/>
      <c r="B2776" s="30" t="n"/>
      <c r="C2776" s="30" t="n"/>
      <c r="D2776" s="30" t="n"/>
      <c r="E2776" s="30" t="n"/>
      <c r="F2776" s="30" t="n"/>
      <c r="G2776" s="30" t="n"/>
      <c r="H2776" s="30" t="n"/>
      <c r="I2776" s="31" t="n"/>
      <c r="J2776" s="30" t="n"/>
      <c r="K2776" s="30" t="n"/>
      <c r="L2776" s="30" t="n"/>
      <c r="M2776" s="30" t="n"/>
      <c r="N2776" s="32" t="n"/>
      <c r="O2776" s="30" t="n"/>
      <c r="P2776" s="32" t="n"/>
      <c r="Q2776" s="30" t="n"/>
      <c r="R2776" s="32" t="n"/>
      <c r="S2776" s="30" t="n"/>
      <c r="T2776" s="30" t="n"/>
      <c r="U2776" s="30" t="n"/>
      <c r="V2776" s="30" t="n"/>
      <c r="W2776" s="29">
        <f>IF(H2776="","",IF(H2776="Kenya","Yes","No"))</f>
        <v/>
      </c>
      <c r="X2776" s="29">
        <f>IF(B2776="","",IF(COUNTIF($B$5:$B$3004,B2776)&gt;1,"DUPLICATE","OK"))</f>
        <v/>
      </c>
      <c r="Y2776" s="29">
        <f>IF(OR(U2776="",V2776="",V2776="Excluded"),"",IF(COUNTIFS($U$5:$U$3004,U2776,$V$5:$V$3004,"&lt;&gt;"&amp;V2776,$V$5:$V$3004,"&lt;&gt;",$V$5:$V$3004,"&lt;&gt;Excluded")&gt;0,"LEAK RISK","OK"))</f>
        <v/>
      </c>
      <c r="Z2776" s="30" t="n"/>
    </row>
    <row r="2777">
      <c r="A2777" s="30" t="n"/>
      <c r="B2777" s="30" t="n"/>
      <c r="C2777" s="30" t="n"/>
      <c r="D2777" s="30" t="n"/>
      <c r="E2777" s="30" t="n"/>
      <c r="F2777" s="30" t="n"/>
      <c r="G2777" s="30" t="n"/>
      <c r="H2777" s="30" t="n"/>
      <c r="I2777" s="31" t="n"/>
      <c r="J2777" s="30" t="n"/>
      <c r="K2777" s="30" t="n"/>
      <c r="L2777" s="30" t="n"/>
      <c r="M2777" s="30" t="n"/>
      <c r="N2777" s="32" t="n"/>
      <c r="O2777" s="30" t="n"/>
      <c r="P2777" s="32" t="n"/>
      <c r="Q2777" s="30" t="n"/>
      <c r="R2777" s="32" t="n"/>
      <c r="S2777" s="30" t="n"/>
      <c r="T2777" s="30" t="n"/>
      <c r="U2777" s="30" t="n"/>
      <c r="V2777" s="30" t="n"/>
      <c r="W2777" s="29">
        <f>IF(H2777="","",IF(H2777="Kenya","Yes","No"))</f>
        <v/>
      </c>
      <c r="X2777" s="29">
        <f>IF(B2777="","",IF(COUNTIF($B$5:$B$3004,B2777)&gt;1,"DUPLICATE","OK"))</f>
        <v/>
      </c>
      <c r="Y2777" s="29">
        <f>IF(OR(U2777="",V2777="",V2777="Excluded"),"",IF(COUNTIFS($U$5:$U$3004,U2777,$V$5:$V$3004,"&lt;&gt;"&amp;V2777,$V$5:$V$3004,"&lt;&gt;",$V$5:$V$3004,"&lt;&gt;Excluded")&gt;0,"LEAK RISK","OK"))</f>
        <v/>
      </c>
      <c r="Z2777" s="30" t="n"/>
    </row>
    <row r="2778">
      <c r="A2778" s="30" t="n"/>
      <c r="B2778" s="30" t="n"/>
      <c r="C2778" s="30" t="n"/>
      <c r="D2778" s="30" t="n"/>
      <c r="E2778" s="30" t="n"/>
      <c r="F2778" s="30" t="n"/>
      <c r="G2778" s="30" t="n"/>
      <c r="H2778" s="30" t="n"/>
      <c r="I2778" s="31" t="n"/>
      <c r="J2778" s="30" t="n"/>
      <c r="K2778" s="30" t="n"/>
      <c r="L2778" s="30" t="n"/>
      <c r="M2778" s="30" t="n"/>
      <c r="N2778" s="32" t="n"/>
      <c r="O2778" s="30" t="n"/>
      <c r="P2778" s="32" t="n"/>
      <c r="Q2778" s="30" t="n"/>
      <c r="R2778" s="32" t="n"/>
      <c r="S2778" s="30" t="n"/>
      <c r="T2778" s="30" t="n"/>
      <c r="U2778" s="30" t="n"/>
      <c r="V2778" s="30" t="n"/>
      <c r="W2778" s="29">
        <f>IF(H2778="","",IF(H2778="Kenya","Yes","No"))</f>
        <v/>
      </c>
      <c r="X2778" s="29">
        <f>IF(B2778="","",IF(COUNTIF($B$5:$B$3004,B2778)&gt;1,"DUPLICATE","OK"))</f>
        <v/>
      </c>
      <c r="Y2778" s="29">
        <f>IF(OR(U2778="",V2778="",V2778="Excluded"),"",IF(COUNTIFS($U$5:$U$3004,U2778,$V$5:$V$3004,"&lt;&gt;"&amp;V2778,$V$5:$V$3004,"&lt;&gt;",$V$5:$V$3004,"&lt;&gt;Excluded")&gt;0,"LEAK RISK","OK"))</f>
        <v/>
      </c>
      <c r="Z2778" s="30" t="n"/>
    </row>
    <row r="2779">
      <c r="A2779" s="30" t="n"/>
      <c r="B2779" s="30" t="n"/>
      <c r="C2779" s="30" t="n"/>
      <c r="D2779" s="30" t="n"/>
      <c r="E2779" s="30" t="n"/>
      <c r="F2779" s="30" t="n"/>
      <c r="G2779" s="30" t="n"/>
      <c r="H2779" s="30" t="n"/>
      <c r="I2779" s="31" t="n"/>
      <c r="J2779" s="30" t="n"/>
      <c r="K2779" s="30" t="n"/>
      <c r="L2779" s="30" t="n"/>
      <c r="M2779" s="30" t="n"/>
      <c r="N2779" s="32" t="n"/>
      <c r="O2779" s="30" t="n"/>
      <c r="P2779" s="32" t="n"/>
      <c r="Q2779" s="30" t="n"/>
      <c r="R2779" s="32" t="n"/>
      <c r="S2779" s="30" t="n"/>
      <c r="T2779" s="30" t="n"/>
      <c r="U2779" s="30" t="n"/>
      <c r="V2779" s="30" t="n"/>
      <c r="W2779" s="29">
        <f>IF(H2779="","",IF(H2779="Kenya","Yes","No"))</f>
        <v/>
      </c>
      <c r="X2779" s="29">
        <f>IF(B2779="","",IF(COUNTIF($B$5:$B$3004,B2779)&gt;1,"DUPLICATE","OK"))</f>
        <v/>
      </c>
      <c r="Y2779" s="29">
        <f>IF(OR(U2779="",V2779="",V2779="Excluded"),"",IF(COUNTIFS($U$5:$U$3004,U2779,$V$5:$V$3004,"&lt;&gt;"&amp;V2779,$V$5:$V$3004,"&lt;&gt;",$V$5:$V$3004,"&lt;&gt;Excluded")&gt;0,"LEAK RISK","OK"))</f>
        <v/>
      </c>
      <c r="Z2779" s="30" t="n"/>
    </row>
    <row r="2780">
      <c r="A2780" s="30" t="n"/>
      <c r="B2780" s="30" t="n"/>
      <c r="C2780" s="30" t="n"/>
      <c r="D2780" s="30" t="n"/>
      <c r="E2780" s="30" t="n"/>
      <c r="F2780" s="30" t="n"/>
      <c r="G2780" s="30" t="n"/>
      <c r="H2780" s="30" t="n"/>
      <c r="I2780" s="31" t="n"/>
      <c r="J2780" s="30" t="n"/>
      <c r="K2780" s="30" t="n"/>
      <c r="L2780" s="30" t="n"/>
      <c r="M2780" s="30" t="n"/>
      <c r="N2780" s="32" t="n"/>
      <c r="O2780" s="30" t="n"/>
      <c r="P2780" s="32" t="n"/>
      <c r="Q2780" s="30" t="n"/>
      <c r="R2780" s="32" t="n"/>
      <c r="S2780" s="30" t="n"/>
      <c r="T2780" s="30" t="n"/>
      <c r="U2780" s="30" t="n"/>
      <c r="V2780" s="30" t="n"/>
      <c r="W2780" s="29">
        <f>IF(H2780="","",IF(H2780="Kenya","Yes","No"))</f>
        <v/>
      </c>
      <c r="X2780" s="29">
        <f>IF(B2780="","",IF(COUNTIF($B$5:$B$3004,B2780)&gt;1,"DUPLICATE","OK"))</f>
        <v/>
      </c>
      <c r="Y2780" s="29">
        <f>IF(OR(U2780="",V2780="",V2780="Excluded"),"",IF(COUNTIFS($U$5:$U$3004,U2780,$V$5:$V$3004,"&lt;&gt;"&amp;V2780,$V$5:$V$3004,"&lt;&gt;",$V$5:$V$3004,"&lt;&gt;Excluded")&gt;0,"LEAK RISK","OK"))</f>
        <v/>
      </c>
      <c r="Z2780" s="30" t="n"/>
    </row>
    <row r="2781">
      <c r="A2781" s="30" t="n"/>
      <c r="B2781" s="30" t="n"/>
      <c r="C2781" s="30" t="n"/>
      <c r="D2781" s="30" t="n"/>
      <c r="E2781" s="30" t="n"/>
      <c r="F2781" s="30" t="n"/>
      <c r="G2781" s="30" t="n"/>
      <c r="H2781" s="30" t="n"/>
      <c r="I2781" s="31" t="n"/>
      <c r="J2781" s="30" t="n"/>
      <c r="K2781" s="30" t="n"/>
      <c r="L2781" s="30" t="n"/>
      <c r="M2781" s="30" t="n"/>
      <c r="N2781" s="32" t="n"/>
      <c r="O2781" s="30" t="n"/>
      <c r="P2781" s="32" t="n"/>
      <c r="Q2781" s="30" t="n"/>
      <c r="R2781" s="32" t="n"/>
      <c r="S2781" s="30" t="n"/>
      <c r="T2781" s="30" t="n"/>
      <c r="U2781" s="30" t="n"/>
      <c r="V2781" s="30" t="n"/>
      <c r="W2781" s="29">
        <f>IF(H2781="","",IF(H2781="Kenya","Yes","No"))</f>
        <v/>
      </c>
      <c r="X2781" s="29">
        <f>IF(B2781="","",IF(COUNTIF($B$5:$B$3004,B2781)&gt;1,"DUPLICATE","OK"))</f>
        <v/>
      </c>
      <c r="Y2781" s="29">
        <f>IF(OR(U2781="",V2781="",V2781="Excluded"),"",IF(COUNTIFS($U$5:$U$3004,U2781,$V$5:$V$3004,"&lt;&gt;"&amp;V2781,$V$5:$V$3004,"&lt;&gt;",$V$5:$V$3004,"&lt;&gt;Excluded")&gt;0,"LEAK RISK","OK"))</f>
        <v/>
      </c>
      <c r="Z2781" s="30" t="n"/>
    </row>
    <row r="2782">
      <c r="A2782" s="30" t="n"/>
      <c r="B2782" s="30" t="n"/>
      <c r="C2782" s="30" t="n"/>
      <c r="D2782" s="30" t="n"/>
      <c r="E2782" s="30" t="n"/>
      <c r="F2782" s="30" t="n"/>
      <c r="G2782" s="30" t="n"/>
      <c r="H2782" s="30" t="n"/>
      <c r="I2782" s="31" t="n"/>
      <c r="J2782" s="30" t="n"/>
      <c r="K2782" s="30" t="n"/>
      <c r="L2782" s="30" t="n"/>
      <c r="M2782" s="30" t="n"/>
      <c r="N2782" s="32" t="n"/>
      <c r="O2782" s="30" t="n"/>
      <c r="P2782" s="32" t="n"/>
      <c r="Q2782" s="30" t="n"/>
      <c r="R2782" s="32" t="n"/>
      <c r="S2782" s="30" t="n"/>
      <c r="T2782" s="30" t="n"/>
      <c r="U2782" s="30" t="n"/>
      <c r="V2782" s="30" t="n"/>
      <c r="W2782" s="29">
        <f>IF(H2782="","",IF(H2782="Kenya","Yes","No"))</f>
        <v/>
      </c>
      <c r="X2782" s="29">
        <f>IF(B2782="","",IF(COUNTIF($B$5:$B$3004,B2782)&gt;1,"DUPLICATE","OK"))</f>
        <v/>
      </c>
      <c r="Y2782" s="29">
        <f>IF(OR(U2782="",V2782="",V2782="Excluded"),"",IF(COUNTIFS($U$5:$U$3004,U2782,$V$5:$V$3004,"&lt;&gt;"&amp;V2782,$V$5:$V$3004,"&lt;&gt;",$V$5:$V$3004,"&lt;&gt;Excluded")&gt;0,"LEAK RISK","OK"))</f>
        <v/>
      </c>
      <c r="Z2782" s="30" t="n"/>
    </row>
    <row r="2783">
      <c r="A2783" s="30" t="n"/>
      <c r="B2783" s="30" t="n"/>
      <c r="C2783" s="30" t="n"/>
      <c r="D2783" s="30" t="n"/>
      <c r="E2783" s="30" t="n"/>
      <c r="F2783" s="30" t="n"/>
      <c r="G2783" s="30" t="n"/>
      <c r="H2783" s="30" t="n"/>
      <c r="I2783" s="31" t="n"/>
      <c r="J2783" s="30" t="n"/>
      <c r="K2783" s="30" t="n"/>
      <c r="L2783" s="30" t="n"/>
      <c r="M2783" s="30" t="n"/>
      <c r="N2783" s="32" t="n"/>
      <c r="O2783" s="30" t="n"/>
      <c r="P2783" s="32" t="n"/>
      <c r="Q2783" s="30" t="n"/>
      <c r="R2783" s="32" t="n"/>
      <c r="S2783" s="30" t="n"/>
      <c r="T2783" s="30" t="n"/>
      <c r="U2783" s="30" t="n"/>
      <c r="V2783" s="30" t="n"/>
      <c r="W2783" s="29">
        <f>IF(H2783="","",IF(H2783="Kenya","Yes","No"))</f>
        <v/>
      </c>
      <c r="X2783" s="29">
        <f>IF(B2783="","",IF(COUNTIF($B$5:$B$3004,B2783)&gt;1,"DUPLICATE","OK"))</f>
        <v/>
      </c>
      <c r="Y2783" s="29">
        <f>IF(OR(U2783="",V2783="",V2783="Excluded"),"",IF(COUNTIFS($U$5:$U$3004,U2783,$V$5:$V$3004,"&lt;&gt;"&amp;V2783,$V$5:$V$3004,"&lt;&gt;",$V$5:$V$3004,"&lt;&gt;Excluded")&gt;0,"LEAK RISK","OK"))</f>
        <v/>
      </c>
      <c r="Z2783" s="30" t="n"/>
    </row>
    <row r="2784">
      <c r="A2784" s="30" t="n"/>
      <c r="B2784" s="30" t="n"/>
      <c r="C2784" s="30" t="n"/>
      <c r="D2784" s="30" t="n"/>
      <c r="E2784" s="30" t="n"/>
      <c r="F2784" s="30" t="n"/>
      <c r="G2784" s="30" t="n"/>
      <c r="H2784" s="30" t="n"/>
      <c r="I2784" s="31" t="n"/>
      <c r="J2784" s="30" t="n"/>
      <c r="K2784" s="30" t="n"/>
      <c r="L2784" s="30" t="n"/>
      <c r="M2784" s="30" t="n"/>
      <c r="N2784" s="32" t="n"/>
      <c r="O2784" s="30" t="n"/>
      <c r="P2784" s="32" t="n"/>
      <c r="Q2784" s="30" t="n"/>
      <c r="R2784" s="32" t="n"/>
      <c r="S2784" s="30" t="n"/>
      <c r="T2784" s="30" t="n"/>
      <c r="U2784" s="30" t="n"/>
      <c r="V2784" s="30" t="n"/>
      <c r="W2784" s="29">
        <f>IF(H2784="","",IF(H2784="Kenya","Yes","No"))</f>
        <v/>
      </c>
      <c r="X2784" s="29">
        <f>IF(B2784="","",IF(COUNTIF($B$5:$B$3004,B2784)&gt;1,"DUPLICATE","OK"))</f>
        <v/>
      </c>
      <c r="Y2784" s="29">
        <f>IF(OR(U2784="",V2784="",V2784="Excluded"),"",IF(COUNTIFS($U$5:$U$3004,U2784,$V$5:$V$3004,"&lt;&gt;"&amp;V2784,$V$5:$V$3004,"&lt;&gt;",$V$5:$V$3004,"&lt;&gt;Excluded")&gt;0,"LEAK RISK","OK"))</f>
        <v/>
      </c>
      <c r="Z2784" s="30" t="n"/>
    </row>
    <row r="2785">
      <c r="A2785" s="30" t="n"/>
      <c r="B2785" s="30" t="n"/>
      <c r="C2785" s="30" t="n"/>
      <c r="D2785" s="30" t="n"/>
      <c r="E2785" s="30" t="n"/>
      <c r="F2785" s="30" t="n"/>
      <c r="G2785" s="30" t="n"/>
      <c r="H2785" s="30" t="n"/>
      <c r="I2785" s="31" t="n"/>
      <c r="J2785" s="30" t="n"/>
      <c r="K2785" s="30" t="n"/>
      <c r="L2785" s="30" t="n"/>
      <c r="M2785" s="30" t="n"/>
      <c r="N2785" s="32" t="n"/>
      <c r="O2785" s="30" t="n"/>
      <c r="P2785" s="32" t="n"/>
      <c r="Q2785" s="30" t="n"/>
      <c r="R2785" s="32" t="n"/>
      <c r="S2785" s="30" t="n"/>
      <c r="T2785" s="30" t="n"/>
      <c r="U2785" s="30" t="n"/>
      <c r="V2785" s="30" t="n"/>
      <c r="W2785" s="29">
        <f>IF(H2785="","",IF(H2785="Kenya","Yes","No"))</f>
        <v/>
      </c>
      <c r="X2785" s="29">
        <f>IF(B2785="","",IF(COUNTIF($B$5:$B$3004,B2785)&gt;1,"DUPLICATE","OK"))</f>
        <v/>
      </c>
      <c r="Y2785" s="29">
        <f>IF(OR(U2785="",V2785="",V2785="Excluded"),"",IF(COUNTIFS($U$5:$U$3004,U2785,$V$5:$V$3004,"&lt;&gt;"&amp;V2785,$V$5:$V$3004,"&lt;&gt;",$V$5:$V$3004,"&lt;&gt;Excluded")&gt;0,"LEAK RISK","OK"))</f>
        <v/>
      </c>
      <c r="Z2785" s="30" t="n"/>
    </row>
    <row r="2786">
      <c r="A2786" s="30" t="n"/>
      <c r="B2786" s="30" t="n"/>
      <c r="C2786" s="30" t="n"/>
      <c r="D2786" s="30" t="n"/>
      <c r="E2786" s="30" t="n"/>
      <c r="F2786" s="30" t="n"/>
      <c r="G2786" s="30" t="n"/>
      <c r="H2786" s="30" t="n"/>
      <c r="I2786" s="31" t="n"/>
      <c r="J2786" s="30" t="n"/>
      <c r="K2786" s="30" t="n"/>
      <c r="L2786" s="30" t="n"/>
      <c r="M2786" s="30" t="n"/>
      <c r="N2786" s="32" t="n"/>
      <c r="O2786" s="30" t="n"/>
      <c r="P2786" s="32" t="n"/>
      <c r="Q2786" s="30" t="n"/>
      <c r="R2786" s="32" t="n"/>
      <c r="S2786" s="30" t="n"/>
      <c r="T2786" s="30" t="n"/>
      <c r="U2786" s="30" t="n"/>
      <c r="V2786" s="30" t="n"/>
      <c r="W2786" s="29">
        <f>IF(H2786="","",IF(H2786="Kenya","Yes","No"))</f>
        <v/>
      </c>
      <c r="X2786" s="29">
        <f>IF(B2786="","",IF(COUNTIF($B$5:$B$3004,B2786)&gt;1,"DUPLICATE","OK"))</f>
        <v/>
      </c>
      <c r="Y2786" s="29">
        <f>IF(OR(U2786="",V2786="",V2786="Excluded"),"",IF(COUNTIFS($U$5:$U$3004,U2786,$V$5:$V$3004,"&lt;&gt;"&amp;V2786,$V$5:$V$3004,"&lt;&gt;",$V$5:$V$3004,"&lt;&gt;Excluded")&gt;0,"LEAK RISK","OK"))</f>
        <v/>
      </c>
      <c r="Z2786" s="30" t="n"/>
    </row>
    <row r="2787">
      <c r="A2787" s="30" t="n"/>
      <c r="B2787" s="30" t="n"/>
      <c r="C2787" s="30" t="n"/>
      <c r="D2787" s="30" t="n"/>
      <c r="E2787" s="30" t="n"/>
      <c r="F2787" s="30" t="n"/>
      <c r="G2787" s="30" t="n"/>
      <c r="H2787" s="30" t="n"/>
      <c r="I2787" s="31" t="n"/>
      <c r="J2787" s="30" t="n"/>
      <c r="K2787" s="30" t="n"/>
      <c r="L2787" s="30" t="n"/>
      <c r="M2787" s="30" t="n"/>
      <c r="N2787" s="32" t="n"/>
      <c r="O2787" s="30" t="n"/>
      <c r="P2787" s="32" t="n"/>
      <c r="Q2787" s="30" t="n"/>
      <c r="R2787" s="32" t="n"/>
      <c r="S2787" s="30" t="n"/>
      <c r="T2787" s="30" t="n"/>
      <c r="U2787" s="30" t="n"/>
      <c r="V2787" s="30" t="n"/>
      <c r="W2787" s="29">
        <f>IF(H2787="","",IF(H2787="Kenya","Yes","No"))</f>
        <v/>
      </c>
      <c r="X2787" s="29">
        <f>IF(B2787="","",IF(COUNTIF($B$5:$B$3004,B2787)&gt;1,"DUPLICATE","OK"))</f>
        <v/>
      </c>
      <c r="Y2787" s="29">
        <f>IF(OR(U2787="",V2787="",V2787="Excluded"),"",IF(COUNTIFS($U$5:$U$3004,U2787,$V$5:$V$3004,"&lt;&gt;"&amp;V2787,$V$5:$V$3004,"&lt;&gt;",$V$5:$V$3004,"&lt;&gt;Excluded")&gt;0,"LEAK RISK","OK"))</f>
        <v/>
      </c>
      <c r="Z2787" s="30" t="n"/>
    </row>
    <row r="2788">
      <c r="A2788" s="30" t="n"/>
      <c r="B2788" s="30" t="n"/>
      <c r="C2788" s="30" t="n"/>
      <c r="D2788" s="30" t="n"/>
      <c r="E2788" s="30" t="n"/>
      <c r="F2788" s="30" t="n"/>
      <c r="G2788" s="30" t="n"/>
      <c r="H2788" s="30" t="n"/>
      <c r="I2788" s="31" t="n"/>
      <c r="J2788" s="30" t="n"/>
      <c r="K2788" s="30" t="n"/>
      <c r="L2788" s="30" t="n"/>
      <c r="M2788" s="30" t="n"/>
      <c r="N2788" s="32" t="n"/>
      <c r="O2788" s="30" t="n"/>
      <c r="P2788" s="32" t="n"/>
      <c r="Q2788" s="30" t="n"/>
      <c r="R2788" s="32" t="n"/>
      <c r="S2788" s="30" t="n"/>
      <c r="T2788" s="30" t="n"/>
      <c r="U2788" s="30" t="n"/>
      <c r="V2788" s="30" t="n"/>
      <c r="W2788" s="29">
        <f>IF(H2788="","",IF(H2788="Kenya","Yes","No"))</f>
        <v/>
      </c>
      <c r="X2788" s="29">
        <f>IF(B2788="","",IF(COUNTIF($B$5:$B$3004,B2788)&gt;1,"DUPLICATE","OK"))</f>
        <v/>
      </c>
      <c r="Y2788" s="29">
        <f>IF(OR(U2788="",V2788="",V2788="Excluded"),"",IF(COUNTIFS($U$5:$U$3004,U2788,$V$5:$V$3004,"&lt;&gt;"&amp;V2788,$V$5:$V$3004,"&lt;&gt;",$V$5:$V$3004,"&lt;&gt;Excluded")&gt;0,"LEAK RISK","OK"))</f>
        <v/>
      </c>
      <c r="Z2788" s="30" t="n"/>
    </row>
    <row r="2789">
      <c r="A2789" s="30" t="n"/>
      <c r="B2789" s="30" t="n"/>
      <c r="C2789" s="30" t="n"/>
      <c r="D2789" s="30" t="n"/>
      <c r="E2789" s="30" t="n"/>
      <c r="F2789" s="30" t="n"/>
      <c r="G2789" s="30" t="n"/>
      <c r="H2789" s="30" t="n"/>
      <c r="I2789" s="31" t="n"/>
      <c r="J2789" s="30" t="n"/>
      <c r="K2789" s="30" t="n"/>
      <c r="L2789" s="30" t="n"/>
      <c r="M2789" s="30" t="n"/>
      <c r="N2789" s="32" t="n"/>
      <c r="O2789" s="30" t="n"/>
      <c r="P2789" s="32" t="n"/>
      <c r="Q2789" s="30" t="n"/>
      <c r="R2789" s="32" t="n"/>
      <c r="S2789" s="30" t="n"/>
      <c r="T2789" s="30" t="n"/>
      <c r="U2789" s="30" t="n"/>
      <c r="V2789" s="30" t="n"/>
      <c r="W2789" s="29">
        <f>IF(H2789="","",IF(H2789="Kenya","Yes","No"))</f>
        <v/>
      </c>
      <c r="X2789" s="29">
        <f>IF(B2789="","",IF(COUNTIF($B$5:$B$3004,B2789)&gt;1,"DUPLICATE","OK"))</f>
        <v/>
      </c>
      <c r="Y2789" s="29">
        <f>IF(OR(U2789="",V2789="",V2789="Excluded"),"",IF(COUNTIFS($U$5:$U$3004,U2789,$V$5:$V$3004,"&lt;&gt;"&amp;V2789,$V$5:$V$3004,"&lt;&gt;",$V$5:$V$3004,"&lt;&gt;Excluded")&gt;0,"LEAK RISK","OK"))</f>
        <v/>
      </c>
      <c r="Z2789" s="30" t="n"/>
    </row>
    <row r="2790">
      <c r="A2790" s="30" t="n"/>
      <c r="B2790" s="30" t="n"/>
      <c r="C2790" s="30" t="n"/>
      <c r="D2790" s="30" t="n"/>
      <c r="E2790" s="30" t="n"/>
      <c r="F2790" s="30" t="n"/>
      <c r="G2790" s="30" t="n"/>
      <c r="H2790" s="30" t="n"/>
      <c r="I2790" s="31" t="n"/>
      <c r="J2790" s="30" t="n"/>
      <c r="K2790" s="30" t="n"/>
      <c r="L2790" s="30" t="n"/>
      <c r="M2790" s="30" t="n"/>
      <c r="N2790" s="32" t="n"/>
      <c r="O2790" s="30" t="n"/>
      <c r="P2790" s="32" t="n"/>
      <c r="Q2790" s="30" t="n"/>
      <c r="R2790" s="32" t="n"/>
      <c r="S2790" s="30" t="n"/>
      <c r="T2790" s="30" t="n"/>
      <c r="U2790" s="30" t="n"/>
      <c r="V2790" s="30" t="n"/>
      <c r="W2790" s="29">
        <f>IF(H2790="","",IF(H2790="Kenya","Yes","No"))</f>
        <v/>
      </c>
      <c r="X2790" s="29">
        <f>IF(B2790="","",IF(COUNTIF($B$5:$B$3004,B2790)&gt;1,"DUPLICATE","OK"))</f>
        <v/>
      </c>
      <c r="Y2790" s="29">
        <f>IF(OR(U2790="",V2790="",V2790="Excluded"),"",IF(COUNTIFS($U$5:$U$3004,U2790,$V$5:$V$3004,"&lt;&gt;"&amp;V2790,$V$5:$V$3004,"&lt;&gt;",$V$5:$V$3004,"&lt;&gt;Excluded")&gt;0,"LEAK RISK","OK"))</f>
        <v/>
      </c>
      <c r="Z2790" s="30" t="n"/>
    </row>
    <row r="2791">
      <c r="A2791" s="30" t="n"/>
      <c r="B2791" s="30" t="n"/>
      <c r="C2791" s="30" t="n"/>
      <c r="D2791" s="30" t="n"/>
      <c r="E2791" s="30" t="n"/>
      <c r="F2791" s="30" t="n"/>
      <c r="G2791" s="30" t="n"/>
      <c r="H2791" s="30" t="n"/>
      <c r="I2791" s="31" t="n"/>
      <c r="J2791" s="30" t="n"/>
      <c r="K2791" s="30" t="n"/>
      <c r="L2791" s="30" t="n"/>
      <c r="M2791" s="30" t="n"/>
      <c r="N2791" s="32" t="n"/>
      <c r="O2791" s="30" t="n"/>
      <c r="P2791" s="32" t="n"/>
      <c r="Q2791" s="30" t="n"/>
      <c r="R2791" s="32" t="n"/>
      <c r="S2791" s="30" t="n"/>
      <c r="T2791" s="30" t="n"/>
      <c r="U2791" s="30" t="n"/>
      <c r="V2791" s="30" t="n"/>
      <c r="W2791" s="29">
        <f>IF(H2791="","",IF(H2791="Kenya","Yes","No"))</f>
        <v/>
      </c>
      <c r="X2791" s="29">
        <f>IF(B2791="","",IF(COUNTIF($B$5:$B$3004,B2791)&gt;1,"DUPLICATE","OK"))</f>
        <v/>
      </c>
      <c r="Y2791" s="29">
        <f>IF(OR(U2791="",V2791="",V2791="Excluded"),"",IF(COUNTIFS($U$5:$U$3004,U2791,$V$5:$V$3004,"&lt;&gt;"&amp;V2791,$V$5:$V$3004,"&lt;&gt;",$V$5:$V$3004,"&lt;&gt;Excluded")&gt;0,"LEAK RISK","OK"))</f>
        <v/>
      </c>
      <c r="Z2791" s="30" t="n"/>
    </row>
    <row r="2792">
      <c r="A2792" s="30" t="n"/>
      <c r="B2792" s="30" t="n"/>
      <c r="C2792" s="30" t="n"/>
      <c r="D2792" s="30" t="n"/>
      <c r="E2792" s="30" t="n"/>
      <c r="F2792" s="30" t="n"/>
      <c r="G2792" s="30" t="n"/>
      <c r="H2792" s="30" t="n"/>
      <c r="I2792" s="31" t="n"/>
      <c r="J2792" s="30" t="n"/>
      <c r="K2792" s="30" t="n"/>
      <c r="L2792" s="30" t="n"/>
      <c r="M2792" s="30" t="n"/>
      <c r="N2792" s="32" t="n"/>
      <c r="O2792" s="30" t="n"/>
      <c r="P2792" s="32" t="n"/>
      <c r="Q2792" s="30" t="n"/>
      <c r="R2792" s="32" t="n"/>
      <c r="S2792" s="30" t="n"/>
      <c r="T2792" s="30" t="n"/>
      <c r="U2792" s="30" t="n"/>
      <c r="V2792" s="30" t="n"/>
      <c r="W2792" s="29">
        <f>IF(H2792="","",IF(H2792="Kenya","Yes","No"))</f>
        <v/>
      </c>
      <c r="X2792" s="29">
        <f>IF(B2792="","",IF(COUNTIF($B$5:$B$3004,B2792)&gt;1,"DUPLICATE","OK"))</f>
        <v/>
      </c>
      <c r="Y2792" s="29">
        <f>IF(OR(U2792="",V2792="",V2792="Excluded"),"",IF(COUNTIFS($U$5:$U$3004,U2792,$V$5:$V$3004,"&lt;&gt;"&amp;V2792,$V$5:$V$3004,"&lt;&gt;",$V$5:$V$3004,"&lt;&gt;Excluded")&gt;0,"LEAK RISK","OK"))</f>
        <v/>
      </c>
      <c r="Z2792" s="30" t="n"/>
    </row>
    <row r="2793">
      <c r="A2793" s="30" t="n"/>
      <c r="B2793" s="30" t="n"/>
      <c r="C2793" s="30" t="n"/>
      <c r="D2793" s="30" t="n"/>
      <c r="E2793" s="30" t="n"/>
      <c r="F2793" s="30" t="n"/>
      <c r="G2793" s="30" t="n"/>
      <c r="H2793" s="30" t="n"/>
      <c r="I2793" s="31" t="n"/>
      <c r="J2793" s="30" t="n"/>
      <c r="K2793" s="30" t="n"/>
      <c r="L2793" s="30" t="n"/>
      <c r="M2793" s="30" t="n"/>
      <c r="N2793" s="32" t="n"/>
      <c r="O2793" s="30" t="n"/>
      <c r="P2793" s="32" t="n"/>
      <c r="Q2793" s="30" t="n"/>
      <c r="R2793" s="32" t="n"/>
      <c r="S2793" s="30" t="n"/>
      <c r="T2793" s="30" t="n"/>
      <c r="U2793" s="30" t="n"/>
      <c r="V2793" s="30" t="n"/>
      <c r="W2793" s="29">
        <f>IF(H2793="","",IF(H2793="Kenya","Yes","No"))</f>
        <v/>
      </c>
      <c r="X2793" s="29">
        <f>IF(B2793="","",IF(COUNTIF($B$5:$B$3004,B2793)&gt;1,"DUPLICATE","OK"))</f>
        <v/>
      </c>
      <c r="Y2793" s="29">
        <f>IF(OR(U2793="",V2793="",V2793="Excluded"),"",IF(COUNTIFS($U$5:$U$3004,U2793,$V$5:$V$3004,"&lt;&gt;"&amp;V2793,$V$5:$V$3004,"&lt;&gt;",$V$5:$V$3004,"&lt;&gt;Excluded")&gt;0,"LEAK RISK","OK"))</f>
        <v/>
      </c>
      <c r="Z2793" s="30" t="n"/>
    </row>
    <row r="2794">
      <c r="A2794" s="30" t="n"/>
      <c r="B2794" s="30" t="n"/>
      <c r="C2794" s="30" t="n"/>
      <c r="D2794" s="30" t="n"/>
      <c r="E2794" s="30" t="n"/>
      <c r="F2794" s="30" t="n"/>
      <c r="G2794" s="30" t="n"/>
      <c r="H2794" s="30" t="n"/>
      <c r="I2794" s="31" t="n"/>
      <c r="J2794" s="30" t="n"/>
      <c r="K2794" s="30" t="n"/>
      <c r="L2794" s="30" t="n"/>
      <c r="M2794" s="30" t="n"/>
      <c r="N2794" s="32" t="n"/>
      <c r="O2794" s="30" t="n"/>
      <c r="P2794" s="32" t="n"/>
      <c r="Q2794" s="30" t="n"/>
      <c r="R2794" s="32" t="n"/>
      <c r="S2794" s="30" t="n"/>
      <c r="T2794" s="30" t="n"/>
      <c r="U2794" s="30" t="n"/>
      <c r="V2794" s="30" t="n"/>
      <c r="W2794" s="29">
        <f>IF(H2794="","",IF(H2794="Kenya","Yes","No"))</f>
        <v/>
      </c>
      <c r="X2794" s="29">
        <f>IF(B2794="","",IF(COUNTIF($B$5:$B$3004,B2794)&gt;1,"DUPLICATE","OK"))</f>
        <v/>
      </c>
      <c r="Y2794" s="29">
        <f>IF(OR(U2794="",V2794="",V2794="Excluded"),"",IF(COUNTIFS($U$5:$U$3004,U2794,$V$5:$V$3004,"&lt;&gt;"&amp;V2794,$V$5:$V$3004,"&lt;&gt;",$V$5:$V$3004,"&lt;&gt;Excluded")&gt;0,"LEAK RISK","OK"))</f>
        <v/>
      </c>
      <c r="Z2794" s="30" t="n"/>
    </row>
    <row r="2795">
      <c r="A2795" s="30" t="n"/>
      <c r="B2795" s="30" t="n"/>
      <c r="C2795" s="30" t="n"/>
      <c r="D2795" s="30" t="n"/>
      <c r="E2795" s="30" t="n"/>
      <c r="F2795" s="30" t="n"/>
      <c r="G2795" s="30" t="n"/>
      <c r="H2795" s="30" t="n"/>
      <c r="I2795" s="31" t="n"/>
      <c r="J2795" s="30" t="n"/>
      <c r="K2795" s="30" t="n"/>
      <c r="L2795" s="30" t="n"/>
      <c r="M2795" s="30" t="n"/>
      <c r="N2795" s="32" t="n"/>
      <c r="O2795" s="30" t="n"/>
      <c r="P2795" s="32" t="n"/>
      <c r="Q2795" s="30" t="n"/>
      <c r="R2795" s="32" t="n"/>
      <c r="S2795" s="30" t="n"/>
      <c r="T2795" s="30" t="n"/>
      <c r="U2795" s="30" t="n"/>
      <c r="V2795" s="30" t="n"/>
      <c r="W2795" s="29">
        <f>IF(H2795="","",IF(H2795="Kenya","Yes","No"))</f>
        <v/>
      </c>
      <c r="X2795" s="29">
        <f>IF(B2795="","",IF(COUNTIF($B$5:$B$3004,B2795)&gt;1,"DUPLICATE","OK"))</f>
        <v/>
      </c>
      <c r="Y2795" s="29">
        <f>IF(OR(U2795="",V2795="",V2795="Excluded"),"",IF(COUNTIFS($U$5:$U$3004,U2795,$V$5:$V$3004,"&lt;&gt;"&amp;V2795,$V$5:$V$3004,"&lt;&gt;",$V$5:$V$3004,"&lt;&gt;Excluded")&gt;0,"LEAK RISK","OK"))</f>
        <v/>
      </c>
      <c r="Z2795" s="30" t="n"/>
    </row>
    <row r="2796">
      <c r="A2796" s="30" t="n"/>
      <c r="B2796" s="30" t="n"/>
      <c r="C2796" s="30" t="n"/>
      <c r="D2796" s="30" t="n"/>
      <c r="E2796" s="30" t="n"/>
      <c r="F2796" s="30" t="n"/>
      <c r="G2796" s="30" t="n"/>
      <c r="H2796" s="30" t="n"/>
      <c r="I2796" s="31" t="n"/>
      <c r="J2796" s="30" t="n"/>
      <c r="K2796" s="30" t="n"/>
      <c r="L2796" s="30" t="n"/>
      <c r="M2796" s="30" t="n"/>
      <c r="N2796" s="32" t="n"/>
      <c r="O2796" s="30" t="n"/>
      <c r="P2796" s="32" t="n"/>
      <c r="Q2796" s="30" t="n"/>
      <c r="R2796" s="32" t="n"/>
      <c r="S2796" s="30" t="n"/>
      <c r="T2796" s="30" t="n"/>
      <c r="U2796" s="30" t="n"/>
      <c r="V2796" s="30" t="n"/>
      <c r="W2796" s="29">
        <f>IF(H2796="","",IF(H2796="Kenya","Yes","No"))</f>
        <v/>
      </c>
      <c r="X2796" s="29">
        <f>IF(B2796="","",IF(COUNTIF($B$5:$B$3004,B2796)&gt;1,"DUPLICATE","OK"))</f>
        <v/>
      </c>
      <c r="Y2796" s="29">
        <f>IF(OR(U2796="",V2796="",V2796="Excluded"),"",IF(COUNTIFS($U$5:$U$3004,U2796,$V$5:$V$3004,"&lt;&gt;"&amp;V2796,$V$5:$V$3004,"&lt;&gt;",$V$5:$V$3004,"&lt;&gt;Excluded")&gt;0,"LEAK RISK","OK"))</f>
        <v/>
      </c>
      <c r="Z2796" s="30" t="n"/>
    </row>
    <row r="2797">
      <c r="A2797" s="30" t="n"/>
      <c r="B2797" s="30" t="n"/>
      <c r="C2797" s="30" t="n"/>
      <c r="D2797" s="30" t="n"/>
      <c r="E2797" s="30" t="n"/>
      <c r="F2797" s="30" t="n"/>
      <c r="G2797" s="30" t="n"/>
      <c r="H2797" s="30" t="n"/>
      <c r="I2797" s="31" t="n"/>
      <c r="J2797" s="30" t="n"/>
      <c r="K2797" s="30" t="n"/>
      <c r="L2797" s="30" t="n"/>
      <c r="M2797" s="30" t="n"/>
      <c r="N2797" s="32" t="n"/>
      <c r="O2797" s="30" t="n"/>
      <c r="P2797" s="32" t="n"/>
      <c r="Q2797" s="30" t="n"/>
      <c r="R2797" s="32" t="n"/>
      <c r="S2797" s="30" t="n"/>
      <c r="T2797" s="30" t="n"/>
      <c r="U2797" s="30" t="n"/>
      <c r="V2797" s="30" t="n"/>
      <c r="W2797" s="29">
        <f>IF(H2797="","",IF(H2797="Kenya","Yes","No"))</f>
        <v/>
      </c>
      <c r="X2797" s="29">
        <f>IF(B2797="","",IF(COUNTIF($B$5:$B$3004,B2797)&gt;1,"DUPLICATE","OK"))</f>
        <v/>
      </c>
      <c r="Y2797" s="29">
        <f>IF(OR(U2797="",V2797="",V2797="Excluded"),"",IF(COUNTIFS($U$5:$U$3004,U2797,$V$5:$V$3004,"&lt;&gt;"&amp;V2797,$V$5:$V$3004,"&lt;&gt;",$V$5:$V$3004,"&lt;&gt;Excluded")&gt;0,"LEAK RISK","OK"))</f>
        <v/>
      </c>
      <c r="Z2797" s="30" t="n"/>
    </row>
    <row r="2798">
      <c r="A2798" s="30" t="n"/>
      <c r="B2798" s="30" t="n"/>
      <c r="C2798" s="30" t="n"/>
      <c r="D2798" s="30" t="n"/>
      <c r="E2798" s="30" t="n"/>
      <c r="F2798" s="30" t="n"/>
      <c r="G2798" s="30" t="n"/>
      <c r="H2798" s="30" t="n"/>
      <c r="I2798" s="31" t="n"/>
      <c r="J2798" s="30" t="n"/>
      <c r="K2798" s="30" t="n"/>
      <c r="L2798" s="30" t="n"/>
      <c r="M2798" s="30" t="n"/>
      <c r="N2798" s="32" t="n"/>
      <c r="O2798" s="30" t="n"/>
      <c r="P2798" s="32" t="n"/>
      <c r="Q2798" s="30" t="n"/>
      <c r="R2798" s="32" t="n"/>
      <c r="S2798" s="30" t="n"/>
      <c r="T2798" s="30" t="n"/>
      <c r="U2798" s="30" t="n"/>
      <c r="V2798" s="30" t="n"/>
      <c r="W2798" s="29">
        <f>IF(H2798="","",IF(H2798="Kenya","Yes","No"))</f>
        <v/>
      </c>
      <c r="X2798" s="29">
        <f>IF(B2798="","",IF(COUNTIF($B$5:$B$3004,B2798)&gt;1,"DUPLICATE","OK"))</f>
        <v/>
      </c>
      <c r="Y2798" s="29">
        <f>IF(OR(U2798="",V2798="",V2798="Excluded"),"",IF(COUNTIFS($U$5:$U$3004,U2798,$V$5:$V$3004,"&lt;&gt;"&amp;V2798,$V$5:$V$3004,"&lt;&gt;",$V$5:$V$3004,"&lt;&gt;Excluded")&gt;0,"LEAK RISK","OK"))</f>
        <v/>
      </c>
      <c r="Z2798" s="30" t="n"/>
    </row>
    <row r="2799">
      <c r="A2799" s="30" t="n"/>
      <c r="B2799" s="30" t="n"/>
      <c r="C2799" s="30" t="n"/>
      <c r="D2799" s="30" t="n"/>
      <c r="E2799" s="30" t="n"/>
      <c r="F2799" s="30" t="n"/>
      <c r="G2799" s="30" t="n"/>
      <c r="H2799" s="30" t="n"/>
      <c r="I2799" s="31" t="n"/>
      <c r="J2799" s="30" t="n"/>
      <c r="K2799" s="30" t="n"/>
      <c r="L2799" s="30" t="n"/>
      <c r="M2799" s="30" t="n"/>
      <c r="N2799" s="32" t="n"/>
      <c r="O2799" s="30" t="n"/>
      <c r="P2799" s="32" t="n"/>
      <c r="Q2799" s="30" t="n"/>
      <c r="R2799" s="32" t="n"/>
      <c r="S2799" s="30" t="n"/>
      <c r="T2799" s="30" t="n"/>
      <c r="U2799" s="30" t="n"/>
      <c r="V2799" s="30" t="n"/>
      <c r="W2799" s="29">
        <f>IF(H2799="","",IF(H2799="Kenya","Yes","No"))</f>
        <v/>
      </c>
      <c r="X2799" s="29">
        <f>IF(B2799="","",IF(COUNTIF($B$5:$B$3004,B2799)&gt;1,"DUPLICATE","OK"))</f>
        <v/>
      </c>
      <c r="Y2799" s="29">
        <f>IF(OR(U2799="",V2799="",V2799="Excluded"),"",IF(COUNTIFS($U$5:$U$3004,U2799,$V$5:$V$3004,"&lt;&gt;"&amp;V2799,$V$5:$V$3004,"&lt;&gt;",$V$5:$V$3004,"&lt;&gt;Excluded")&gt;0,"LEAK RISK","OK"))</f>
        <v/>
      </c>
      <c r="Z2799" s="30" t="n"/>
    </row>
    <row r="2800">
      <c r="A2800" s="30" t="n"/>
      <c r="B2800" s="30" t="n"/>
      <c r="C2800" s="30" t="n"/>
      <c r="D2800" s="30" t="n"/>
      <c r="E2800" s="30" t="n"/>
      <c r="F2800" s="30" t="n"/>
      <c r="G2800" s="30" t="n"/>
      <c r="H2800" s="30" t="n"/>
      <c r="I2800" s="31" t="n"/>
      <c r="J2800" s="30" t="n"/>
      <c r="K2800" s="30" t="n"/>
      <c r="L2800" s="30" t="n"/>
      <c r="M2800" s="30" t="n"/>
      <c r="N2800" s="32" t="n"/>
      <c r="O2800" s="30" t="n"/>
      <c r="P2800" s="32" t="n"/>
      <c r="Q2800" s="30" t="n"/>
      <c r="R2800" s="32" t="n"/>
      <c r="S2800" s="30" t="n"/>
      <c r="T2800" s="30" t="n"/>
      <c r="U2800" s="30" t="n"/>
      <c r="V2800" s="30" t="n"/>
      <c r="W2800" s="29">
        <f>IF(H2800="","",IF(H2800="Kenya","Yes","No"))</f>
        <v/>
      </c>
      <c r="X2800" s="29">
        <f>IF(B2800="","",IF(COUNTIF($B$5:$B$3004,B2800)&gt;1,"DUPLICATE","OK"))</f>
        <v/>
      </c>
      <c r="Y2800" s="29">
        <f>IF(OR(U2800="",V2800="",V2800="Excluded"),"",IF(COUNTIFS($U$5:$U$3004,U2800,$V$5:$V$3004,"&lt;&gt;"&amp;V2800,$V$5:$V$3004,"&lt;&gt;",$V$5:$V$3004,"&lt;&gt;Excluded")&gt;0,"LEAK RISK","OK"))</f>
        <v/>
      </c>
      <c r="Z2800" s="30" t="n"/>
    </row>
    <row r="2801">
      <c r="A2801" s="30" t="n"/>
      <c r="B2801" s="30" t="n"/>
      <c r="C2801" s="30" t="n"/>
      <c r="D2801" s="30" t="n"/>
      <c r="E2801" s="30" t="n"/>
      <c r="F2801" s="30" t="n"/>
      <c r="G2801" s="30" t="n"/>
      <c r="H2801" s="30" t="n"/>
      <c r="I2801" s="31" t="n"/>
      <c r="J2801" s="30" t="n"/>
      <c r="K2801" s="30" t="n"/>
      <c r="L2801" s="30" t="n"/>
      <c r="M2801" s="30" t="n"/>
      <c r="N2801" s="32" t="n"/>
      <c r="O2801" s="30" t="n"/>
      <c r="P2801" s="32" t="n"/>
      <c r="Q2801" s="30" t="n"/>
      <c r="R2801" s="32" t="n"/>
      <c r="S2801" s="30" t="n"/>
      <c r="T2801" s="30" t="n"/>
      <c r="U2801" s="30" t="n"/>
      <c r="V2801" s="30" t="n"/>
      <c r="W2801" s="29">
        <f>IF(H2801="","",IF(H2801="Kenya","Yes","No"))</f>
        <v/>
      </c>
      <c r="X2801" s="29">
        <f>IF(B2801="","",IF(COUNTIF($B$5:$B$3004,B2801)&gt;1,"DUPLICATE","OK"))</f>
        <v/>
      </c>
      <c r="Y2801" s="29">
        <f>IF(OR(U2801="",V2801="",V2801="Excluded"),"",IF(COUNTIFS($U$5:$U$3004,U2801,$V$5:$V$3004,"&lt;&gt;"&amp;V2801,$V$5:$V$3004,"&lt;&gt;",$V$5:$V$3004,"&lt;&gt;Excluded")&gt;0,"LEAK RISK","OK"))</f>
        <v/>
      </c>
      <c r="Z2801" s="30" t="n"/>
    </row>
    <row r="2802">
      <c r="A2802" s="30" t="n"/>
      <c r="B2802" s="30" t="n"/>
      <c r="C2802" s="30" t="n"/>
      <c r="D2802" s="30" t="n"/>
      <c r="E2802" s="30" t="n"/>
      <c r="F2802" s="30" t="n"/>
      <c r="G2802" s="30" t="n"/>
      <c r="H2802" s="30" t="n"/>
      <c r="I2802" s="31" t="n"/>
      <c r="J2802" s="30" t="n"/>
      <c r="K2802" s="30" t="n"/>
      <c r="L2802" s="30" t="n"/>
      <c r="M2802" s="30" t="n"/>
      <c r="N2802" s="32" t="n"/>
      <c r="O2802" s="30" t="n"/>
      <c r="P2802" s="32" t="n"/>
      <c r="Q2802" s="30" t="n"/>
      <c r="R2802" s="32" t="n"/>
      <c r="S2802" s="30" t="n"/>
      <c r="T2802" s="30" t="n"/>
      <c r="U2802" s="30" t="n"/>
      <c r="V2802" s="30" t="n"/>
      <c r="W2802" s="29">
        <f>IF(H2802="","",IF(H2802="Kenya","Yes","No"))</f>
        <v/>
      </c>
      <c r="X2802" s="29">
        <f>IF(B2802="","",IF(COUNTIF($B$5:$B$3004,B2802)&gt;1,"DUPLICATE","OK"))</f>
        <v/>
      </c>
      <c r="Y2802" s="29">
        <f>IF(OR(U2802="",V2802="",V2802="Excluded"),"",IF(COUNTIFS($U$5:$U$3004,U2802,$V$5:$V$3004,"&lt;&gt;"&amp;V2802,$V$5:$V$3004,"&lt;&gt;",$V$5:$V$3004,"&lt;&gt;Excluded")&gt;0,"LEAK RISK","OK"))</f>
        <v/>
      </c>
      <c r="Z2802" s="30" t="n"/>
    </row>
    <row r="2803">
      <c r="A2803" s="30" t="n"/>
      <c r="B2803" s="30" t="n"/>
      <c r="C2803" s="30" t="n"/>
      <c r="D2803" s="30" t="n"/>
      <c r="E2803" s="30" t="n"/>
      <c r="F2803" s="30" t="n"/>
      <c r="G2803" s="30" t="n"/>
      <c r="H2803" s="30" t="n"/>
      <c r="I2803" s="31" t="n"/>
      <c r="J2803" s="30" t="n"/>
      <c r="K2803" s="30" t="n"/>
      <c r="L2803" s="30" t="n"/>
      <c r="M2803" s="30" t="n"/>
      <c r="N2803" s="32" t="n"/>
      <c r="O2803" s="30" t="n"/>
      <c r="P2803" s="32" t="n"/>
      <c r="Q2803" s="30" t="n"/>
      <c r="R2803" s="32" t="n"/>
      <c r="S2803" s="30" t="n"/>
      <c r="T2803" s="30" t="n"/>
      <c r="U2803" s="30" t="n"/>
      <c r="V2803" s="30" t="n"/>
      <c r="W2803" s="29">
        <f>IF(H2803="","",IF(H2803="Kenya","Yes","No"))</f>
        <v/>
      </c>
      <c r="X2803" s="29">
        <f>IF(B2803="","",IF(COUNTIF($B$5:$B$3004,B2803)&gt;1,"DUPLICATE","OK"))</f>
        <v/>
      </c>
      <c r="Y2803" s="29">
        <f>IF(OR(U2803="",V2803="",V2803="Excluded"),"",IF(COUNTIFS($U$5:$U$3004,U2803,$V$5:$V$3004,"&lt;&gt;"&amp;V2803,$V$5:$V$3004,"&lt;&gt;",$V$5:$V$3004,"&lt;&gt;Excluded")&gt;0,"LEAK RISK","OK"))</f>
        <v/>
      </c>
      <c r="Z2803" s="30" t="n"/>
    </row>
    <row r="2804">
      <c r="A2804" s="30" t="n"/>
      <c r="B2804" s="30" t="n"/>
      <c r="C2804" s="30" t="n"/>
      <c r="D2804" s="30" t="n"/>
      <c r="E2804" s="30" t="n"/>
      <c r="F2804" s="30" t="n"/>
      <c r="G2804" s="30" t="n"/>
      <c r="H2804" s="30" t="n"/>
      <c r="I2804" s="31" t="n"/>
      <c r="J2804" s="30" t="n"/>
      <c r="K2804" s="30" t="n"/>
      <c r="L2804" s="30" t="n"/>
      <c r="M2804" s="30" t="n"/>
      <c r="N2804" s="32" t="n"/>
      <c r="O2804" s="30" t="n"/>
      <c r="P2804" s="32" t="n"/>
      <c r="Q2804" s="30" t="n"/>
      <c r="R2804" s="32" t="n"/>
      <c r="S2804" s="30" t="n"/>
      <c r="T2804" s="30" t="n"/>
      <c r="U2804" s="30" t="n"/>
      <c r="V2804" s="30" t="n"/>
      <c r="W2804" s="29">
        <f>IF(H2804="","",IF(H2804="Kenya","Yes","No"))</f>
        <v/>
      </c>
      <c r="X2804" s="29">
        <f>IF(B2804="","",IF(COUNTIF($B$5:$B$3004,B2804)&gt;1,"DUPLICATE","OK"))</f>
        <v/>
      </c>
      <c r="Y2804" s="29">
        <f>IF(OR(U2804="",V2804="",V2804="Excluded"),"",IF(COUNTIFS($U$5:$U$3004,U2804,$V$5:$V$3004,"&lt;&gt;"&amp;V2804,$V$5:$V$3004,"&lt;&gt;",$V$5:$V$3004,"&lt;&gt;Excluded")&gt;0,"LEAK RISK","OK"))</f>
        <v/>
      </c>
      <c r="Z2804" s="30" t="n"/>
    </row>
    <row r="2805">
      <c r="A2805" s="30" t="n"/>
      <c r="B2805" s="30" t="n"/>
      <c r="C2805" s="30" t="n"/>
      <c r="D2805" s="30" t="n"/>
      <c r="E2805" s="30" t="n"/>
      <c r="F2805" s="30" t="n"/>
      <c r="G2805" s="30" t="n"/>
      <c r="H2805" s="30" t="n"/>
      <c r="I2805" s="31" t="n"/>
      <c r="J2805" s="30" t="n"/>
      <c r="K2805" s="30" t="n"/>
      <c r="L2805" s="30" t="n"/>
      <c r="M2805" s="30" t="n"/>
      <c r="N2805" s="32" t="n"/>
      <c r="O2805" s="30" t="n"/>
      <c r="P2805" s="32" t="n"/>
      <c r="Q2805" s="30" t="n"/>
      <c r="R2805" s="32" t="n"/>
      <c r="S2805" s="30" t="n"/>
      <c r="T2805" s="30" t="n"/>
      <c r="U2805" s="30" t="n"/>
      <c r="V2805" s="30" t="n"/>
      <c r="W2805" s="29">
        <f>IF(H2805="","",IF(H2805="Kenya","Yes","No"))</f>
        <v/>
      </c>
      <c r="X2805" s="29">
        <f>IF(B2805="","",IF(COUNTIF($B$5:$B$3004,B2805)&gt;1,"DUPLICATE","OK"))</f>
        <v/>
      </c>
      <c r="Y2805" s="29">
        <f>IF(OR(U2805="",V2805="",V2805="Excluded"),"",IF(COUNTIFS($U$5:$U$3004,U2805,$V$5:$V$3004,"&lt;&gt;"&amp;V2805,$V$5:$V$3004,"&lt;&gt;",$V$5:$V$3004,"&lt;&gt;Excluded")&gt;0,"LEAK RISK","OK"))</f>
        <v/>
      </c>
      <c r="Z2805" s="30" t="n"/>
    </row>
    <row r="2806">
      <c r="A2806" s="30" t="n"/>
      <c r="B2806" s="30" t="n"/>
      <c r="C2806" s="30" t="n"/>
      <c r="D2806" s="30" t="n"/>
      <c r="E2806" s="30" t="n"/>
      <c r="F2806" s="30" t="n"/>
      <c r="G2806" s="30" t="n"/>
      <c r="H2806" s="30" t="n"/>
      <c r="I2806" s="31" t="n"/>
      <c r="J2806" s="30" t="n"/>
      <c r="K2806" s="30" t="n"/>
      <c r="L2806" s="30" t="n"/>
      <c r="M2806" s="30" t="n"/>
      <c r="N2806" s="32" t="n"/>
      <c r="O2806" s="30" t="n"/>
      <c r="P2806" s="32" t="n"/>
      <c r="Q2806" s="30" t="n"/>
      <c r="R2806" s="32" t="n"/>
      <c r="S2806" s="30" t="n"/>
      <c r="T2806" s="30" t="n"/>
      <c r="U2806" s="30" t="n"/>
      <c r="V2806" s="30" t="n"/>
      <c r="W2806" s="29">
        <f>IF(H2806="","",IF(H2806="Kenya","Yes","No"))</f>
        <v/>
      </c>
      <c r="X2806" s="29">
        <f>IF(B2806="","",IF(COUNTIF($B$5:$B$3004,B2806)&gt;1,"DUPLICATE","OK"))</f>
        <v/>
      </c>
      <c r="Y2806" s="29">
        <f>IF(OR(U2806="",V2806="",V2806="Excluded"),"",IF(COUNTIFS($U$5:$U$3004,U2806,$V$5:$V$3004,"&lt;&gt;"&amp;V2806,$V$5:$V$3004,"&lt;&gt;",$V$5:$V$3004,"&lt;&gt;Excluded")&gt;0,"LEAK RISK","OK"))</f>
        <v/>
      </c>
      <c r="Z2806" s="30" t="n"/>
    </row>
    <row r="2807">
      <c r="A2807" s="30" t="n"/>
      <c r="B2807" s="30" t="n"/>
      <c r="C2807" s="30" t="n"/>
      <c r="D2807" s="30" t="n"/>
      <c r="E2807" s="30" t="n"/>
      <c r="F2807" s="30" t="n"/>
      <c r="G2807" s="30" t="n"/>
      <c r="H2807" s="30" t="n"/>
      <c r="I2807" s="31" t="n"/>
      <c r="J2807" s="30" t="n"/>
      <c r="K2807" s="30" t="n"/>
      <c r="L2807" s="30" t="n"/>
      <c r="M2807" s="30" t="n"/>
      <c r="N2807" s="32" t="n"/>
      <c r="O2807" s="30" t="n"/>
      <c r="P2807" s="32" t="n"/>
      <c r="Q2807" s="30" t="n"/>
      <c r="R2807" s="32" t="n"/>
      <c r="S2807" s="30" t="n"/>
      <c r="T2807" s="30" t="n"/>
      <c r="U2807" s="30" t="n"/>
      <c r="V2807" s="30" t="n"/>
      <c r="W2807" s="29">
        <f>IF(H2807="","",IF(H2807="Kenya","Yes","No"))</f>
        <v/>
      </c>
      <c r="X2807" s="29">
        <f>IF(B2807="","",IF(COUNTIF($B$5:$B$3004,B2807)&gt;1,"DUPLICATE","OK"))</f>
        <v/>
      </c>
      <c r="Y2807" s="29">
        <f>IF(OR(U2807="",V2807="",V2807="Excluded"),"",IF(COUNTIFS($U$5:$U$3004,U2807,$V$5:$V$3004,"&lt;&gt;"&amp;V2807,$V$5:$V$3004,"&lt;&gt;",$V$5:$V$3004,"&lt;&gt;Excluded")&gt;0,"LEAK RISK","OK"))</f>
        <v/>
      </c>
      <c r="Z2807" s="30" t="n"/>
    </row>
    <row r="2808">
      <c r="A2808" s="30" t="n"/>
      <c r="B2808" s="30" t="n"/>
      <c r="C2808" s="30" t="n"/>
      <c r="D2808" s="30" t="n"/>
      <c r="E2808" s="30" t="n"/>
      <c r="F2808" s="30" t="n"/>
      <c r="G2808" s="30" t="n"/>
      <c r="H2808" s="30" t="n"/>
      <c r="I2808" s="31" t="n"/>
      <c r="J2808" s="30" t="n"/>
      <c r="K2808" s="30" t="n"/>
      <c r="L2808" s="30" t="n"/>
      <c r="M2808" s="30" t="n"/>
      <c r="N2808" s="32" t="n"/>
      <c r="O2808" s="30" t="n"/>
      <c r="P2808" s="32" t="n"/>
      <c r="Q2808" s="30" t="n"/>
      <c r="R2808" s="32" t="n"/>
      <c r="S2808" s="30" t="n"/>
      <c r="T2808" s="30" t="n"/>
      <c r="U2808" s="30" t="n"/>
      <c r="V2808" s="30" t="n"/>
      <c r="W2808" s="29">
        <f>IF(H2808="","",IF(H2808="Kenya","Yes","No"))</f>
        <v/>
      </c>
      <c r="X2808" s="29">
        <f>IF(B2808="","",IF(COUNTIF($B$5:$B$3004,B2808)&gt;1,"DUPLICATE","OK"))</f>
        <v/>
      </c>
      <c r="Y2808" s="29">
        <f>IF(OR(U2808="",V2808="",V2808="Excluded"),"",IF(COUNTIFS($U$5:$U$3004,U2808,$V$5:$V$3004,"&lt;&gt;"&amp;V2808,$V$5:$V$3004,"&lt;&gt;",$V$5:$V$3004,"&lt;&gt;Excluded")&gt;0,"LEAK RISK","OK"))</f>
        <v/>
      </c>
      <c r="Z2808" s="30" t="n"/>
    </row>
    <row r="2809">
      <c r="A2809" s="30" t="n"/>
      <c r="B2809" s="30" t="n"/>
      <c r="C2809" s="30" t="n"/>
      <c r="D2809" s="30" t="n"/>
      <c r="E2809" s="30" t="n"/>
      <c r="F2809" s="30" t="n"/>
      <c r="G2809" s="30" t="n"/>
      <c r="H2809" s="30" t="n"/>
      <c r="I2809" s="31" t="n"/>
      <c r="J2809" s="30" t="n"/>
      <c r="K2809" s="30" t="n"/>
      <c r="L2809" s="30" t="n"/>
      <c r="M2809" s="30" t="n"/>
      <c r="N2809" s="32" t="n"/>
      <c r="O2809" s="30" t="n"/>
      <c r="P2809" s="32" t="n"/>
      <c r="Q2809" s="30" t="n"/>
      <c r="R2809" s="32" t="n"/>
      <c r="S2809" s="30" t="n"/>
      <c r="T2809" s="30" t="n"/>
      <c r="U2809" s="30" t="n"/>
      <c r="V2809" s="30" t="n"/>
      <c r="W2809" s="29">
        <f>IF(H2809="","",IF(H2809="Kenya","Yes","No"))</f>
        <v/>
      </c>
      <c r="X2809" s="29">
        <f>IF(B2809="","",IF(COUNTIF($B$5:$B$3004,B2809)&gt;1,"DUPLICATE","OK"))</f>
        <v/>
      </c>
      <c r="Y2809" s="29">
        <f>IF(OR(U2809="",V2809="",V2809="Excluded"),"",IF(COUNTIFS($U$5:$U$3004,U2809,$V$5:$V$3004,"&lt;&gt;"&amp;V2809,$V$5:$V$3004,"&lt;&gt;",$V$5:$V$3004,"&lt;&gt;Excluded")&gt;0,"LEAK RISK","OK"))</f>
        <v/>
      </c>
      <c r="Z2809" s="30" t="n"/>
    </row>
    <row r="2810">
      <c r="A2810" s="30" t="n"/>
      <c r="B2810" s="30" t="n"/>
      <c r="C2810" s="30" t="n"/>
      <c r="D2810" s="30" t="n"/>
      <c r="E2810" s="30" t="n"/>
      <c r="F2810" s="30" t="n"/>
      <c r="G2810" s="30" t="n"/>
      <c r="H2810" s="30" t="n"/>
      <c r="I2810" s="31" t="n"/>
      <c r="J2810" s="30" t="n"/>
      <c r="K2810" s="30" t="n"/>
      <c r="L2810" s="30" t="n"/>
      <c r="M2810" s="30" t="n"/>
      <c r="N2810" s="32" t="n"/>
      <c r="O2810" s="30" t="n"/>
      <c r="P2810" s="32" t="n"/>
      <c r="Q2810" s="30" t="n"/>
      <c r="R2810" s="32" t="n"/>
      <c r="S2810" s="30" t="n"/>
      <c r="T2810" s="30" t="n"/>
      <c r="U2810" s="30" t="n"/>
      <c r="V2810" s="30" t="n"/>
      <c r="W2810" s="29">
        <f>IF(H2810="","",IF(H2810="Kenya","Yes","No"))</f>
        <v/>
      </c>
      <c r="X2810" s="29">
        <f>IF(B2810="","",IF(COUNTIF($B$5:$B$3004,B2810)&gt;1,"DUPLICATE","OK"))</f>
        <v/>
      </c>
      <c r="Y2810" s="29">
        <f>IF(OR(U2810="",V2810="",V2810="Excluded"),"",IF(COUNTIFS($U$5:$U$3004,U2810,$V$5:$V$3004,"&lt;&gt;"&amp;V2810,$V$5:$V$3004,"&lt;&gt;",$V$5:$V$3004,"&lt;&gt;Excluded")&gt;0,"LEAK RISK","OK"))</f>
        <v/>
      </c>
      <c r="Z2810" s="30" t="n"/>
    </row>
    <row r="2811">
      <c r="A2811" s="30" t="n"/>
      <c r="B2811" s="30" t="n"/>
      <c r="C2811" s="30" t="n"/>
      <c r="D2811" s="30" t="n"/>
      <c r="E2811" s="30" t="n"/>
      <c r="F2811" s="30" t="n"/>
      <c r="G2811" s="30" t="n"/>
      <c r="H2811" s="30" t="n"/>
      <c r="I2811" s="31" t="n"/>
      <c r="J2811" s="30" t="n"/>
      <c r="K2811" s="30" t="n"/>
      <c r="L2811" s="30" t="n"/>
      <c r="M2811" s="30" t="n"/>
      <c r="N2811" s="32" t="n"/>
      <c r="O2811" s="30" t="n"/>
      <c r="P2811" s="32" t="n"/>
      <c r="Q2811" s="30" t="n"/>
      <c r="R2811" s="32" t="n"/>
      <c r="S2811" s="30" t="n"/>
      <c r="T2811" s="30" t="n"/>
      <c r="U2811" s="30" t="n"/>
      <c r="V2811" s="30" t="n"/>
      <c r="W2811" s="29">
        <f>IF(H2811="","",IF(H2811="Kenya","Yes","No"))</f>
        <v/>
      </c>
      <c r="X2811" s="29">
        <f>IF(B2811="","",IF(COUNTIF($B$5:$B$3004,B2811)&gt;1,"DUPLICATE","OK"))</f>
        <v/>
      </c>
      <c r="Y2811" s="29">
        <f>IF(OR(U2811="",V2811="",V2811="Excluded"),"",IF(COUNTIFS($U$5:$U$3004,U2811,$V$5:$V$3004,"&lt;&gt;"&amp;V2811,$V$5:$V$3004,"&lt;&gt;",$V$5:$V$3004,"&lt;&gt;Excluded")&gt;0,"LEAK RISK","OK"))</f>
        <v/>
      </c>
      <c r="Z2811" s="30" t="n"/>
    </row>
    <row r="2812">
      <c r="A2812" s="30" t="n"/>
      <c r="B2812" s="30" t="n"/>
      <c r="C2812" s="30" t="n"/>
      <c r="D2812" s="30" t="n"/>
      <c r="E2812" s="30" t="n"/>
      <c r="F2812" s="30" t="n"/>
      <c r="G2812" s="30" t="n"/>
      <c r="H2812" s="30" t="n"/>
      <c r="I2812" s="31" t="n"/>
      <c r="J2812" s="30" t="n"/>
      <c r="K2812" s="30" t="n"/>
      <c r="L2812" s="30" t="n"/>
      <c r="M2812" s="30" t="n"/>
      <c r="N2812" s="32" t="n"/>
      <c r="O2812" s="30" t="n"/>
      <c r="P2812" s="32" t="n"/>
      <c r="Q2812" s="30" t="n"/>
      <c r="R2812" s="32" t="n"/>
      <c r="S2812" s="30" t="n"/>
      <c r="T2812" s="30" t="n"/>
      <c r="U2812" s="30" t="n"/>
      <c r="V2812" s="30" t="n"/>
      <c r="W2812" s="29">
        <f>IF(H2812="","",IF(H2812="Kenya","Yes","No"))</f>
        <v/>
      </c>
      <c r="X2812" s="29">
        <f>IF(B2812="","",IF(COUNTIF($B$5:$B$3004,B2812)&gt;1,"DUPLICATE","OK"))</f>
        <v/>
      </c>
      <c r="Y2812" s="29">
        <f>IF(OR(U2812="",V2812="",V2812="Excluded"),"",IF(COUNTIFS($U$5:$U$3004,U2812,$V$5:$V$3004,"&lt;&gt;"&amp;V2812,$V$5:$V$3004,"&lt;&gt;",$V$5:$V$3004,"&lt;&gt;Excluded")&gt;0,"LEAK RISK","OK"))</f>
        <v/>
      </c>
      <c r="Z2812" s="30" t="n"/>
    </row>
    <row r="2813">
      <c r="A2813" s="30" t="n"/>
      <c r="B2813" s="30" t="n"/>
      <c r="C2813" s="30" t="n"/>
      <c r="D2813" s="30" t="n"/>
      <c r="E2813" s="30" t="n"/>
      <c r="F2813" s="30" t="n"/>
      <c r="G2813" s="30" t="n"/>
      <c r="H2813" s="30" t="n"/>
      <c r="I2813" s="31" t="n"/>
      <c r="J2813" s="30" t="n"/>
      <c r="K2813" s="30" t="n"/>
      <c r="L2813" s="30" t="n"/>
      <c r="M2813" s="30" t="n"/>
      <c r="N2813" s="32" t="n"/>
      <c r="O2813" s="30" t="n"/>
      <c r="P2813" s="32" t="n"/>
      <c r="Q2813" s="30" t="n"/>
      <c r="R2813" s="32" t="n"/>
      <c r="S2813" s="30" t="n"/>
      <c r="T2813" s="30" t="n"/>
      <c r="U2813" s="30" t="n"/>
      <c r="V2813" s="30" t="n"/>
      <c r="W2813" s="29">
        <f>IF(H2813="","",IF(H2813="Kenya","Yes","No"))</f>
        <v/>
      </c>
      <c r="X2813" s="29">
        <f>IF(B2813="","",IF(COUNTIF($B$5:$B$3004,B2813)&gt;1,"DUPLICATE","OK"))</f>
        <v/>
      </c>
      <c r="Y2813" s="29">
        <f>IF(OR(U2813="",V2813="",V2813="Excluded"),"",IF(COUNTIFS($U$5:$U$3004,U2813,$V$5:$V$3004,"&lt;&gt;"&amp;V2813,$V$5:$V$3004,"&lt;&gt;",$V$5:$V$3004,"&lt;&gt;Excluded")&gt;0,"LEAK RISK","OK"))</f>
        <v/>
      </c>
      <c r="Z2813" s="30" t="n"/>
    </row>
    <row r="2814">
      <c r="A2814" s="30" t="n"/>
      <c r="B2814" s="30" t="n"/>
      <c r="C2814" s="30" t="n"/>
      <c r="D2814" s="30" t="n"/>
      <c r="E2814" s="30" t="n"/>
      <c r="F2814" s="30" t="n"/>
      <c r="G2814" s="30" t="n"/>
      <c r="H2814" s="30" t="n"/>
      <c r="I2814" s="31" t="n"/>
      <c r="J2814" s="30" t="n"/>
      <c r="K2814" s="30" t="n"/>
      <c r="L2814" s="30" t="n"/>
      <c r="M2814" s="30" t="n"/>
      <c r="N2814" s="32" t="n"/>
      <c r="O2814" s="30" t="n"/>
      <c r="P2814" s="32" t="n"/>
      <c r="Q2814" s="30" t="n"/>
      <c r="R2814" s="32" t="n"/>
      <c r="S2814" s="30" t="n"/>
      <c r="T2814" s="30" t="n"/>
      <c r="U2814" s="30" t="n"/>
      <c r="V2814" s="30" t="n"/>
      <c r="W2814" s="29">
        <f>IF(H2814="","",IF(H2814="Kenya","Yes","No"))</f>
        <v/>
      </c>
      <c r="X2814" s="29">
        <f>IF(B2814="","",IF(COUNTIF($B$5:$B$3004,B2814)&gt;1,"DUPLICATE","OK"))</f>
        <v/>
      </c>
      <c r="Y2814" s="29">
        <f>IF(OR(U2814="",V2814="",V2814="Excluded"),"",IF(COUNTIFS($U$5:$U$3004,U2814,$V$5:$V$3004,"&lt;&gt;"&amp;V2814,$V$5:$V$3004,"&lt;&gt;",$V$5:$V$3004,"&lt;&gt;Excluded")&gt;0,"LEAK RISK","OK"))</f>
        <v/>
      </c>
      <c r="Z2814" s="30" t="n"/>
    </row>
    <row r="2815">
      <c r="A2815" s="30" t="n"/>
      <c r="B2815" s="30" t="n"/>
      <c r="C2815" s="30" t="n"/>
      <c r="D2815" s="30" t="n"/>
      <c r="E2815" s="30" t="n"/>
      <c r="F2815" s="30" t="n"/>
      <c r="G2815" s="30" t="n"/>
      <c r="H2815" s="30" t="n"/>
      <c r="I2815" s="31" t="n"/>
      <c r="J2815" s="30" t="n"/>
      <c r="K2815" s="30" t="n"/>
      <c r="L2815" s="30" t="n"/>
      <c r="M2815" s="30" t="n"/>
      <c r="N2815" s="32" t="n"/>
      <c r="O2815" s="30" t="n"/>
      <c r="P2815" s="32" t="n"/>
      <c r="Q2815" s="30" t="n"/>
      <c r="R2815" s="32" t="n"/>
      <c r="S2815" s="30" t="n"/>
      <c r="T2815" s="30" t="n"/>
      <c r="U2815" s="30" t="n"/>
      <c r="V2815" s="30" t="n"/>
      <c r="W2815" s="29">
        <f>IF(H2815="","",IF(H2815="Kenya","Yes","No"))</f>
        <v/>
      </c>
      <c r="X2815" s="29">
        <f>IF(B2815="","",IF(COUNTIF($B$5:$B$3004,B2815)&gt;1,"DUPLICATE","OK"))</f>
        <v/>
      </c>
      <c r="Y2815" s="29">
        <f>IF(OR(U2815="",V2815="",V2815="Excluded"),"",IF(COUNTIFS($U$5:$U$3004,U2815,$V$5:$V$3004,"&lt;&gt;"&amp;V2815,$V$5:$V$3004,"&lt;&gt;",$V$5:$V$3004,"&lt;&gt;Excluded")&gt;0,"LEAK RISK","OK"))</f>
        <v/>
      </c>
      <c r="Z2815" s="30" t="n"/>
    </row>
    <row r="2816">
      <c r="A2816" s="30" t="n"/>
      <c r="B2816" s="30" t="n"/>
      <c r="C2816" s="30" t="n"/>
      <c r="D2816" s="30" t="n"/>
      <c r="E2816" s="30" t="n"/>
      <c r="F2816" s="30" t="n"/>
      <c r="G2816" s="30" t="n"/>
      <c r="H2816" s="30" t="n"/>
      <c r="I2816" s="31" t="n"/>
      <c r="J2816" s="30" t="n"/>
      <c r="K2816" s="30" t="n"/>
      <c r="L2816" s="30" t="n"/>
      <c r="M2816" s="30" t="n"/>
      <c r="N2816" s="32" t="n"/>
      <c r="O2816" s="30" t="n"/>
      <c r="P2816" s="32" t="n"/>
      <c r="Q2816" s="30" t="n"/>
      <c r="R2816" s="32" t="n"/>
      <c r="S2816" s="30" t="n"/>
      <c r="T2816" s="30" t="n"/>
      <c r="U2816" s="30" t="n"/>
      <c r="V2816" s="30" t="n"/>
      <c r="W2816" s="29">
        <f>IF(H2816="","",IF(H2816="Kenya","Yes","No"))</f>
        <v/>
      </c>
      <c r="X2816" s="29">
        <f>IF(B2816="","",IF(COUNTIF($B$5:$B$3004,B2816)&gt;1,"DUPLICATE","OK"))</f>
        <v/>
      </c>
      <c r="Y2816" s="29">
        <f>IF(OR(U2816="",V2816="",V2816="Excluded"),"",IF(COUNTIFS($U$5:$U$3004,U2816,$V$5:$V$3004,"&lt;&gt;"&amp;V2816,$V$5:$V$3004,"&lt;&gt;",$V$5:$V$3004,"&lt;&gt;Excluded")&gt;0,"LEAK RISK","OK"))</f>
        <v/>
      </c>
      <c r="Z2816" s="30" t="n"/>
    </row>
    <row r="2817">
      <c r="A2817" s="30" t="n"/>
      <c r="B2817" s="30" t="n"/>
      <c r="C2817" s="30" t="n"/>
      <c r="D2817" s="30" t="n"/>
      <c r="E2817" s="30" t="n"/>
      <c r="F2817" s="30" t="n"/>
      <c r="G2817" s="30" t="n"/>
      <c r="H2817" s="30" t="n"/>
      <c r="I2817" s="31" t="n"/>
      <c r="J2817" s="30" t="n"/>
      <c r="K2817" s="30" t="n"/>
      <c r="L2817" s="30" t="n"/>
      <c r="M2817" s="30" t="n"/>
      <c r="N2817" s="32" t="n"/>
      <c r="O2817" s="30" t="n"/>
      <c r="P2817" s="32" t="n"/>
      <c r="Q2817" s="30" t="n"/>
      <c r="R2817" s="32" t="n"/>
      <c r="S2817" s="30" t="n"/>
      <c r="T2817" s="30" t="n"/>
      <c r="U2817" s="30" t="n"/>
      <c r="V2817" s="30" t="n"/>
      <c r="W2817" s="29">
        <f>IF(H2817="","",IF(H2817="Kenya","Yes","No"))</f>
        <v/>
      </c>
      <c r="X2817" s="29">
        <f>IF(B2817="","",IF(COUNTIF($B$5:$B$3004,B2817)&gt;1,"DUPLICATE","OK"))</f>
        <v/>
      </c>
      <c r="Y2817" s="29">
        <f>IF(OR(U2817="",V2817="",V2817="Excluded"),"",IF(COUNTIFS($U$5:$U$3004,U2817,$V$5:$V$3004,"&lt;&gt;"&amp;V2817,$V$5:$V$3004,"&lt;&gt;",$V$5:$V$3004,"&lt;&gt;Excluded")&gt;0,"LEAK RISK","OK"))</f>
        <v/>
      </c>
      <c r="Z2817" s="30" t="n"/>
    </row>
    <row r="2818">
      <c r="A2818" s="30" t="n"/>
      <c r="B2818" s="30" t="n"/>
      <c r="C2818" s="30" t="n"/>
      <c r="D2818" s="30" t="n"/>
      <c r="E2818" s="30" t="n"/>
      <c r="F2818" s="30" t="n"/>
      <c r="G2818" s="30" t="n"/>
      <c r="H2818" s="30" t="n"/>
      <c r="I2818" s="31" t="n"/>
      <c r="J2818" s="30" t="n"/>
      <c r="K2818" s="30" t="n"/>
      <c r="L2818" s="30" t="n"/>
      <c r="M2818" s="30" t="n"/>
      <c r="N2818" s="32" t="n"/>
      <c r="O2818" s="30" t="n"/>
      <c r="P2818" s="32" t="n"/>
      <c r="Q2818" s="30" t="n"/>
      <c r="R2818" s="32" t="n"/>
      <c r="S2818" s="30" t="n"/>
      <c r="T2818" s="30" t="n"/>
      <c r="U2818" s="30" t="n"/>
      <c r="V2818" s="30" t="n"/>
      <c r="W2818" s="29">
        <f>IF(H2818="","",IF(H2818="Kenya","Yes","No"))</f>
        <v/>
      </c>
      <c r="X2818" s="29">
        <f>IF(B2818="","",IF(COUNTIF($B$5:$B$3004,B2818)&gt;1,"DUPLICATE","OK"))</f>
        <v/>
      </c>
      <c r="Y2818" s="29">
        <f>IF(OR(U2818="",V2818="",V2818="Excluded"),"",IF(COUNTIFS($U$5:$U$3004,U2818,$V$5:$V$3004,"&lt;&gt;"&amp;V2818,$V$5:$V$3004,"&lt;&gt;",$V$5:$V$3004,"&lt;&gt;Excluded")&gt;0,"LEAK RISK","OK"))</f>
        <v/>
      </c>
      <c r="Z2818" s="30" t="n"/>
    </row>
    <row r="2819">
      <c r="A2819" s="30" t="n"/>
      <c r="B2819" s="30" t="n"/>
      <c r="C2819" s="30" t="n"/>
      <c r="D2819" s="30" t="n"/>
      <c r="E2819" s="30" t="n"/>
      <c r="F2819" s="30" t="n"/>
      <c r="G2819" s="30" t="n"/>
      <c r="H2819" s="30" t="n"/>
      <c r="I2819" s="31" t="n"/>
      <c r="J2819" s="30" t="n"/>
      <c r="K2819" s="30" t="n"/>
      <c r="L2819" s="30" t="n"/>
      <c r="M2819" s="30" t="n"/>
      <c r="N2819" s="32" t="n"/>
      <c r="O2819" s="30" t="n"/>
      <c r="P2819" s="32" t="n"/>
      <c r="Q2819" s="30" t="n"/>
      <c r="R2819" s="32" t="n"/>
      <c r="S2819" s="30" t="n"/>
      <c r="T2819" s="30" t="n"/>
      <c r="U2819" s="30" t="n"/>
      <c r="V2819" s="30" t="n"/>
      <c r="W2819" s="29">
        <f>IF(H2819="","",IF(H2819="Kenya","Yes","No"))</f>
        <v/>
      </c>
      <c r="X2819" s="29">
        <f>IF(B2819="","",IF(COUNTIF($B$5:$B$3004,B2819)&gt;1,"DUPLICATE","OK"))</f>
        <v/>
      </c>
      <c r="Y2819" s="29">
        <f>IF(OR(U2819="",V2819="",V2819="Excluded"),"",IF(COUNTIFS($U$5:$U$3004,U2819,$V$5:$V$3004,"&lt;&gt;"&amp;V2819,$V$5:$V$3004,"&lt;&gt;",$V$5:$V$3004,"&lt;&gt;Excluded")&gt;0,"LEAK RISK","OK"))</f>
        <v/>
      </c>
      <c r="Z2819" s="30" t="n"/>
    </row>
    <row r="2820">
      <c r="A2820" s="30" t="n"/>
      <c r="B2820" s="30" t="n"/>
      <c r="C2820" s="30" t="n"/>
      <c r="D2820" s="30" t="n"/>
      <c r="E2820" s="30" t="n"/>
      <c r="F2820" s="30" t="n"/>
      <c r="G2820" s="30" t="n"/>
      <c r="H2820" s="30" t="n"/>
      <c r="I2820" s="31" t="n"/>
      <c r="J2820" s="30" t="n"/>
      <c r="K2820" s="30" t="n"/>
      <c r="L2820" s="30" t="n"/>
      <c r="M2820" s="30" t="n"/>
      <c r="N2820" s="32" t="n"/>
      <c r="O2820" s="30" t="n"/>
      <c r="P2820" s="32" t="n"/>
      <c r="Q2820" s="30" t="n"/>
      <c r="R2820" s="32" t="n"/>
      <c r="S2820" s="30" t="n"/>
      <c r="T2820" s="30" t="n"/>
      <c r="U2820" s="30" t="n"/>
      <c r="V2820" s="30" t="n"/>
      <c r="W2820" s="29">
        <f>IF(H2820="","",IF(H2820="Kenya","Yes","No"))</f>
        <v/>
      </c>
      <c r="X2820" s="29">
        <f>IF(B2820="","",IF(COUNTIF($B$5:$B$3004,B2820)&gt;1,"DUPLICATE","OK"))</f>
        <v/>
      </c>
      <c r="Y2820" s="29">
        <f>IF(OR(U2820="",V2820="",V2820="Excluded"),"",IF(COUNTIFS($U$5:$U$3004,U2820,$V$5:$V$3004,"&lt;&gt;"&amp;V2820,$V$5:$V$3004,"&lt;&gt;",$V$5:$V$3004,"&lt;&gt;Excluded")&gt;0,"LEAK RISK","OK"))</f>
        <v/>
      </c>
      <c r="Z2820" s="30" t="n"/>
    </row>
    <row r="2821">
      <c r="A2821" s="30" t="n"/>
      <c r="B2821" s="30" t="n"/>
      <c r="C2821" s="30" t="n"/>
      <c r="D2821" s="30" t="n"/>
      <c r="E2821" s="30" t="n"/>
      <c r="F2821" s="30" t="n"/>
      <c r="G2821" s="30" t="n"/>
      <c r="H2821" s="30" t="n"/>
      <c r="I2821" s="31" t="n"/>
      <c r="J2821" s="30" t="n"/>
      <c r="K2821" s="30" t="n"/>
      <c r="L2821" s="30" t="n"/>
      <c r="M2821" s="30" t="n"/>
      <c r="N2821" s="32" t="n"/>
      <c r="O2821" s="30" t="n"/>
      <c r="P2821" s="32" t="n"/>
      <c r="Q2821" s="30" t="n"/>
      <c r="R2821" s="32" t="n"/>
      <c r="S2821" s="30" t="n"/>
      <c r="T2821" s="30" t="n"/>
      <c r="U2821" s="30" t="n"/>
      <c r="V2821" s="30" t="n"/>
      <c r="W2821" s="29">
        <f>IF(H2821="","",IF(H2821="Kenya","Yes","No"))</f>
        <v/>
      </c>
      <c r="X2821" s="29">
        <f>IF(B2821="","",IF(COUNTIF($B$5:$B$3004,B2821)&gt;1,"DUPLICATE","OK"))</f>
        <v/>
      </c>
      <c r="Y2821" s="29">
        <f>IF(OR(U2821="",V2821="",V2821="Excluded"),"",IF(COUNTIFS($U$5:$U$3004,U2821,$V$5:$V$3004,"&lt;&gt;"&amp;V2821,$V$5:$V$3004,"&lt;&gt;",$V$5:$V$3004,"&lt;&gt;Excluded")&gt;0,"LEAK RISK","OK"))</f>
        <v/>
      </c>
      <c r="Z2821" s="30" t="n"/>
    </row>
    <row r="2822">
      <c r="A2822" s="30" t="n"/>
      <c r="B2822" s="30" t="n"/>
      <c r="C2822" s="30" t="n"/>
      <c r="D2822" s="30" t="n"/>
      <c r="E2822" s="30" t="n"/>
      <c r="F2822" s="30" t="n"/>
      <c r="G2822" s="30" t="n"/>
      <c r="H2822" s="30" t="n"/>
      <c r="I2822" s="31" t="n"/>
      <c r="J2822" s="30" t="n"/>
      <c r="K2822" s="30" t="n"/>
      <c r="L2822" s="30" t="n"/>
      <c r="M2822" s="30" t="n"/>
      <c r="N2822" s="32" t="n"/>
      <c r="O2822" s="30" t="n"/>
      <c r="P2822" s="32" t="n"/>
      <c r="Q2822" s="30" t="n"/>
      <c r="R2822" s="32" t="n"/>
      <c r="S2822" s="30" t="n"/>
      <c r="T2822" s="30" t="n"/>
      <c r="U2822" s="30" t="n"/>
      <c r="V2822" s="30" t="n"/>
      <c r="W2822" s="29">
        <f>IF(H2822="","",IF(H2822="Kenya","Yes","No"))</f>
        <v/>
      </c>
      <c r="X2822" s="29">
        <f>IF(B2822="","",IF(COUNTIF($B$5:$B$3004,B2822)&gt;1,"DUPLICATE","OK"))</f>
        <v/>
      </c>
      <c r="Y2822" s="29">
        <f>IF(OR(U2822="",V2822="",V2822="Excluded"),"",IF(COUNTIFS($U$5:$U$3004,U2822,$V$5:$V$3004,"&lt;&gt;"&amp;V2822,$V$5:$V$3004,"&lt;&gt;",$V$5:$V$3004,"&lt;&gt;Excluded")&gt;0,"LEAK RISK","OK"))</f>
        <v/>
      </c>
      <c r="Z2822" s="30" t="n"/>
    </row>
    <row r="2823">
      <c r="A2823" s="30" t="n"/>
      <c r="B2823" s="30" t="n"/>
      <c r="C2823" s="30" t="n"/>
      <c r="D2823" s="30" t="n"/>
      <c r="E2823" s="30" t="n"/>
      <c r="F2823" s="30" t="n"/>
      <c r="G2823" s="30" t="n"/>
      <c r="H2823" s="30" t="n"/>
      <c r="I2823" s="31" t="n"/>
      <c r="J2823" s="30" t="n"/>
      <c r="K2823" s="30" t="n"/>
      <c r="L2823" s="30" t="n"/>
      <c r="M2823" s="30" t="n"/>
      <c r="N2823" s="32" t="n"/>
      <c r="O2823" s="30" t="n"/>
      <c r="P2823" s="32" t="n"/>
      <c r="Q2823" s="30" t="n"/>
      <c r="R2823" s="32" t="n"/>
      <c r="S2823" s="30" t="n"/>
      <c r="T2823" s="30" t="n"/>
      <c r="U2823" s="30" t="n"/>
      <c r="V2823" s="30" t="n"/>
      <c r="W2823" s="29">
        <f>IF(H2823="","",IF(H2823="Kenya","Yes","No"))</f>
        <v/>
      </c>
      <c r="X2823" s="29">
        <f>IF(B2823="","",IF(COUNTIF($B$5:$B$3004,B2823)&gt;1,"DUPLICATE","OK"))</f>
        <v/>
      </c>
      <c r="Y2823" s="29">
        <f>IF(OR(U2823="",V2823="",V2823="Excluded"),"",IF(COUNTIFS($U$5:$U$3004,U2823,$V$5:$V$3004,"&lt;&gt;"&amp;V2823,$V$5:$V$3004,"&lt;&gt;",$V$5:$V$3004,"&lt;&gt;Excluded")&gt;0,"LEAK RISK","OK"))</f>
        <v/>
      </c>
      <c r="Z2823" s="30" t="n"/>
    </row>
    <row r="2824">
      <c r="A2824" s="30" t="n"/>
      <c r="B2824" s="30" t="n"/>
      <c r="C2824" s="30" t="n"/>
      <c r="D2824" s="30" t="n"/>
      <c r="E2824" s="30" t="n"/>
      <c r="F2824" s="30" t="n"/>
      <c r="G2824" s="30" t="n"/>
      <c r="H2824" s="30" t="n"/>
      <c r="I2824" s="31" t="n"/>
      <c r="J2824" s="30" t="n"/>
      <c r="K2824" s="30" t="n"/>
      <c r="L2824" s="30" t="n"/>
      <c r="M2824" s="30" t="n"/>
      <c r="N2824" s="32" t="n"/>
      <c r="O2824" s="30" t="n"/>
      <c r="P2824" s="32" t="n"/>
      <c r="Q2824" s="30" t="n"/>
      <c r="R2824" s="32" t="n"/>
      <c r="S2824" s="30" t="n"/>
      <c r="T2824" s="30" t="n"/>
      <c r="U2824" s="30" t="n"/>
      <c r="V2824" s="30" t="n"/>
      <c r="W2824" s="29">
        <f>IF(H2824="","",IF(H2824="Kenya","Yes","No"))</f>
        <v/>
      </c>
      <c r="X2824" s="29">
        <f>IF(B2824="","",IF(COUNTIF($B$5:$B$3004,B2824)&gt;1,"DUPLICATE","OK"))</f>
        <v/>
      </c>
      <c r="Y2824" s="29">
        <f>IF(OR(U2824="",V2824="",V2824="Excluded"),"",IF(COUNTIFS($U$5:$U$3004,U2824,$V$5:$V$3004,"&lt;&gt;"&amp;V2824,$V$5:$V$3004,"&lt;&gt;",$V$5:$V$3004,"&lt;&gt;Excluded")&gt;0,"LEAK RISK","OK"))</f>
        <v/>
      </c>
      <c r="Z2824" s="30" t="n"/>
    </row>
    <row r="2825">
      <c r="A2825" s="30" t="n"/>
      <c r="B2825" s="30" t="n"/>
      <c r="C2825" s="30" t="n"/>
      <c r="D2825" s="30" t="n"/>
      <c r="E2825" s="30" t="n"/>
      <c r="F2825" s="30" t="n"/>
      <c r="G2825" s="30" t="n"/>
      <c r="H2825" s="30" t="n"/>
      <c r="I2825" s="31" t="n"/>
      <c r="J2825" s="30" t="n"/>
      <c r="K2825" s="30" t="n"/>
      <c r="L2825" s="30" t="n"/>
      <c r="M2825" s="30" t="n"/>
      <c r="N2825" s="32" t="n"/>
      <c r="O2825" s="30" t="n"/>
      <c r="P2825" s="32" t="n"/>
      <c r="Q2825" s="30" t="n"/>
      <c r="R2825" s="32" t="n"/>
      <c r="S2825" s="30" t="n"/>
      <c r="T2825" s="30" t="n"/>
      <c r="U2825" s="30" t="n"/>
      <c r="V2825" s="30" t="n"/>
      <c r="W2825" s="29">
        <f>IF(H2825="","",IF(H2825="Kenya","Yes","No"))</f>
        <v/>
      </c>
      <c r="X2825" s="29">
        <f>IF(B2825="","",IF(COUNTIF($B$5:$B$3004,B2825)&gt;1,"DUPLICATE","OK"))</f>
        <v/>
      </c>
      <c r="Y2825" s="29">
        <f>IF(OR(U2825="",V2825="",V2825="Excluded"),"",IF(COUNTIFS($U$5:$U$3004,U2825,$V$5:$V$3004,"&lt;&gt;"&amp;V2825,$V$5:$V$3004,"&lt;&gt;",$V$5:$V$3004,"&lt;&gt;Excluded")&gt;0,"LEAK RISK","OK"))</f>
        <v/>
      </c>
      <c r="Z2825" s="30" t="n"/>
    </row>
    <row r="2826">
      <c r="A2826" s="30" t="n"/>
      <c r="B2826" s="30" t="n"/>
      <c r="C2826" s="30" t="n"/>
      <c r="D2826" s="30" t="n"/>
      <c r="E2826" s="30" t="n"/>
      <c r="F2826" s="30" t="n"/>
      <c r="G2826" s="30" t="n"/>
      <c r="H2826" s="30" t="n"/>
      <c r="I2826" s="31" t="n"/>
      <c r="J2826" s="30" t="n"/>
      <c r="K2826" s="30" t="n"/>
      <c r="L2826" s="30" t="n"/>
      <c r="M2826" s="30" t="n"/>
      <c r="N2826" s="32" t="n"/>
      <c r="O2826" s="30" t="n"/>
      <c r="P2826" s="32" t="n"/>
      <c r="Q2826" s="30" t="n"/>
      <c r="R2826" s="32" t="n"/>
      <c r="S2826" s="30" t="n"/>
      <c r="T2826" s="30" t="n"/>
      <c r="U2826" s="30" t="n"/>
      <c r="V2826" s="30" t="n"/>
      <c r="W2826" s="29">
        <f>IF(H2826="","",IF(H2826="Kenya","Yes","No"))</f>
        <v/>
      </c>
      <c r="X2826" s="29">
        <f>IF(B2826="","",IF(COUNTIF($B$5:$B$3004,B2826)&gt;1,"DUPLICATE","OK"))</f>
        <v/>
      </c>
      <c r="Y2826" s="29">
        <f>IF(OR(U2826="",V2826="",V2826="Excluded"),"",IF(COUNTIFS($U$5:$U$3004,U2826,$V$5:$V$3004,"&lt;&gt;"&amp;V2826,$V$5:$V$3004,"&lt;&gt;",$V$5:$V$3004,"&lt;&gt;Excluded")&gt;0,"LEAK RISK","OK"))</f>
        <v/>
      </c>
      <c r="Z2826" s="30" t="n"/>
    </row>
    <row r="2827">
      <c r="A2827" s="30" t="n"/>
      <c r="B2827" s="30" t="n"/>
      <c r="C2827" s="30" t="n"/>
      <c r="D2827" s="30" t="n"/>
      <c r="E2827" s="30" t="n"/>
      <c r="F2827" s="30" t="n"/>
      <c r="G2827" s="30" t="n"/>
      <c r="H2827" s="30" t="n"/>
      <c r="I2827" s="31" t="n"/>
      <c r="J2827" s="30" t="n"/>
      <c r="K2827" s="30" t="n"/>
      <c r="L2827" s="30" t="n"/>
      <c r="M2827" s="30" t="n"/>
      <c r="N2827" s="32" t="n"/>
      <c r="O2827" s="30" t="n"/>
      <c r="P2827" s="32" t="n"/>
      <c r="Q2827" s="30" t="n"/>
      <c r="R2827" s="32" t="n"/>
      <c r="S2827" s="30" t="n"/>
      <c r="T2827" s="30" t="n"/>
      <c r="U2827" s="30" t="n"/>
      <c r="V2827" s="30" t="n"/>
      <c r="W2827" s="29">
        <f>IF(H2827="","",IF(H2827="Kenya","Yes","No"))</f>
        <v/>
      </c>
      <c r="X2827" s="29">
        <f>IF(B2827="","",IF(COUNTIF($B$5:$B$3004,B2827)&gt;1,"DUPLICATE","OK"))</f>
        <v/>
      </c>
      <c r="Y2827" s="29">
        <f>IF(OR(U2827="",V2827="",V2827="Excluded"),"",IF(COUNTIFS($U$5:$U$3004,U2827,$V$5:$V$3004,"&lt;&gt;"&amp;V2827,$V$5:$V$3004,"&lt;&gt;",$V$5:$V$3004,"&lt;&gt;Excluded")&gt;0,"LEAK RISK","OK"))</f>
        <v/>
      </c>
      <c r="Z2827" s="30" t="n"/>
    </row>
    <row r="2828">
      <c r="A2828" s="30" t="n"/>
      <c r="B2828" s="30" t="n"/>
      <c r="C2828" s="30" t="n"/>
      <c r="D2828" s="30" t="n"/>
      <c r="E2828" s="30" t="n"/>
      <c r="F2828" s="30" t="n"/>
      <c r="G2828" s="30" t="n"/>
      <c r="H2828" s="30" t="n"/>
      <c r="I2828" s="31" t="n"/>
      <c r="J2828" s="30" t="n"/>
      <c r="K2828" s="30" t="n"/>
      <c r="L2828" s="30" t="n"/>
      <c r="M2828" s="30" t="n"/>
      <c r="N2828" s="32" t="n"/>
      <c r="O2828" s="30" t="n"/>
      <c r="P2828" s="32" t="n"/>
      <c r="Q2828" s="30" t="n"/>
      <c r="R2828" s="32" t="n"/>
      <c r="S2828" s="30" t="n"/>
      <c r="T2828" s="30" t="n"/>
      <c r="U2828" s="30" t="n"/>
      <c r="V2828" s="30" t="n"/>
      <c r="W2828" s="29">
        <f>IF(H2828="","",IF(H2828="Kenya","Yes","No"))</f>
        <v/>
      </c>
      <c r="X2828" s="29">
        <f>IF(B2828="","",IF(COUNTIF($B$5:$B$3004,B2828)&gt;1,"DUPLICATE","OK"))</f>
        <v/>
      </c>
      <c r="Y2828" s="29">
        <f>IF(OR(U2828="",V2828="",V2828="Excluded"),"",IF(COUNTIFS($U$5:$U$3004,U2828,$V$5:$V$3004,"&lt;&gt;"&amp;V2828,$V$5:$V$3004,"&lt;&gt;",$V$5:$V$3004,"&lt;&gt;Excluded")&gt;0,"LEAK RISK","OK"))</f>
        <v/>
      </c>
      <c r="Z2828" s="30" t="n"/>
    </row>
    <row r="2829">
      <c r="A2829" s="30" t="n"/>
      <c r="B2829" s="30" t="n"/>
      <c r="C2829" s="30" t="n"/>
      <c r="D2829" s="30" t="n"/>
      <c r="E2829" s="30" t="n"/>
      <c r="F2829" s="30" t="n"/>
      <c r="G2829" s="30" t="n"/>
      <c r="H2829" s="30" t="n"/>
      <c r="I2829" s="31" t="n"/>
      <c r="J2829" s="30" t="n"/>
      <c r="K2829" s="30" t="n"/>
      <c r="L2829" s="30" t="n"/>
      <c r="M2829" s="30" t="n"/>
      <c r="N2829" s="32" t="n"/>
      <c r="O2829" s="30" t="n"/>
      <c r="P2829" s="32" t="n"/>
      <c r="Q2829" s="30" t="n"/>
      <c r="R2829" s="32" t="n"/>
      <c r="S2829" s="30" t="n"/>
      <c r="T2829" s="30" t="n"/>
      <c r="U2829" s="30" t="n"/>
      <c r="V2829" s="30" t="n"/>
      <c r="W2829" s="29">
        <f>IF(H2829="","",IF(H2829="Kenya","Yes","No"))</f>
        <v/>
      </c>
      <c r="X2829" s="29">
        <f>IF(B2829="","",IF(COUNTIF($B$5:$B$3004,B2829)&gt;1,"DUPLICATE","OK"))</f>
        <v/>
      </c>
      <c r="Y2829" s="29">
        <f>IF(OR(U2829="",V2829="",V2829="Excluded"),"",IF(COUNTIFS($U$5:$U$3004,U2829,$V$5:$V$3004,"&lt;&gt;"&amp;V2829,$V$5:$V$3004,"&lt;&gt;",$V$5:$V$3004,"&lt;&gt;Excluded")&gt;0,"LEAK RISK","OK"))</f>
        <v/>
      </c>
      <c r="Z2829" s="30" t="n"/>
    </row>
    <row r="2830">
      <c r="A2830" s="30" t="n"/>
      <c r="B2830" s="30" t="n"/>
      <c r="C2830" s="30" t="n"/>
      <c r="D2830" s="30" t="n"/>
      <c r="E2830" s="30" t="n"/>
      <c r="F2830" s="30" t="n"/>
      <c r="G2830" s="30" t="n"/>
      <c r="H2830" s="30" t="n"/>
      <c r="I2830" s="31" t="n"/>
      <c r="J2830" s="30" t="n"/>
      <c r="K2830" s="30" t="n"/>
      <c r="L2830" s="30" t="n"/>
      <c r="M2830" s="30" t="n"/>
      <c r="N2830" s="32" t="n"/>
      <c r="O2830" s="30" t="n"/>
      <c r="P2830" s="32" t="n"/>
      <c r="Q2830" s="30" t="n"/>
      <c r="R2830" s="32" t="n"/>
      <c r="S2830" s="30" t="n"/>
      <c r="T2830" s="30" t="n"/>
      <c r="U2830" s="30" t="n"/>
      <c r="V2830" s="30" t="n"/>
      <c r="W2830" s="29">
        <f>IF(H2830="","",IF(H2830="Kenya","Yes","No"))</f>
        <v/>
      </c>
      <c r="X2830" s="29">
        <f>IF(B2830="","",IF(COUNTIF($B$5:$B$3004,B2830)&gt;1,"DUPLICATE","OK"))</f>
        <v/>
      </c>
      <c r="Y2830" s="29">
        <f>IF(OR(U2830="",V2830="",V2830="Excluded"),"",IF(COUNTIFS($U$5:$U$3004,U2830,$V$5:$V$3004,"&lt;&gt;"&amp;V2830,$V$5:$V$3004,"&lt;&gt;",$V$5:$V$3004,"&lt;&gt;Excluded")&gt;0,"LEAK RISK","OK"))</f>
        <v/>
      </c>
      <c r="Z2830" s="30" t="n"/>
    </row>
    <row r="2831">
      <c r="A2831" s="30" t="n"/>
      <c r="B2831" s="30" t="n"/>
      <c r="C2831" s="30" t="n"/>
      <c r="D2831" s="30" t="n"/>
      <c r="E2831" s="30" t="n"/>
      <c r="F2831" s="30" t="n"/>
      <c r="G2831" s="30" t="n"/>
      <c r="H2831" s="30" t="n"/>
      <c r="I2831" s="31" t="n"/>
      <c r="J2831" s="30" t="n"/>
      <c r="K2831" s="30" t="n"/>
      <c r="L2831" s="30" t="n"/>
      <c r="M2831" s="30" t="n"/>
      <c r="N2831" s="32" t="n"/>
      <c r="O2831" s="30" t="n"/>
      <c r="P2831" s="32" t="n"/>
      <c r="Q2831" s="30" t="n"/>
      <c r="R2831" s="32" t="n"/>
      <c r="S2831" s="30" t="n"/>
      <c r="T2831" s="30" t="n"/>
      <c r="U2831" s="30" t="n"/>
      <c r="V2831" s="30" t="n"/>
      <c r="W2831" s="29">
        <f>IF(H2831="","",IF(H2831="Kenya","Yes","No"))</f>
        <v/>
      </c>
      <c r="X2831" s="29">
        <f>IF(B2831="","",IF(COUNTIF($B$5:$B$3004,B2831)&gt;1,"DUPLICATE","OK"))</f>
        <v/>
      </c>
      <c r="Y2831" s="29">
        <f>IF(OR(U2831="",V2831="",V2831="Excluded"),"",IF(COUNTIFS($U$5:$U$3004,U2831,$V$5:$V$3004,"&lt;&gt;"&amp;V2831,$V$5:$V$3004,"&lt;&gt;",$V$5:$V$3004,"&lt;&gt;Excluded")&gt;0,"LEAK RISK","OK"))</f>
        <v/>
      </c>
      <c r="Z2831" s="30" t="n"/>
    </row>
    <row r="2832">
      <c r="A2832" s="30" t="n"/>
      <c r="B2832" s="30" t="n"/>
      <c r="C2832" s="30" t="n"/>
      <c r="D2832" s="30" t="n"/>
      <c r="E2832" s="30" t="n"/>
      <c r="F2832" s="30" t="n"/>
      <c r="G2832" s="30" t="n"/>
      <c r="H2832" s="30" t="n"/>
      <c r="I2832" s="31" t="n"/>
      <c r="J2832" s="30" t="n"/>
      <c r="K2832" s="30" t="n"/>
      <c r="L2832" s="30" t="n"/>
      <c r="M2832" s="30" t="n"/>
      <c r="N2832" s="32" t="n"/>
      <c r="O2832" s="30" t="n"/>
      <c r="P2832" s="32" t="n"/>
      <c r="Q2832" s="30" t="n"/>
      <c r="R2832" s="32" t="n"/>
      <c r="S2832" s="30" t="n"/>
      <c r="T2832" s="30" t="n"/>
      <c r="U2832" s="30" t="n"/>
      <c r="V2832" s="30" t="n"/>
      <c r="W2832" s="29">
        <f>IF(H2832="","",IF(H2832="Kenya","Yes","No"))</f>
        <v/>
      </c>
      <c r="X2832" s="29">
        <f>IF(B2832="","",IF(COUNTIF($B$5:$B$3004,B2832)&gt;1,"DUPLICATE","OK"))</f>
        <v/>
      </c>
      <c r="Y2832" s="29">
        <f>IF(OR(U2832="",V2832="",V2832="Excluded"),"",IF(COUNTIFS($U$5:$U$3004,U2832,$V$5:$V$3004,"&lt;&gt;"&amp;V2832,$V$5:$V$3004,"&lt;&gt;",$V$5:$V$3004,"&lt;&gt;Excluded")&gt;0,"LEAK RISK","OK"))</f>
        <v/>
      </c>
      <c r="Z2832" s="30" t="n"/>
    </row>
    <row r="2833">
      <c r="A2833" s="30" t="n"/>
      <c r="B2833" s="30" t="n"/>
      <c r="C2833" s="30" t="n"/>
      <c r="D2833" s="30" t="n"/>
      <c r="E2833" s="30" t="n"/>
      <c r="F2833" s="30" t="n"/>
      <c r="G2833" s="30" t="n"/>
      <c r="H2833" s="30" t="n"/>
      <c r="I2833" s="31" t="n"/>
      <c r="J2833" s="30" t="n"/>
      <c r="K2833" s="30" t="n"/>
      <c r="L2833" s="30" t="n"/>
      <c r="M2833" s="30" t="n"/>
      <c r="N2833" s="32" t="n"/>
      <c r="O2833" s="30" t="n"/>
      <c r="P2833" s="32" t="n"/>
      <c r="Q2833" s="30" t="n"/>
      <c r="R2833" s="32" t="n"/>
      <c r="S2833" s="30" t="n"/>
      <c r="T2833" s="30" t="n"/>
      <c r="U2833" s="30" t="n"/>
      <c r="V2833" s="30" t="n"/>
      <c r="W2833" s="29">
        <f>IF(H2833="","",IF(H2833="Kenya","Yes","No"))</f>
        <v/>
      </c>
      <c r="X2833" s="29">
        <f>IF(B2833="","",IF(COUNTIF($B$5:$B$3004,B2833)&gt;1,"DUPLICATE","OK"))</f>
        <v/>
      </c>
      <c r="Y2833" s="29">
        <f>IF(OR(U2833="",V2833="",V2833="Excluded"),"",IF(COUNTIFS($U$5:$U$3004,U2833,$V$5:$V$3004,"&lt;&gt;"&amp;V2833,$V$5:$V$3004,"&lt;&gt;",$V$5:$V$3004,"&lt;&gt;Excluded")&gt;0,"LEAK RISK","OK"))</f>
        <v/>
      </c>
      <c r="Z2833" s="30" t="n"/>
    </row>
    <row r="2834">
      <c r="A2834" s="30" t="n"/>
      <c r="B2834" s="30" t="n"/>
      <c r="C2834" s="30" t="n"/>
      <c r="D2834" s="30" t="n"/>
      <c r="E2834" s="30" t="n"/>
      <c r="F2834" s="30" t="n"/>
      <c r="G2834" s="30" t="n"/>
      <c r="H2834" s="30" t="n"/>
      <c r="I2834" s="31" t="n"/>
      <c r="J2834" s="30" t="n"/>
      <c r="K2834" s="30" t="n"/>
      <c r="L2834" s="30" t="n"/>
      <c r="M2834" s="30" t="n"/>
      <c r="N2834" s="32" t="n"/>
      <c r="O2834" s="30" t="n"/>
      <c r="P2834" s="32" t="n"/>
      <c r="Q2834" s="30" t="n"/>
      <c r="R2834" s="32" t="n"/>
      <c r="S2834" s="30" t="n"/>
      <c r="T2834" s="30" t="n"/>
      <c r="U2834" s="30" t="n"/>
      <c r="V2834" s="30" t="n"/>
      <c r="W2834" s="29">
        <f>IF(H2834="","",IF(H2834="Kenya","Yes","No"))</f>
        <v/>
      </c>
      <c r="X2834" s="29">
        <f>IF(B2834="","",IF(COUNTIF($B$5:$B$3004,B2834)&gt;1,"DUPLICATE","OK"))</f>
        <v/>
      </c>
      <c r="Y2834" s="29">
        <f>IF(OR(U2834="",V2834="",V2834="Excluded"),"",IF(COUNTIFS($U$5:$U$3004,U2834,$V$5:$V$3004,"&lt;&gt;"&amp;V2834,$V$5:$V$3004,"&lt;&gt;",$V$5:$V$3004,"&lt;&gt;Excluded")&gt;0,"LEAK RISK","OK"))</f>
        <v/>
      </c>
      <c r="Z2834" s="30" t="n"/>
    </row>
    <row r="2835">
      <c r="A2835" s="30" t="n"/>
      <c r="B2835" s="30" t="n"/>
      <c r="C2835" s="30" t="n"/>
      <c r="D2835" s="30" t="n"/>
      <c r="E2835" s="30" t="n"/>
      <c r="F2835" s="30" t="n"/>
      <c r="G2835" s="30" t="n"/>
      <c r="H2835" s="30" t="n"/>
      <c r="I2835" s="31" t="n"/>
      <c r="J2835" s="30" t="n"/>
      <c r="K2835" s="30" t="n"/>
      <c r="L2835" s="30" t="n"/>
      <c r="M2835" s="30" t="n"/>
      <c r="N2835" s="32" t="n"/>
      <c r="O2835" s="30" t="n"/>
      <c r="P2835" s="32" t="n"/>
      <c r="Q2835" s="30" t="n"/>
      <c r="R2835" s="32" t="n"/>
      <c r="S2835" s="30" t="n"/>
      <c r="T2835" s="30" t="n"/>
      <c r="U2835" s="30" t="n"/>
      <c r="V2835" s="30" t="n"/>
      <c r="W2835" s="29">
        <f>IF(H2835="","",IF(H2835="Kenya","Yes","No"))</f>
        <v/>
      </c>
      <c r="X2835" s="29">
        <f>IF(B2835="","",IF(COUNTIF($B$5:$B$3004,B2835)&gt;1,"DUPLICATE","OK"))</f>
        <v/>
      </c>
      <c r="Y2835" s="29">
        <f>IF(OR(U2835="",V2835="",V2835="Excluded"),"",IF(COUNTIFS($U$5:$U$3004,U2835,$V$5:$V$3004,"&lt;&gt;"&amp;V2835,$V$5:$V$3004,"&lt;&gt;",$V$5:$V$3004,"&lt;&gt;Excluded")&gt;0,"LEAK RISK","OK"))</f>
        <v/>
      </c>
      <c r="Z2835" s="30" t="n"/>
    </row>
    <row r="2836">
      <c r="A2836" s="30" t="n"/>
      <c r="B2836" s="30" t="n"/>
      <c r="C2836" s="30" t="n"/>
      <c r="D2836" s="30" t="n"/>
      <c r="E2836" s="30" t="n"/>
      <c r="F2836" s="30" t="n"/>
      <c r="G2836" s="30" t="n"/>
      <c r="H2836" s="30" t="n"/>
      <c r="I2836" s="31" t="n"/>
      <c r="J2836" s="30" t="n"/>
      <c r="K2836" s="30" t="n"/>
      <c r="L2836" s="30" t="n"/>
      <c r="M2836" s="30" t="n"/>
      <c r="N2836" s="32" t="n"/>
      <c r="O2836" s="30" t="n"/>
      <c r="P2836" s="32" t="n"/>
      <c r="Q2836" s="30" t="n"/>
      <c r="R2836" s="32" t="n"/>
      <c r="S2836" s="30" t="n"/>
      <c r="T2836" s="30" t="n"/>
      <c r="U2836" s="30" t="n"/>
      <c r="V2836" s="30" t="n"/>
      <c r="W2836" s="29">
        <f>IF(H2836="","",IF(H2836="Kenya","Yes","No"))</f>
        <v/>
      </c>
      <c r="X2836" s="29">
        <f>IF(B2836="","",IF(COUNTIF($B$5:$B$3004,B2836)&gt;1,"DUPLICATE","OK"))</f>
        <v/>
      </c>
      <c r="Y2836" s="29">
        <f>IF(OR(U2836="",V2836="",V2836="Excluded"),"",IF(COUNTIFS($U$5:$U$3004,U2836,$V$5:$V$3004,"&lt;&gt;"&amp;V2836,$V$5:$V$3004,"&lt;&gt;",$V$5:$V$3004,"&lt;&gt;Excluded")&gt;0,"LEAK RISK","OK"))</f>
        <v/>
      </c>
      <c r="Z2836" s="30" t="n"/>
    </row>
    <row r="2837">
      <c r="A2837" s="30" t="n"/>
      <c r="B2837" s="30" t="n"/>
      <c r="C2837" s="30" t="n"/>
      <c r="D2837" s="30" t="n"/>
      <c r="E2837" s="30" t="n"/>
      <c r="F2837" s="30" t="n"/>
      <c r="G2837" s="30" t="n"/>
      <c r="H2837" s="30" t="n"/>
      <c r="I2837" s="31" t="n"/>
      <c r="J2837" s="30" t="n"/>
      <c r="K2837" s="30" t="n"/>
      <c r="L2837" s="30" t="n"/>
      <c r="M2837" s="30" t="n"/>
      <c r="N2837" s="32" t="n"/>
      <c r="O2837" s="30" t="n"/>
      <c r="P2837" s="32" t="n"/>
      <c r="Q2837" s="30" t="n"/>
      <c r="R2837" s="32" t="n"/>
      <c r="S2837" s="30" t="n"/>
      <c r="T2837" s="30" t="n"/>
      <c r="U2837" s="30" t="n"/>
      <c r="V2837" s="30" t="n"/>
      <c r="W2837" s="29">
        <f>IF(H2837="","",IF(H2837="Kenya","Yes","No"))</f>
        <v/>
      </c>
      <c r="X2837" s="29">
        <f>IF(B2837="","",IF(COUNTIF($B$5:$B$3004,B2837)&gt;1,"DUPLICATE","OK"))</f>
        <v/>
      </c>
      <c r="Y2837" s="29">
        <f>IF(OR(U2837="",V2837="",V2837="Excluded"),"",IF(COUNTIFS($U$5:$U$3004,U2837,$V$5:$V$3004,"&lt;&gt;"&amp;V2837,$V$5:$V$3004,"&lt;&gt;",$V$5:$V$3004,"&lt;&gt;Excluded")&gt;0,"LEAK RISK","OK"))</f>
        <v/>
      </c>
      <c r="Z2837" s="30" t="n"/>
    </row>
    <row r="2838">
      <c r="A2838" s="30" t="n"/>
      <c r="B2838" s="30" t="n"/>
      <c r="C2838" s="30" t="n"/>
      <c r="D2838" s="30" t="n"/>
      <c r="E2838" s="30" t="n"/>
      <c r="F2838" s="30" t="n"/>
      <c r="G2838" s="30" t="n"/>
      <c r="H2838" s="30" t="n"/>
      <c r="I2838" s="31" t="n"/>
      <c r="J2838" s="30" t="n"/>
      <c r="K2838" s="30" t="n"/>
      <c r="L2838" s="30" t="n"/>
      <c r="M2838" s="30" t="n"/>
      <c r="N2838" s="32" t="n"/>
      <c r="O2838" s="30" t="n"/>
      <c r="P2838" s="32" t="n"/>
      <c r="Q2838" s="30" t="n"/>
      <c r="R2838" s="32" t="n"/>
      <c r="S2838" s="30" t="n"/>
      <c r="T2838" s="30" t="n"/>
      <c r="U2838" s="30" t="n"/>
      <c r="V2838" s="30" t="n"/>
      <c r="W2838" s="29">
        <f>IF(H2838="","",IF(H2838="Kenya","Yes","No"))</f>
        <v/>
      </c>
      <c r="X2838" s="29">
        <f>IF(B2838="","",IF(COUNTIF($B$5:$B$3004,B2838)&gt;1,"DUPLICATE","OK"))</f>
        <v/>
      </c>
      <c r="Y2838" s="29">
        <f>IF(OR(U2838="",V2838="",V2838="Excluded"),"",IF(COUNTIFS($U$5:$U$3004,U2838,$V$5:$V$3004,"&lt;&gt;"&amp;V2838,$V$5:$V$3004,"&lt;&gt;",$V$5:$V$3004,"&lt;&gt;Excluded")&gt;0,"LEAK RISK","OK"))</f>
        <v/>
      </c>
      <c r="Z2838" s="30" t="n"/>
    </row>
    <row r="2839">
      <c r="A2839" s="30" t="n"/>
      <c r="B2839" s="30" t="n"/>
      <c r="C2839" s="30" t="n"/>
      <c r="D2839" s="30" t="n"/>
      <c r="E2839" s="30" t="n"/>
      <c r="F2839" s="30" t="n"/>
      <c r="G2839" s="30" t="n"/>
      <c r="H2839" s="30" t="n"/>
      <c r="I2839" s="31" t="n"/>
      <c r="J2839" s="30" t="n"/>
      <c r="K2839" s="30" t="n"/>
      <c r="L2839" s="30" t="n"/>
      <c r="M2839" s="30" t="n"/>
      <c r="N2839" s="32" t="n"/>
      <c r="O2839" s="30" t="n"/>
      <c r="P2839" s="32" t="n"/>
      <c r="Q2839" s="30" t="n"/>
      <c r="R2839" s="32" t="n"/>
      <c r="S2839" s="30" t="n"/>
      <c r="T2839" s="30" t="n"/>
      <c r="U2839" s="30" t="n"/>
      <c r="V2839" s="30" t="n"/>
      <c r="W2839" s="29">
        <f>IF(H2839="","",IF(H2839="Kenya","Yes","No"))</f>
        <v/>
      </c>
      <c r="X2839" s="29">
        <f>IF(B2839="","",IF(COUNTIF($B$5:$B$3004,B2839)&gt;1,"DUPLICATE","OK"))</f>
        <v/>
      </c>
      <c r="Y2839" s="29">
        <f>IF(OR(U2839="",V2839="",V2839="Excluded"),"",IF(COUNTIFS($U$5:$U$3004,U2839,$V$5:$V$3004,"&lt;&gt;"&amp;V2839,$V$5:$V$3004,"&lt;&gt;",$V$5:$V$3004,"&lt;&gt;Excluded")&gt;0,"LEAK RISK","OK"))</f>
        <v/>
      </c>
      <c r="Z2839" s="30" t="n"/>
    </row>
    <row r="2840">
      <c r="A2840" s="30" t="n"/>
      <c r="B2840" s="30" t="n"/>
      <c r="C2840" s="30" t="n"/>
      <c r="D2840" s="30" t="n"/>
      <c r="E2840" s="30" t="n"/>
      <c r="F2840" s="30" t="n"/>
      <c r="G2840" s="30" t="n"/>
      <c r="H2840" s="30" t="n"/>
      <c r="I2840" s="31" t="n"/>
      <c r="J2840" s="30" t="n"/>
      <c r="K2840" s="30" t="n"/>
      <c r="L2840" s="30" t="n"/>
      <c r="M2840" s="30" t="n"/>
      <c r="N2840" s="32" t="n"/>
      <c r="O2840" s="30" t="n"/>
      <c r="P2840" s="32" t="n"/>
      <c r="Q2840" s="30" t="n"/>
      <c r="R2840" s="32" t="n"/>
      <c r="S2840" s="30" t="n"/>
      <c r="T2840" s="30" t="n"/>
      <c r="U2840" s="30" t="n"/>
      <c r="V2840" s="30" t="n"/>
      <c r="W2840" s="29">
        <f>IF(H2840="","",IF(H2840="Kenya","Yes","No"))</f>
        <v/>
      </c>
      <c r="X2840" s="29">
        <f>IF(B2840="","",IF(COUNTIF($B$5:$B$3004,B2840)&gt;1,"DUPLICATE","OK"))</f>
        <v/>
      </c>
      <c r="Y2840" s="29">
        <f>IF(OR(U2840="",V2840="",V2840="Excluded"),"",IF(COUNTIFS($U$5:$U$3004,U2840,$V$5:$V$3004,"&lt;&gt;"&amp;V2840,$V$5:$V$3004,"&lt;&gt;",$V$5:$V$3004,"&lt;&gt;Excluded")&gt;0,"LEAK RISK","OK"))</f>
        <v/>
      </c>
      <c r="Z2840" s="30" t="n"/>
    </row>
    <row r="2841">
      <c r="A2841" s="30" t="n"/>
      <c r="B2841" s="30" t="n"/>
      <c r="C2841" s="30" t="n"/>
      <c r="D2841" s="30" t="n"/>
      <c r="E2841" s="30" t="n"/>
      <c r="F2841" s="30" t="n"/>
      <c r="G2841" s="30" t="n"/>
      <c r="H2841" s="30" t="n"/>
      <c r="I2841" s="31" t="n"/>
      <c r="J2841" s="30" t="n"/>
      <c r="K2841" s="30" t="n"/>
      <c r="L2841" s="30" t="n"/>
      <c r="M2841" s="30" t="n"/>
      <c r="N2841" s="32" t="n"/>
      <c r="O2841" s="30" t="n"/>
      <c r="P2841" s="32" t="n"/>
      <c r="Q2841" s="30" t="n"/>
      <c r="R2841" s="32" t="n"/>
      <c r="S2841" s="30" t="n"/>
      <c r="T2841" s="30" t="n"/>
      <c r="U2841" s="30" t="n"/>
      <c r="V2841" s="30" t="n"/>
      <c r="W2841" s="29">
        <f>IF(H2841="","",IF(H2841="Kenya","Yes","No"))</f>
        <v/>
      </c>
      <c r="X2841" s="29">
        <f>IF(B2841="","",IF(COUNTIF($B$5:$B$3004,B2841)&gt;1,"DUPLICATE","OK"))</f>
        <v/>
      </c>
      <c r="Y2841" s="29">
        <f>IF(OR(U2841="",V2841="",V2841="Excluded"),"",IF(COUNTIFS($U$5:$U$3004,U2841,$V$5:$V$3004,"&lt;&gt;"&amp;V2841,$V$5:$V$3004,"&lt;&gt;",$V$5:$V$3004,"&lt;&gt;Excluded")&gt;0,"LEAK RISK","OK"))</f>
        <v/>
      </c>
      <c r="Z2841" s="30" t="n"/>
    </row>
    <row r="2842">
      <c r="A2842" s="30" t="n"/>
      <c r="B2842" s="30" t="n"/>
      <c r="C2842" s="30" t="n"/>
      <c r="D2842" s="30" t="n"/>
      <c r="E2842" s="30" t="n"/>
      <c r="F2842" s="30" t="n"/>
      <c r="G2842" s="30" t="n"/>
      <c r="H2842" s="30" t="n"/>
      <c r="I2842" s="31" t="n"/>
      <c r="J2842" s="30" t="n"/>
      <c r="K2842" s="30" t="n"/>
      <c r="L2842" s="30" t="n"/>
      <c r="M2842" s="30" t="n"/>
      <c r="N2842" s="32" t="n"/>
      <c r="O2842" s="30" t="n"/>
      <c r="P2842" s="32" t="n"/>
      <c r="Q2842" s="30" t="n"/>
      <c r="R2842" s="32" t="n"/>
      <c r="S2842" s="30" t="n"/>
      <c r="T2842" s="30" t="n"/>
      <c r="U2842" s="30" t="n"/>
      <c r="V2842" s="30" t="n"/>
      <c r="W2842" s="29">
        <f>IF(H2842="","",IF(H2842="Kenya","Yes","No"))</f>
        <v/>
      </c>
      <c r="X2842" s="29">
        <f>IF(B2842="","",IF(COUNTIF($B$5:$B$3004,B2842)&gt;1,"DUPLICATE","OK"))</f>
        <v/>
      </c>
      <c r="Y2842" s="29">
        <f>IF(OR(U2842="",V2842="",V2842="Excluded"),"",IF(COUNTIFS($U$5:$U$3004,U2842,$V$5:$V$3004,"&lt;&gt;"&amp;V2842,$V$5:$V$3004,"&lt;&gt;",$V$5:$V$3004,"&lt;&gt;Excluded")&gt;0,"LEAK RISK","OK"))</f>
        <v/>
      </c>
      <c r="Z2842" s="30" t="n"/>
    </row>
    <row r="2843">
      <c r="A2843" s="30" t="n"/>
      <c r="B2843" s="30" t="n"/>
      <c r="C2843" s="30" t="n"/>
      <c r="D2843" s="30" t="n"/>
      <c r="E2843" s="30" t="n"/>
      <c r="F2843" s="30" t="n"/>
      <c r="G2843" s="30" t="n"/>
      <c r="H2843" s="30" t="n"/>
      <c r="I2843" s="31" t="n"/>
      <c r="J2843" s="30" t="n"/>
      <c r="K2843" s="30" t="n"/>
      <c r="L2843" s="30" t="n"/>
      <c r="M2843" s="30" t="n"/>
      <c r="N2843" s="32" t="n"/>
      <c r="O2843" s="30" t="n"/>
      <c r="P2843" s="32" t="n"/>
      <c r="Q2843" s="30" t="n"/>
      <c r="R2843" s="32" t="n"/>
      <c r="S2843" s="30" t="n"/>
      <c r="T2843" s="30" t="n"/>
      <c r="U2843" s="30" t="n"/>
      <c r="V2843" s="30" t="n"/>
      <c r="W2843" s="29">
        <f>IF(H2843="","",IF(H2843="Kenya","Yes","No"))</f>
        <v/>
      </c>
      <c r="X2843" s="29">
        <f>IF(B2843="","",IF(COUNTIF($B$5:$B$3004,B2843)&gt;1,"DUPLICATE","OK"))</f>
        <v/>
      </c>
      <c r="Y2843" s="29">
        <f>IF(OR(U2843="",V2843="",V2843="Excluded"),"",IF(COUNTIFS($U$5:$U$3004,U2843,$V$5:$V$3004,"&lt;&gt;"&amp;V2843,$V$5:$V$3004,"&lt;&gt;",$V$5:$V$3004,"&lt;&gt;Excluded")&gt;0,"LEAK RISK","OK"))</f>
        <v/>
      </c>
      <c r="Z2843" s="30" t="n"/>
    </row>
    <row r="2844">
      <c r="A2844" s="30" t="n"/>
      <c r="B2844" s="30" t="n"/>
      <c r="C2844" s="30" t="n"/>
      <c r="D2844" s="30" t="n"/>
      <c r="E2844" s="30" t="n"/>
      <c r="F2844" s="30" t="n"/>
      <c r="G2844" s="30" t="n"/>
      <c r="H2844" s="30" t="n"/>
      <c r="I2844" s="31" t="n"/>
      <c r="J2844" s="30" t="n"/>
      <c r="K2844" s="30" t="n"/>
      <c r="L2844" s="30" t="n"/>
      <c r="M2844" s="30" t="n"/>
      <c r="N2844" s="32" t="n"/>
      <c r="O2844" s="30" t="n"/>
      <c r="P2844" s="32" t="n"/>
      <c r="Q2844" s="30" t="n"/>
      <c r="R2844" s="32" t="n"/>
      <c r="S2844" s="30" t="n"/>
      <c r="T2844" s="30" t="n"/>
      <c r="U2844" s="30" t="n"/>
      <c r="V2844" s="30" t="n"/>
      <c r="W2844" s="29">
        <f>IF(H2844="","",IF(H2844="Kenya","Yes","No"))</f>
        <v/>
      </c>
      <c r="X2844" s="29">
        <f>IF(B2844="","",IF(COUNTIF($B$5:$B$3004,B2844)&gt;1,"DUPLICATE","OK"))</f>
        <v/>
      </c>
      <c r="Y2844" s="29">
        <f>IF(OR(U2844="",V2844="",V2844="Excluded"),"",IF(COUNTIFS($U$5:$U$3004,U2844,$V$5:$V$3004,"&lt;&gt;"&amp;V2844,$V$5:$V$3004,"&lt;&gt;",$V$5:$V$3004,"&lt;&gt;Excluded")&gt;0,"LEAK RISK","OK"))</f>
        <v/>
      </c>
      <c r="Z2844" s="30" t="n"/>
    </row>
    <row r="2845">
      <c r="A2845" s="30" t="n"/>
      <c r="B2845" s="30" t="n"/>
      <c r="C2845" s="30" t="n"/>
      <c r="D2845" s="30" t="n"/>
      <c r="E2845" s="30" t="n"/>
      <c r="F2845" s="30" t="n"/>
      <c r="G2845" s="30" t="n"/>
      <c r="H2845" s="30" t="n"/>
      <c r="I2845" s="31" t="n"/>
      <c r="J2845" s="30" t="n"/>
      <c r="K2845" s="30" t="n"/>
      <c r="L2845" s="30" t="n"/>
      <c r="M2845" s="30" t="n"/>
      <c r="N2845" s="32" t="n"/>
      <c r="O2845" s="30" t="n"/>
      <c r="P2845" s="32" t="n"/>
      <c r="Q2845" s="30" t="n"/>
      <c r="R2845" s="32" t="n"/>
      <c r="S2845" s="30" t="n"/>
      <c r="T2845" s="30" t="n"/>
      <c r="U2845" s="30" t="n"/>
      <c r="V2845" s="30" t="n"/>
      <c r="W2845" s="29">
        <f>IF(H2845="","",IF(H2845="Kenya","Yes","No"))</f>
        <v/>
      </c>
      <c r="X2845" s="29">
        <f>IF(B2845="","",IF(COUNTIF($B$5:$B$3004,B2845)&gt;1,"DUPLICATE","OK"))</f>
        <v/>
      </c>
      <c r="Y2845" s="29">
        <f>IF(OR(U2845="",V2845="",V2845="Excluded"),"",IF(COUNTIFS($U$5:$U$3004,U2845,$V$5:$V$3004,"&lt;&gt;"&amp;V2845,$V$5:$V$3004,"&lt;&gt;",$V$5:$V$3004,"&lt;&gt;Excluded")&gt;0,"LEAK RISK","OK"))</f>
        <v/>
      </c>
      <c r="Z2845" s="30" t="n"/>
    </row>
    <row r="2846">
      <c r="A2846" s="30" t="n"/>
      <c r="B2846" s="30" t="n"/>
      <c r="C2846" s="30" t="n"/>
      <c r="D2846" s="30" t="n"/>
      <c r="E2846" s="30" t="n"/>
      <c r="F2846" s="30" t="n"/>
      <c r="G2846" s="30" t="n"/>
      <c r="H2846" s="30" t="n"/>
      <c r="I2846" s="31" t="n"/>
      <c r="J2846" s="30" t="n"/>
      <c r="K2846" s="30" t="n"/>
      <c r="L2846" s="30" t="n"/>
      <c r="M2846" s="30" t="n"/>
      <c r="N2846" s="32" t="n"/>
      <c r="O2846" s="30" t="n"/>
      <c r="P2846" s="32" t="n"/>
      <c r="Q2846" s="30" t="n"/>
      <c r="R2846" s="32" t="n"/>
      <c r="S2846" s="30" t="n"/>
      <c r="T2846" s="30" t="n"/>
      <c r="U2846" s="30" t="n"/>
      <c r="V2846" s="30" t="n"/>
      <c r="W2846" s="29">
        <f>IF(H2846="","",IF(H2846="Kenya","Yes","No"))</f>
        <v/>
      </c>
      <c r="X2846" s="29">
        <f>IF(B2846="","",IF(COUNTIF($B$5:$B$3004,B2846)&gt;1,"DUPLICATE","OK"))</f>
        <v/>
      </c>
      <c r="Y2846" s="29">
        <f>IF(OR(U2846="",V2846="",V2846="Excluded"),"",IF(COUNTIFS($U$5:$U$3004,U2846,$V$5:$V$3004,"&lt;&gt;"&amp;V2846,$V$5:$V$3004,"&lt;&gt;",$V$5:$V$3004,"&lt;&gt;Excluded")&gt;0,"LEAK RISK","OK"))</f>
        <v/>
      </c>
      <c r="Z2846" s="30" t="n"/>
    </row>
    <row r="2847">
      <c r="A2847" s="30" t="n"/>
      <c r="B2847" s="30" t="n"/>
      <c r="C2847" s="30" t="n"/>
      <c r="D2847" s="30" t="n"/>
      <c r="E2847" s="30" t="n"/>
      <c r="F2847" s="30" t="n"/>
      <c r="G2847" s="30" t="n"/>
      <c r="H2847" s="30" t="n"/>
      <c r="I2847" s="31" t="n"/>
      <c r="J2847" s="30" t="n"/>
      <c r="K2847" s="30" t="n"/>
      <c r="L2847" s="30" t="n"/>
      <c r="M2847" s="30" t="n"/>
      <c r="N2847" s="32" t="n"/>
      <c r="O2847" s="30" t="n"/>
      <c r="P2847" s="32" t="n"/>
      <c r="Q2847" s="30" t="n"/>
      <c r="R2847" s="32" t="n"/>
      <c r="S2847" s="30" t="n"/>
      <c r="T2847" s="30" t="n"/>
      <c r="U2847" s="30" t="n"/>
      <c r="V2847" s="30" t="n"/>
      <c r="W2847" s="29">
        <f>IF(H2847="","",IF(H2847="Kenya","Yes","No"))</f>
        <v/>
      </c>
      <c r="X2847" s="29">
        <f>IF(B2847="","",IF(COUNTIF($B$5:$B$3004,B2847)&gt;1,"DUPLICATE","OK"))</f>
        <v/>
      </c>
      <c r="Y2847" s="29">
        <f>IF(OR(U2847="",V2847="",V2847="Excluded"),"",IF(COUNTIFS($U$5:$U$3004,U2847,$V$5:$V$3004,"&lt;&gt;"&amp;V2847,$V$5:$V$3004,"&lt;&gt;",$V$5:$V$3004,"&lt;&gt;Excluded")&gt;0,"LEAK RISK","OK"))</f>
        <v/>
      </c>
      <c r="Z2847" s="30" t="n"/>
    </row>
    <row r="2848">
      <c r="A2848" s="30" t="n"/>
      <c r="B2848" s="30" t="n"/>
      <c r="C2848" s="30" t="n"/>
      <c r="D2848" s="30" t="n"/>
      <c r="E2848" s="30" t="n"/>
      <c r="F2848" s="30" t="n"/>
      <c r="G2848" s="30" t="n"/>
      <c r="H2848" s="30" t="n"/>
      <c r="I2848" s="31" t="n"/>
      <c r="J2848" s="30" t="n"/>
      <c r="K2848" s="30" t="n"/>
      <c r="L2848" s="30" t="n"/>
      <c r="M2848" s="30" t="n"/>
      <c r="N2848" s="32" t="n"/>
      <c r="O2848" s="30" t="n"/>
      <c r="P2848" s="32" t="n"/>
      <c r="Q2848" s="30" t="n"/>
      <c r="R2848" s="32" t="n"/>
      <c r="S2848" s="30" t="n"/>
      <c r="T2848" s="30" t="n"/>
      <c r="U2848" s="30" t="n"/>
      <c r="V2848" s="30" t="n"/>
      <c r="W2848" s="29">
        <f>IF(H2848="","",IF(H2848="Kenya","Yes","No"))</f>
        <v/>
      </c>
      <c r="X2848" s="29">
        <f>IF(B2848="","",IF(COUNTIF($B$5:$B$3004,B2848)&gt;1,"DUPLICATE","OK"))</f>
        <v/>
      </c>
      <c r="Y2848" s="29">
        <f>IF(OR(U2848="",V2848="",V2848="Excluded"),"",IF(COUNTIFS($U$5:$U$3004,U2848,$V$5:$V$3004,"&lt;&gt;"&amp;V2848,$V$5:$V$3004,"&lt;&gt;",$V$5:$V$3004,"&lt;&gt;Excluded")&gt;0,"LEAK RISK","OK"))</f>
        <v/>
      </c>
      <c r="Z2848" s="30" t="n"/>
    </row>
    <row r="2849">
      <c r="A2849" s="30" t="n"/>
      <c r="B2849" s="30" t="n"/>
      <c r="C2849" s="30" t="n"/>
      <c r="D2849" s="30" t="n"/>
      <c r="E2849" s="30" t="n"/>
      <c r="F2849" s="30" t="n"/>
      <c r="G2849" s="30" t="n"/>
      <c r="H2849" s="30" t="n"/>
      <c r="I2849" s="31" t="n"/>
      <c r="J2849" s="30" t="n"/>
      <c r="K2849" s="30" t="n"/>
      <c r="L2849" s="30" t="n"/>
      <c r="M2849" s="30" t="n"/>
      <c r="N2849" s="32" t="n"/>
      <c r="O2849" s="30" t="n"/>
      <c r="P2849" s="32" t="n"/>
      <c r="Q2849" s="30" t="n"/>
      <c r="R2849" s="32" t="n"/>
      <c r="S2849" s="30" t="n"/>
      <c r="T2849" s="30" t="n"/>
      <c r="U2849" s="30" t="n"/>
      <c r="V2849" s="30" t="n"/>
      <c r="W2849" s="29">
        <f>IF(H2849="","",IF(H2849="Kenya","Yes","No"))</f>
        <v/>
      </c>
      <c r="X2849" s="29">
        <f>IF(B2849="","",IF(COUNTIF($B$5:$B$3004,B2849)&gt;1,"DUPLICATE","OK"))</f>
        <v/>
      </c>
      <c r="Y2849" s="29">
        <f>IF(OR(U2849="",V2849="",V2849="Excluded"),"",IF(COUNTIFS($U$5:$U$3004,U2849,$V$5:$V$3004,"&lt;&gt;"&amp;V2849,$V$5:$V$3004,"&lt;&gt;",$V$5:$V$3004,"&lt;&gt;Excluded")&gt;0,"LEAK RISK","OK"))</f>
        <v/>
      </c>
      <c r="Z2849" s="30" t="n"/>
    </row>
    <row r="2850">
      <c r="A2850" s="30" t="n"/>
      <c r="B2850" s="30" t="n"/>
      <c r="C2850" s="30" t="n"/>
      <c r="D2850" s="30" t="n"/>
      <c r="E2850" s="30" t="n"/>
      <c r="F2850" s="30" t="n"/>
      <c r="G2850" s="30" t="n"/>
      <c r="H2850" s="30" t="n"/>
      <c r="I2850" s="31" t="n"/>
      <c r="J2850" s="30" t="n"/>
      <c r="K2850" s="30" t="n"/>
      <c r="L2850" s="30" t="n"/>
      <c r="M2850" s="30" t="n"/>
      <c r="N2850" s="32" t="n"/>
      <c r="O2850" s="30" t="n"/>
      <c r="P2850" s="32" t="n"/>
      <c r="Q2850" s="30" t="n"/>
      <c r="R2850" s="32" t="n"/>
      <c r="S2850" s="30" t="n"/>
      <c r="T2850" s="30" t="n"/>
      <c r="U2850" s="30" t="n"/>
      <c r="V2850" s="30" t="n"/>
      <c r="W2850" s="29">
        <f>IF(H2850="","",IF(H2850="Kenya","Yes","No"))</f>
        <v/>
      </c>
      <c r="X2850" s="29">
        <f>IF(B2850="","",IF(COUNTIF($B$5:$B$3004,B2850)&gt;1,"DUPLICATE","OK"))</f>
        <v/>
      </c>
      <c r="Y2850" s="29">
        <f>IF(OR(U2850="",V2850="",V2850="Excluded"),"",IF(COUNTIFS($U$5:$U$3004,U2850,$V$5:$V$3004,"&lt;&gt;"&amp;V2850,$V$5:$V$3004,"&lt;&gt;",$V$5:$V$3004,"&lt;&gt;Excluded")&gt;0,"LEAK RISK","OK"))</f>
        <v/>
      </c>
      <c r="Z2850" s="30" t="n"/>
    </row>
    <row r="2851">
      <c r="A2851" s="30" t="n"/>
      <c r="B2851" s="30" t="n"/>
      <c r="C2851" s="30" t="n"/>
      <c r="D2851" s="30" t="n"/>
      <c r="E2851" s="30" t="n"/>
      <c r="F2851" s="30" t="n"/>
      <c r="G2851" s="30" t="n"/>
      <c r="H2851" s="30" t="n"/>
      <c r="I2851" s="31" t="n"/>
      <c r="J2851" s="30" t="n"/>
      <c r="K2851" s="30" t="n"/>
      <c r="L2851" s="30" t="n"/>
      <c r="M2851" s="30" t="n"/>
      <c r="N2851" s="32" t="n"/>
      <c r="O2851" s="30" t="n"/>
      <c r="P2851" s="32" t="n"/>
      <c r="Q2851" s="30" t="n"/>
      <c r="R2851" s="32" t="n"/>
      <c r="S2851" s="30" t="n"/>
      <c r="T2851" s="30" t="n"/>
      <c r="U2851" s="30" t="n"/>
      <c r="V2851" s="30" t="n"/>
      <c r="W2851" s="29">
        <f>IF(H2851="","",IF(H2851="Kenya","Yes","No"))</f>
        <v/>
      </c>
      <c r="X2851" s="29">
        <f>IF(B2851="","",IF(COUNTIF($B$5:$B$3004,B2851)&gt;1,"DUPLICATE","OK"))</f>
        <v/>
      </c>
      <c r="Y2851" s="29">
        <f>IF(OR(U2851="",V2851="",V2851="Excluded"),"",IF(COUNTIFS($U$5:$U$3004,U2851,$V$5:$V$3004,"&lt;&gt;"&amp;V2851,$V$5:$V$3004,"&lt;&gt;",$V$5:$V$3004,"&lt;&gt;Excluded")&gt;0,"LEAK RISK","OK"))</f>
        <v/>
      </c>
      <c r="Z2851" s="30" t="n"/>
    </row>
    <row r="2852">
      <c r="A2852" s="30" t="n"/>
      <c r="B2852" s="30" t="n"/>
      <c r="C2852" s="30" t="n"/>
      <c r="D2852" s="30" t="n"/>
      <c r="E2852" s="30" t="n"/>
      <c r="F2852" s="30" t="n"/>
      <c r="G2852" s="30" t="n"/>
      <c r="H2852" s="30" t="n"/>
      <c r="I2852" s="31" t="n"/>
      <c r="J2852" s="30" t="n"/>
      <c r="K2852" s="30" t="n"/>
      <c r="L2852" s="30" t="n"/>
      <c r="M2852" s="30" t="n"/>
      <c r="N2852" s="32" t="n"/>
      <c r="O2852" s="30" t="n"/>
      <c r="P2852" s="32" t="n"/>
      <c r="Q2852" s="30" t="n"/>
      <c r="R2852" s="32" t="n"/>
      <c r="S2852" s="30" t="n"/>
      <c r="T2852" s="30" t="n"/>
      <c r="U2852" s="30" t="n"/>
      <c r="V2852" s="30" t="n"/>
      <c r="W2852" s="29">
        <f>IF(H2852="","",IF(H2852="Kenya","Yes","No"))</f>
        <v/>
      </c>
      <c r="X2852" s="29">
        <f>IF(B2852="","",IF(COUNTIF($B$5:$B$3004,B2852)&gt;1,"DUPLICATE","OK"))</f>
        <v/>
      </c>
      <c r="Y2852" s="29">
        <f>IF(OR(U2852="",V2852="",V2852="Excluded"),"",IF(COUNTIFS($U$5:$U$3004,U2852,$V$5:$V$3004,"&lt;&gt;"&amp;V2852,$V$5:$V$3004,"&lt;&gt;",$V$5:$V$3004,"&lt;&gt;Excluded")&gt;0,"LEAK RISK","OK"))</f>
        <v/>
      </c>
      <c r="Z2852" s="30" t="n"/>
    </row>
    <row r="2853">
      <c r="A2853" s="30" t="n"/>
      <c r="B2853" s="30" t="n"/>
      <c r="C2853" s="30" t="n"/>
      <c r="D2853" s="30" t="n"/>
      <c r="E2853" s="30" t="n"/>
      <c r="F2853" s="30" t="n"/>
      <c r="G2853" s="30" t="n"/>
      <c r="H2853" s="30" t="n"/>
      <c r="I2853" s="31" t="n"/>
      <c r="J2853" s="30" t="n"/>
      <c r="K2853" s="30" t="n"/>
      <c r="L2853" s="30" t="n"/>
      <c r="M2853" s="30" t="n"/>
      <c r="N2853" s="32" t="n"/>
      <c r="O2853" s="30" t="n"/>
      <c r="P2853" s="32" t="n"/>
      <c r="Q2853" s="30" t="n"/>
      <c r="R2853" s="32" t="n"/>
      <c r="S2853" s="30" t="n"/>
      <c r="T2853" s="30" t="n"/>
      <c r="U2853" s="30" t="n"/>
      <c r="V2853" s="30" t="n"/>
      <c r="W2853" s="29">
        <f>IF(H2853="","",IF(H2853="Kenya","Yes","No"))</f>
        <v/>
      </c>
      <c r="X2853" s="29">
        <f>IF(B2853="","",IF(COUNTIF($B$5:$B$3004,B2853)&gt;1,"DUPLICATE","OK"))</f>
        <v/>
      </c>
      <c r="Y2853" s="29">
        <f>IF(OR(U2853="",V2853="",V2853="Excluded"),"",IF(COUNTIFS($U$5:$U$3004,U2853,$V$5:$V$3004,"&lt;&gt;"&amp;V2853,$V$5:$V$3004,"&lt;&gt;",$V$5:$V$3004,"&lt;&gt;Excluded")&gt;0,"LEAK RISK","OK"))</f>
        <v/>
      </c>
      <c r="Z2853" s="30" t="n"/>
    </row>
    <row r="2854">
      <c r="A2854" s="30" t="n"/>
      <c r="B2854" s="30" t="n"/>
      <c r="C2854" s="30" t="n"/>
      <c r="D2854" s="30" t="n"/>
      <c r="E2854" s="30" t="n"/>
      <c r="F2854" s="30" t="n"/>
      <c r="G2854" s="30" t="n"/>
      <c r="H2854" s="30" t="n"/>
      <c r="I2854" s="31" t="n"/>
      <c r="J2854" s="30" t="n"/>
      <c r="K2854" s="30" t="n"/>
      <c r="L2854" s="30" t="n"/>
      <c r="M2854" s="30" t="n"/>
      <c r="N2854" s="32" t="n"/>
      <c r="O2854" s="30" t="n"/>
      <c r="P2854" s="32" t="n"/>
      <c r="Q2854" s="30" t="n"/>
      <c r="R2854" s="32" t="n"/>
      <c r="S2854" s="30" t="n"/>
      <c r="T2854" s="30" t="n"/>
      <c r="U2854" s="30" t="n"/>
      <c r="V2854" s="30" t="n"/>
      <c r="W2854" s="29">
        <f>IF(H2854="","",IF(H2854="Kenya","Yes","No"))</f>
        <v/>
      </c>
      <c r="X2854" s="29">
        <f>IF(B2854="","",IF(COUNTIF($B$5:$B$3004,B2854)&gt;1,"DUPLICATE","OK"))</f>
        <v/>
      </c>
      <c r="Y2854" s="29">
        <f>IF(OR(U2854="",V2854="",V2854="Excluded"),"",IF(COUNTIFS($U$5:$U$3004,U2854,$V$5:$V$3004,"&lt;&gt;"&amp;V2854,$V$5:$V$3004,"&lt;&gt;",$V$5:$V$3004,"&lt;&gt;Excluded")&gt;0,"LEAK RISK","OK"))</f>
        <v/>
      </c>
      <c r="Z2854" s="30" t="n"/>
    </row>
    <row r="2855">
      <c r="A2855" s="30" t="n"/>
      <c r="B2855" s="30" t="n"/>
      <c r="C2855" s="30" t="n"/>
      <c r="D2855" s="30" t="n"/>
      <c r="E2855" s="30" t="n"/>
      <c r="F2855" s="30" t="n"/>
      <c r="G2855" s="30" t="n"/>
      <c r="H2855" s="30" t="n"/>
      <c r="I2855" s="31" t="n"/>
      <c r="J2855" s="30" t="n"/>
      <c r="K2855" s="30" t="n"/>
      <c r="L2855" s="30" t="n"/>
      <c r="M2855" s="30" t="n"/>
      <c r="N2855" s="32" t="n"/>
      <c r="O2855" s="30" t="n"/>
      <c r="P2855" s="32" t="n"/>
      <c r="Q2855" s="30" t="n"/>
      <c r="R2855" s="32" t="n"/>
      <c r="S2855" s="30" t="n"/>
      <c r="T2855" s="30" t="n"/>
      <c r="U2855" s="30" t="n"/>
      <c r="V2855" s="30" t="n"/>
      <c r="W2855" s="29">
        <f>IF(H2855="","",IF(H2855="Kenya","Yes","No"))</f>
        <v/>
      </c>
      <c r="X2855" s="29">
        <f>IF(B2855="","",IF(COUNTIF($B$5:$B$3004,B2855)&gt;1,"DUPLICATE","OK"))</f>
        <v/>
      </c>
      <c r="Y2855" s="29">
        <f>IF(OR(U2855="",V2855="",V2855="Excluded"),"",IF(COUNTIFS($U$5:$U$3004,U2855,$V$5:$V$3004,"&lt;&gt;"&amp;V2855,$V$5:$V$3004,"&lt;&gt;",$V$5:$V$3004,"&lt;&gt;Excluded")&gt;0,"LEAK RISK","OK"))</f>
        <v/>
      </c>
      <c r="Z2855" s="30" t="n"/>
    </row>
    <row r="2856">
      <c r="A2856" s="30" t="n"/>
      <c r="B2856" s="30" t="n"/>
      <c r="C2856" s="30" t="n"/>
      <c r="D2856" s="30" t="n"/>
      <c r="E2856" s="30" t="n"/>
      <c r="F2856" s="30" t="n"/>
      <c r="G2856" s="30" t="n"/>
      <c r="H2856" s="30" t="n"/>
      <c r="I2856" s="31" t="n"/>
      <c r="J2856" s="30" t="n"/>
      <c r="K2856" s="30" t="n"/>
      <c r="L2856" s="30" t="n"/>
      <c r="M2856" s="30" t="n"/>
      <c r="N2856" s="32" t="n"/>
      <c r="O2856" s="30" t="n"/>
      <c r="P2856" s="32" t="n"/>
      <c r="Q2856" s="30" t="n"/>
      <c r="R2856" s="32" t="n"/>
      <c r="S2856" s="30" t="n"/>
      <c r="T2856" s="30" t="n"/>
      <c r="U2856" s="30" t="n"/>
      <c r="V2856" s="30" t="n"/>
      <c r="W2856" s="29">
        <f>IF(H2856="","",IF(H2856="Kenya","Yes","No"))</f>
        <v/>
      </c>
      <c r="X2856" s="29">
        <f>IF(B2856="","",IF(COUNTIF($B$5:$B$3004,B2856)&gt;1,"DUPLICATE","OK"))</f>
        <v/>
      </c>
      <c r="Y2856" s="29">
        <f>IF(OR(U2856="",V2856="",V2856="Excluded"),"",IF(COUNTIFS($U$5:$U$3004,U2856,$V$5:$V$3004,"&lt;&gt;"&amp;V2856,$V$5:$V$3004,"&lt;&gt;",$V$5:$V$3004,"&lt;&gt;Excluded")&gt;0,"LEAK RISK","OK"))</f>
        <v/>
      </c>
      <c r="Z2856" s="30" t="n"/>
    </row>
    <row r="2857">
      <c r="A2857" s="30" t="n"/>
      <c r="B2857" s="30" t="n"/>
      <c r="C2857" s="30" t="n"/>
      <c r="D2857" s="30" t="n"/>
      <c r="E2857" s="30" t="n"/>
      <c r="F2857" s="30" t="n"/>
      <c r="G2857" s="30" t="n"/>
      <c r="H2857" s="30" t="n"/>
      <c r="I2857" s="31" t="n"/>
      <c r="J2857" s="30" t="n"/>
      <c r="K2857" s="30" t="n"/>
      <c r="L2857" s="30" t="n"/>
      <c r="M2857" s="30" t="n"/>
      <c r="N2857" s="32" t="n"/>
      <c r="O2857" s="30" t="n"/>
      <c r="P2857" s="32" t="n"/>
      <c r="Q2857" s="30" t="n"/>
      <c r="R2857" s="32" t="n"/>
      <c r="S2857" s="30" t="n"/>
      <c r="T2857" s="30" t="n"/>
      <c r="U2857" s="30" t="n"/>
      <c r="V2857" s="30" t="n"/>
      <c r="W2857" s="29">
        <f>IF(H2857="","",IF(H2857="Kenya","Yes","No"))</f>
        <v/>
      </c>
      <c r="X2857" s="29">
        <f>IF(B2857="","",IF(COUNTIF($B$5:$B$3004,B2857)&gt;1,"DUPLICATE","OK"))</f>
        <v/>
      </c>
      <c r="Y2857" s="29">
        <f>IF(OR(U2857="",V2857="",V2857="Excluded"),"",IF(COUNTIFS($U$5:$U$3004,U2857,$V$5:$V$3004,"&lt;&gt;"&amp;V2857,$V$5:$V$3004,"&lt;&gt;",$V$5:$V$3004,"&lt;&gt;Excluded")&gt;0,"LEAK RISK","OK"))</f>
        <v/>
      </c>
      <c r="Z2857" s="30" t="n"/>
    </row>
    <row r="2858">
      <c r="A2858" s="30" t="n"/>
      <c r="B2858" s="30" t="n"/>
      <c r="C2858" s="30" t="n"/>
      <c r="D2858" s="30" t="n"/>
      <c r="E2858" s="30" t="n"/>
      <c r="F2858" s="30" t="n"/>
      <c r="G2858" s="30" t="n"/>
      <c r="H2858" s="30" t="n"/>
      <c r="I2858" s="31" t="n"/>
      <c r="J2858" s="30" t="n"/>
      <c r="K2858" s="30" t="n"/>
      <c r="L2858" s="30" t="n"/>
      <c r="M2858" s="30" t="n"/>
      <c r="N2858" s="32" t="n"/>
      <c r="O2858" s="30" t="n"/>
      <c r="P2858" s="32" t="n"/>
      <c r="Q2858" s="30" t="n"/>
      <c r="R2858" s="32" t="n"/>
      <c r="S2858" s="30" t="n"/>
      <c r="T2858" s="30" t="n"/>
      <c r="U2858" s="30" t="n"/>
      <c r="V2858" s="30" t="n"/>
      <c r="W2858" s="29">
        <f>IF(H2858="","",IF(H2858="Kenya","Yes","No"))</f>
        <v/>
      </c>
      <c r="X2858" s="29">
        <f>IF(B2858="","",IF(COUNTIF($B$5:$B$3004,B2858)&gt;1,"DUPLICATE","OK"))</f>
        <v/>
      </c>
      <c r="Y2858" s="29">
        <f>IF(OR(U2858="",V2858="",V2858="Excluded"),"",IF(COUNTIFS($U$5:$U$3004,U2858,$V$5:$V$3004,"&lt;&gt;"&amp;V2858,$V$5:$V$3004,"&lt;&gt;",$V$5:$V$3004,"&lt;&gt;Excluded")&gt;0,"LEAK RISK","OK"))</f>
        <v/>
      </c>
      <c r="Z2858" s="30" t="n"/>
    </row>
    <row r="2859">
      <c r="A2859" s="30" t="n"/>
      <c r="B2859" s="30" t="n"/>
      <c r="C2859" s="30" t="n"/>
      <c r="D2859" s="30" t="n"/>
      <c r="E2859" s="30" t="n"/>
      <c r="F2859" s="30" t="n"/>
      <c r="G2859" s="30" t="n"/>
      <c r="H2859" s="30" t="n"/>
      <c r="I2859" s="31" t="n"/>
      <c r="J2859" s="30" t="n"/>
      <c r="K2859" s="30" t="n"/>
      <c r="L2859" s="30" t="n"/>
      <c r="M2859" s="30" t="n"/>
      <c r="N2859" s="32" t="n"/>
      <c r="O2859" s="30" t="n"/>
      <c r="P2859" s="32" t="n"/>
      <c r="Q2859" s="30" t="n"/>
      <c r="R2859" s="32" t="n"/>
      <c r="S2859" s="30" t="n"/>
      <c r="T2859" s="30" t="n"/>
      <c r="U2859" s="30" t="n"/>
      <c r="V2859" s="30" t="n"/>
      <c r="W2859" s="29">
        <f>IF(H2859="","",IF(H2859="Kenya","Yes","No"))</f>
        <v/>
      </c>
      <c r="X2859" s="29">
        <f>IF(B2859="","",IF(COUNTIF($B$5:$B$3004,B2859)&gt;1,"DUPLICATE","OK"))</f>
        <v/>
      </c>
      <c r="Y2859" s="29">
        <f>IF(OR(U2859="",V2859="",V2859="Excluded"),"",IF(COUNTIFS($U$5:$U$3004,U2859,$V$5:$V$3004,"&lt;&gt;"&amp;V2859,$V$5:$V$3004,"&lt;&gt;",$V$5:$V$3004,"&lt;&gt;Excluded")&gt;0,"LEAK RISK","OK"))</f>
        <v/>
      </c>
      <c r="Z2859" s="30" t="n"/>
    </row>
    <row r="2860">
      <c r="A2860" s="30" t="n"/>
      <c r="B2860" s="30" t="n"/>
      <c r="C2860" s="30" t="n"/>
      <c r="D2860" s="30" t="n"/>
      <c r="E2860" s="30" t="n"/>
      <c r="F2860" s="30" t="n"/>
      <c r="G2860" s="30" t="n"/>
      <c r="H2860" s="30" t="n"/>
      <c r="I2860" s="31" t="n"/>
      <c r="J2860" s="30" t="n"/>
      <c r="K2860" s="30" t="n"/>
      <c r="L2860" s="30" t="n"/>
      <c r="M2860" s="30" t="n"/>
      <c r="N2860" s="32" t="n"/>
      <c r="O2860" s="30" t="n"/>
      <c r="P2860" s="32" t="n"/>
      <c r="Q2860" s="30" t="n"/>
      <c r="R2860" s="32" t="n"/>
      <c r="S2860" s="30" t="n"/>
      <c r="T2860" s="30" t="n"/>
      <c r="U2860" s="30" t="n"/>
      <c r="V2860" s="30" t="n"/>
      <c r="W2860" s="29">
        <f>IF(H2860="","",IF(H2860="Kenya","Yes","No"))</f>
        <v/>
      </c>
      <c r="X2860" s="29">
        <f>IF(B2860="","",IF(COUNTIF($B$5:$B$3004,B2860)&gt;1,"DUPLICATE","OK"))</f>
        <v/>
      </c>
      <c r="Y2860" s="29">
        <f>IF(OR(U2860="",V2860="",V2860="Excluded"),"",IF(COUNTIFS($U$5:$U$3004,U2860,$V$5:$V$3004,"&lt;&gt;"&amp;V2860,$V$5:$V$3004,"&lt;&gt;",$V$5:$V$3004,"&lt;&gt;Excluded")&gt;0,"LEAK RISK","OK"))</f>
        <v/>
      </c>
      <c r="Z2860" s="30" t="n"/>
    </row>
    <row r="2861">
      <c r="A2861" s="30" t="n"/>
      <c r="B2861" s="30" t="n"/>
      <c r="C2861" s="30" t="n"/>
      <c r="D2861" s="30" t="n"/>
      <c r="E2861" s="30" t="n"/>
      <c r="F2861" s="30" t="n"/>
      <c r="G2861" s="30" t="n"/>
      <c r="H2861" s="30" t="n"/>
      <c r="I2861" s="31" t="n"/>
      <c r="J2861" s="30" t="n"/>
      <c r="K2861" s="30" t="n"/>
      <c r="L2861" s="30" t="n"/>
      <c r="M2861" s="30" t="n"/>
      <c r="N2861" s="32" t="n"/>
      <c r="O2861" s="30" t="n"/>
      <c r="P2861" s="32" t="n"/>
      <c r="Q2861" s="30" t="n"/>
      <c r="R2861" s="32" t="n"/>
      <c r="S2861" s="30" t="n"/>
      <c r="T2861" s="30" t="n"/>
      <c r="U2861" s="30" t="n"/>
      <c r="V2861" s="30" t="n"/>
      <c r="W2861" s="29">
        <f>IF(H2861="","",IF(H2861="Kenya","Yes","No"))</f>
        <v/>
      </c>
      <c r="X2861" s="29">
        <f>IF(B2861="","",IF(COUNTIF($B$5:$B$3004,B2861)&gt;1,"DUPLICATE","OK"))</f>
        <v/>
      </c>
      <c r="Y2861" s="29">
        <f>IF(OR(U2861="",V2861="",V2861="Excluded"),"",IF(COUNTIFS($U$5:$U$3004,U2861,$V$5:$V$3004,"&lt;&gt;"&amp;V2861,$V$5:$V$3004,"&lt;&gt;",$V$5:$V$3004,"&lt;&gt;Excluded")&gt;0,"LEAK RISK","OK"))</f>
        <v/>
      </c>
      <c r="Z2861" s="30" t="n"/>
    </row>
    <row r="2862">
      <c r="A2862" s="30" t="n"/>
      <c r="B2862" s="30" t="n"/>
      <c r="C2862" s="30" t="n"/>
      <c r="D2862" s="30" t="n"/>
      <c r="E2862" s="30" t="n"/>
      <c r="F2862" s="30" t="n"/>
      <c r="G2862" s="30" t="n"/>
      <c r="H2862" s="30" t="n"/>
      <c r="I2862" s="31" t="n"/>
      <c r="J2862" s="30" t="n"/>
      <c r="K2862" s="30" t="n"/>
      <c r="L2862" s="30" t="n"/>
      <c r="M2862" s="30" t="n"/>
      <c r="N2862" s="32" t="n"/>
      <c r="O2862" s="30" t="n"/>
      <c r="P2862" s="32" t="n"/>
      <c r="Q2862" s="30" t="n"/>
      <c r="R2862" s="32" t="n"/>
      <c r="S2862" s="30" t="n"/>
      <c r="T2862" s="30" t="n"/>
      <c r="U2862" s="30" t="n"/>
      <c r="V2862" s="30" t="n"/>
      <c r="W2862" s="29">
        <f>IF(H2862="","",IF(H2862="Kenya","Yes","No"))</f>
        <v/>
      </c>
      <c r="X2862" s="29">
        <f>IF(B2862="","",IF(COUNTIF($B$5:$B$3004,B2862)&gt;1,"DUPLICATE","OK"))</f>
        <v/>
      </c>
      <c r="Y2862" s="29">
        <f>IF(OR(U2862="",V2862="",V2862="Excluded"),"",IF(COUNTIFS($U$5:$U$3004,U2862,$V$5:$V$3004,"&lt;&gt;"&amp;V2862,$V$5:$V$3004,"&lt;&gt;",$V$5:$V$3004,"&lt;&gt;Excluded")&gt;0,"LEAK RISK","OK"))</f>
        <v/>
      </c>
      <c r="Z2862" s="30" t="n"/>
    </row>
    <row r="2863">
      <c r="A2863" s="30" t="n"/>
      <c r="B2863" s="30" t="n"/>
      <c r="C2863" s="30" t="n"/>
      <c r="D2863" s="30" t="n"/>
      <c r="E2863" s="30" t="n"/>
      <c r="F2863" s="30" t="n"/>
      <c r="G2863" s="30" t="n"/>
      <c r="H2863" s="30" t="n"/>
      <c r="I2863" s="31" t="n"/>
      <c r="J2863" s="30" t="n"/>
      <c r="K2863" s="30" t="n"/>
      <c r="L2863" s="30" t="n"/>
      <c r="M2863" s="30" t="n"/>
      <c r="N2863" s="32" t="n"/>
      <c r="O2863" s="30" t="n"/>
      <c r="P2863" s="32" t="n"/>
      <c r="Q2863" s="30" t="n"/>
      <c r="R2863" s="32" t="n"/>
      <c r="S2863" s="30" t="n"/>
      <c r="T2863" s="30" t="n"/>
      <c r="U2863" s="30" t="n"/>
      <c r="V2863" s="30" t="n"/>
      <c r="W2863" s="29">
        <f>IF(H2863="","",IF(H2863="Kenya","Yes","No"))</f>
        <v/>
      </c>
      <c r="X2863" s="29">
        <f>IF(B2863="","",IF(COUNTIF($B$5:$B$3004,B2863)&gt;1,"DUPLICATE","OK"))</f>
        <v/>
      </c>
      <c r="Y2863" s="29">
        <f>IF(OR(U2863="",V2863="",V2863="Excluded"),"",IF(COUNTIFS($U$5:$U$3004,U2863,$V$5:$V$3004,"&lt;&gt;"&amp;V2863,$V$5:$V$3004,"&lt;&gt;",$V$5:$V$3004,"&lt;&gt;Excluded")&gt;0,"LEAK RISK","OK"))</f>
        <v/>
      </c>
      <c r="Z2863" s="30" t="n"/>
    </row>
    <row r="2864">
      <c r="A2864" s="30" t="n"/>
      <c r="B2864" s="30" t="n"/>
      <c r="C2864" s="30" t="n"/>
      <c r="D2864" s="30" t="n"/>
      <c r="E2864" s="30" t="n"/>
      <c r="F2864" s="30" t="n"/>
      <c r="G2864" s="30" t="n"/>
      <c r="H2864" s="30" t="n"/>
      <c r="I2864" s="31" t="n"/>
      <c r="J2864" s="30" t="n"/>
      <c r="K2864" s="30" t="n"/>
      <c r="L2864" s="30" t="n"/>
      <c r="M2864" s="30" t="n"/>
      <c r="N2864" s="32" t="n"/>
      <c r="O2864" s="30" t="n"/>
      <c r="P2864" s="32" t="n"/>
      <c r="Q2864" s="30" t="n"/>
      <c r="R2864" s="32" t="n"/>
      <c r="S2864" s="30" t="n"/>
      <c r="T2864" s="30" t="n"/>
      <c r="U2864" s="30" t="n"/>
      <c r="V2864" s="30" t="n"/>
      <c r="W2864" s="29">
        <f>IF(H2864="","",IF(H2864="Kenya","Yes","No"))</f>
        <v/>
      </c>
      <c r="X2864" s="29">
        <f>IF(B2864="","",IF(COUNTIF($B$5:$B$3004,B2864)&gt;1,"DUPLICATE","OK"))</f>
        <v/>
      </c>
      <c r="Y2864" s="29">
        <f>IF(OR(U2864="",V2864="",V2864="Excluded"),"",IF(COUNTIFS($U$5:$U$3004,U2864,$V$5:$V$3004,"&lt;&gt;"&amp;V2864,$V$5:$V$3004,"&lt;&gt;",$V$5:$V$3004,"&lt;&gt;Excluded")&gt;0,"LEAK RISK","OK"))</f>
        <v/>
      </c>
      <c r="Z2864" s="30" t="n"/>
    </row>
    <row r="2865">
      <c r="A2865" s="30" t="n"/>
      <c r="B2865" s="30" t="n"/>
      <c r="C2865" s="30" t="n"/>
      <c r="D2865" s="30" t="n"/>
      <c r="E2865" s="30" t="n"/>
      <c r="F2865" s="30" t="n"/>
      <c r="G2865" s="30" t="n"/>
      <c r="H2865" s="30" t="n"/>
      <c r="I2865" s="31" t="n"/>
      <c r="J2865" s="30" t="n"/>
      <c r="K2865" s="30" t="n"/>
      <c r="L2865" s="30" t="n"/>
      <c r="M2865" s="30" t="n"/>
      <c r="N2865" s="32" t="n"/>
      <c r="O2865" s="30" t="n"/>
      <c r="P2865" s="32" t="n"/>
      <c r="Q2865" s="30" t="n"/>
      <c r="R2865" s="32" t="n"/>
      <c r="S2865" s="30" t="n"/>
      <c r="T2865" s="30" t="n"/>
      <c r="U2865" s="30" t="n"/>
      <c r="V2865" s="30" t="n"/>
      <c r="W2865" s="29">
        <f>IF(H2865="","",IF(H2865="Kenya","Yes","No"))</f>
        <v/>
      </c>
      <c r="X2865" s="29">
        <f>IF(B2865="","",IF(COUNTIF($B$5:$B$3004,B2865)&gt;1,"DUPLICATE","OK"))</f>
        <v/>
      </c>
      <c r="Y2865" s="29">
        <f>IF(OR(U2865="",V2865="",V2865="Excluded"),"",IF(COUNTIFS($U$5:$U$3004,U2865,$V$5:$V$3004,"&lt;&gt;"&amp;V2865,$V$5:$V$3004,"&lt;&gt;",$V$5:$V$3004,"&lt;&gt;Excluded")&gt;0,"LEAK RISK","OK"))</f>
        <v/>
      </c>
      <c r="Z2865" s="30" t="n"/>
    </row>
    <row r="2866">
      <c r="A2866" s="30" t="n"/>
      <c r="B2866" s="30" t="n"/>
      <c r="C2866" s="30" t="n"/>
      <c r="D2866" s="30" t="n"/>
      <c r="E2866" s="30" t="n"/>
      <c r="F2866" s="30" t="n"/>
      <c r="G2866" s="30" t="n"/>
      <c r="H2866" s="30" t="n"/>
      <c r="I2866" s="31" t="n"/>
      <c r="J2866" s="30" t="n"/>
      <c r="K2866" s="30" t="n"/>
      <c r="L2866" s="30" t="n"/>
      <c r="M2866" s="30" t="n"/>
      <c r="N2866" s="32" t="n"/>
      <c r="O2866" s="30" t="n"/>
      <c r="P2866" s="32" t="n"/>
      <c r="Q2866" s="30" t="n"/>
      <c r="R2866" s="32" t="n"/>
      <c r="S2866" s="30" t="n"/>
      <c r="T2866" s="30" t="n"/>
      <c r="U2866" s="30" t="n"/>
      <c r="V2866" s="30" t="n"/>
      <c r="W2866" s="29">
        <f>IF(H2866="","",IF(H2866="Kenya","Yes","No"))</f>
        <v/>
      </c>
      <c r="X2866" s="29">
        <f>IF(B2866="","",IF(COUNTIF($B$5:$B$3004,B2866)&gt;1,"DUPLICATE","OK"))</f>
        <v/>
      </c>
      <c r="Y2866" s="29">
        <f>IF(OR(U2866="",V2866="",V2866="Excluded"),"",IF(COUNTIFS($U$5:$U$3004,U2866,$V$5:$V$3004,"&lt;&gt;"&amp;V2866,$V$5:$V$3004,"&lt;&gt;",$V$5:$V$3004,"&lt;&gt;Excluded")&gt;0,"LEAK RISK","OK"))</f>
        <v/>
      </c>
      <c r="Z2866" s="30" t="n"/>
    </row>
    <row r="2867">
      <c r="A2867" s="30" t="n"/>
      <c r="B2867" s="30" t="n"/>
      <c r="C2867" s="30" t="n"/>
      <c r="D2867" s="30" t="n"/>
      <c r="E2867" s="30" t="n"/>
      <c r="F2867" s="30" t="n"/>
      <c r="G2867" s="30" t="n"/>
      <c r="H2867" s="30" t="n"/>
      <c r="I2867" s="31" t="n"/>
      <c r="J2867" s="30" t="n"/>
      <c r="K2867" s="30" t="n"/>
      <c r="L2867" s="30" t="n"/>
      <c r="M2867" s="30" t="n"/>
      <c r="N2867" s="32" t="n"/>
      <c r="O2867" s="30" t="n"/>
      <c r="P2867" s="32" t="n"/>
      <c r="Q2867" s="30" t="n"/>
      <c r="R2867" s="32" t="n"/>
      <c r="S2867" s="30" t="n"/>
      <c r="T2867" s="30" t="n"/>
      <c r="U2867" s="30" t="n"/>
      <c r="V2867" s="30" t="n"/>
      <c r="W2867" s="29">
        <f>IF(H2867="","",IF(H2867="Kenya","Yes","No"))</f>
        <v/>
      </c>
      <c r="X2867" s="29">
        <f>IF(B2867="","",IF(COUNTIF($B$5:$B$3004,B2867)&gt;1,"DUPLICATE","OK"))</f>
        <v/>
      </c>
      <c r="Y2867" s="29">
        <f>IF(OR(U2867="",V2867="",V2867="Excluded"),"",IF(COUNTIFS($U$5:$U$3004,U2867,$V$5:$V$3004,"&lt;&gt;"&amp;V2867,$V$5:$V$3004,"&lt;&gt;",$V$5:$V$3004,"&lt;&gt;Excluded")&gt;0,"LEAK RISK","OK"))</f>
        <v/>
      </c>
      <c r="Z2867" s="30" t="n"/>
    </row>
    <row r="2868">
      <c r="A2868" s="30" t="n"/>
      <c r="B2868" s="30" t="n"/>
      <c r="C2868" s="30" t="n"/>
      <c r="D2868" s="30" t="n"/>
      <c r="E2868" s="30" t="n"/>
      <c r="F2868" s="30" t="n"/>
      <c r="G2868" s="30" t="n"/>
      <c r="H2868" s="30" t="n"/>
      <c r="I2868" s="31" t="n"/>
      <c r="J2868" s="30" t="n"/>
      <c r="K2868" s="30" t="n"/>
      <c r="L2868" s="30" t="n"/>
      <c r="M2868" s="30" t="n"/>
      <c r="N2868" s="32" t="n"/>
      <c r="O2868" s="30" t="n"/>
      <c r="P2868" s="32" t="n"/>
      <c r="Q2868" s="30" t="n"/>
      <c r="R2868" s="32" t="n"/>
      <c r="S2868" s="30" t="n"/>
      <c r="T2868" s="30" t="n"/>
      <c r="U2868" s="30" t="n"/>
      <c r="V2868" s="30" t="n"/>
      <c r="W2868" s="29">
        <f>IF(H2868="","",IF(H2868="Kenya","Yes","No"))</f>
        <v/>
      </c>
      <c r="X2868" s="29">
        <f>IF(B2868="","",IF(COUNTIF($B$5:$B$3004,B2868)&gt;1,"DUPLICATE","OK"))</f>
        <v/>
      </c>
      <c r="Y2868" s="29">
        <f>IF(OR(U2868="",V2868="",V2868="Excluded"),"",IF(COUNTIFS($U$5:$U$3004,U2868,$V$5:$V$3004,"&lt;&gt;"&amp;V2868,$V$5:$V$3004,"&lt;&gt;",$V$5:$V$3004,"&lt;&gt;Excluded")&gt;0,"LEAK RISK","OK"))</f>
        <v/>
      </c>
      <c r="Z2868" s="30" t="n"/>
    </row>
    <row r="2869">
      <c r="A2869" s="30" t="n"/>
      <c r="B2869" s="30" t="n"/>
      <c r="C2869" s="30" t="n"/>
      <c r="D2869" s="30" t="n"/>
      <c r="E2869" s="30" t="n"/>
      <c r="F2869" s="30" t="n"/>
      <c r="G2869" s="30" t="n"/>
      <c r="H2869" s="30" t="n"/>
      <c r="I2869" s="31" t="n"/>
      <c r="J2869" s="30" t="n"/>
      <c r="K2869" s="30" t="n"/>
      <c r="L2869" s="30" t="n"/>
      <c r="M2869" s="30" t="n"/>
      <c r="N2869" s="32" t="n"/>
      <c r="O2869" s="30" t="n"/>
      <c r="P2869" s="32" t="n"/>
      <c r="Q2869" s="30" t="n"/>
      <c r="R2869" s="32" t="n"/>
      <c r="S2869" s="30" t="n"/>
      <c r="T2869" s="30" t="n"/>
      <c r="U2869" s="30" t="n"/>
      <c r="V2869" s="30" t="n"/>
      <c r="W2869" s="29">
        <f>IF(H2869="","",IF(H2869="Kenya","Yes","No"))</f>
        <v/>
      </c>
      <c r="X2869" s="29">
        <f>IF(B2869="","",IF(COUNTIF($B$5:$B$3004,B2869)&gt;1,"DUPLICATE","OK"))</f>
        <v/>
      </c>
      <c r="Y2869" s="29">
        <f>IF(OR(U2869="",V2869="",V2869="Excluded"),"",IF(COUNTIFS($U$5:$U$3004,U2869,$V$5:$V$3004,"&lt;&gt;"&amp;V2869,$V$5:$V$3004,"&lt;&gt;",$V$5:$V$3004,"&lt;&gt;Excluded")&gt;0,"LEAK RISK","OK"))</f>
        <v/>
      </c>
      <c r="Z2869" s="30" t="n"/>
    </row>
    <row r="2870">
      <c r="A2870" s="30" t="n"/>
      <c r="B2870" s="30" t="n"/>
      <c r="C2870" s="30" t="n"/>
      <c r="D2870" s="30" t="n"/>
      <c r="E2870" s="30" t="n"/>
      <c r="F2870" s="30" t="n"/>
      <c r="G2870" s="30" t="n"/>
      <c r="H2870" s="30" t="n"/>
      <c r="I2870" s="31" t="n"/>
      <c r="J2870" s="30" t="n"/>
      <c r="K2870" s="30" t="n"/>
      <c r="L2870" s="30" t="n"/>
      <c r="M2870" s="30" t="n"/>
      <c r="N2870" s="32" t="n"/>
      <c r="O2870" s="30" t="n"/>
      <c r="P2870" s="32" t="n"/>
      <c r="Q2870" s="30" t="n"/>
      <c r="R2870" s="32" t="n"/>
      <c r="S2870" s="30" t="n"/>
      <c r="T2870" s="30" t="n"/>
      <c r="U2870" s="30" t="n"/>
      <c r="V2870" s="30" t="n"/>
      <c r="W2870" s="29">
        <f>IF(H2870="","",IF(H2870="Kenya","Yes","No"))</f>
        <v/>
      </c>
      <c r="X2870" s="29">
        <f>IF(B2870="","",IF(COUNTIF($B$5:$B$3004,B2870)&gt;1,"DUPLICATE","OK"))</f>
        <v/>
      </c>
      <c r="Y2870" s="29">
        <f>IF(OR(U2870="",V2870="",V2870="Excluded"),"",IF(COUNTIFS($U$5:$U$3004,U2870,$V$5:$V$3004,"&lt;&gt;"&amp;V2870,$V$5:$V$3004,"&lt;&gt;",$V$5:$V$3004,"&lt;&gt;Excluded")&gt;0,"LEAK RISK","OK"))</f>
        <v/>
      </c>
      <c r="Z2870" s="30" t="n"/>
    </row>
    <row r="2871">
      <c r="A2871" s="30" t="n"/>
      <c r="B2871" s="30" t="n"/>
      <c r="C2871" s="30" t="n"/>
      <c r="D2871" s="30" t="n"/>
      <c r="E2871" s="30" t="n"/>
      <c r="F2871" s="30" t="n"/>
      <c r="G2871" s="30" t="n"/>
      <c r="H2871" s="30" t="n"/>
      <c r="I2871" s="31" t="n"/>
      <c r="J2871" s="30" t="n"/>
      <c r="K2871" s="30" t="n"/>
      <c r="L2871" s="30" t="n"/>
      <c r="M2871" s="30" t="n"/>
      <c r="N2871" s="32" t="n"/>
      <c r="O2871" s="30" t="n"/>
      <c r="P2871" s="32" t="n"/>
      <c r="Q2871" s="30" t="n"/>
      <c r="R2871" s="32" t="n"/>
      <c r="S2871" s="30" t="n"/>
      <c r="T2871" s="30" t="n"/>
      <c r="U2871" s="30" t="n"/>
      <c r="V2871" s="30" t="n"/>
      <c r="W2871" s="29">
        <f>IF(H2871="","",IF(H2871="Kenya","Yes","No"))</f>
        <v/>
      </c>
      <c r="X2871" s="29">
        <f>IF(B2871="","",IF(COUNTIF($B$5:$B$3004,B2871)&gt;1,"DUPLICATE","OK"))</f>
        <v/>
      </c>
      <c r="Y2871" s="29">
        <f>IF(OR(U2871="",V2871="",V2871="Excluded"),"",IF(COUNTIFS($U$5:$U$3004,U2871,$V$5:$V$3004,"&lt;&gt;"&amp;V2871,$V$5:$V$3004,"&lt;&gt;",$V$5:$V$3004,"&lt;&gt;Excluded")&gt;0,"LEAK RISK","OK"))</f>
        <v/>
      </c>
      <c r="Z2871" s="30" t="n"/>
    </row>
    <row r="2872">
      <c r="A2872" s="30" t="n"/>
      <c r="B2872" s="30" t="n"/>
      <c r="C2872" s="30" t="n"/>
      <c r="D2872" s="30" t="n"/>
      <c r="E2872" s="30" t="n"/>
      <c r="F2872" s="30" t="n"/>
      <c r="G2872" s="30" t="n"/>
      <c r="H2872" s="30" t="n"/>
      <c r="I2872" s="31" t="n"/>
      <c r="J2872" s="30" t="n"/>
      <c r="K2872" s="30" t="n"/>
      <c r="L2872" s="30" t="n"/>
      <c r="M2872" s="30" t="n"/>
      <c r="N2872" s="32" t="n"/>
      <c r="O2872" s="30" t="n"/>
      <c r="P2872" s="32" t="n"/>
      <c r="Q2872" s="30" t="n"/>
      <c r="R2872" s="32" t="n"/>
      <c r="S2872" s="30" t="n"/>
      <c r="T2872" s="30" t="n"/>
      <c r="U2872" s="30" t="n"/>
      <c r="V2872" s="30" t="n"/>
      <c r="W2872" s="29">
        <f>IF(H2872="","",IF(H2872="Kenya","Yes","No"))</f>
        <v/>
      </c>
      <c r="X2872" s="29">
        <f>IF(B2872="","",IF(COUNTIF($B$5:$B$3004,B2872)&gt;1,"DUPLICATE","OK"))</f>
        <v/>
      </c>
      <c r="Y2872" s="29">
        <f>IF(OR(U2872="",V2872="",V2872="Excluded"),"",IF(COUNTIFS($U$5:$U$3004,U2872,$V$5:$V$3004,"&lt;&gt;"&amp;V2872,$V$5:$V$3004,"&lt;&gt;",$V$5:$V$3004,"&lt;&gt;Excluded")&gt;0,"LEAK RISK","OK"))</f>
        <v/>
      </c>
      <c r="Z2872" s="30" t="n"/>
    </row>
    <row r="2873">
      <c r="A2873" s="30" t="n"/>
      <c r="B2873" s="30" t="n"/>
      <c r="C2873" s="30" t="n"/>
      <c r="D2873" s="30" t="n"/>
      <c r="E2873" s="30" t="n"/>
      <c r="F2873" s="30" t="n"/>
      <c r="G2873" s="30" t="n"/>
      <c r="H2873" s="30" t="n"/>
      <c r="I2873" s="31" t="n"/>
      <c r="J2873" s="30" t="n"/>
      <c r="K2873" s="30" t="n"/>
      <c r="L2873" s="30" t="n"/>
      <c r="M2873" s="30" t="n"/>
      <c r="N2873" s="32" t="n"/>
      <c r="O2873" s="30" t="n"/>
      <c r="P2873" s="32" t="n"/>
      <c r="Q2873" s="30" t="n"/>
      <c r="R2873" s="32" t="n"/>
      <c r="S2873" s="30" t="n"/>
      <c r="T2873" s="30" t="n"/>
      <c r="U2873" s="30" t="n"/>
      <c r="V2873" s="30" t="n"/>
      <c r="W2873" s="29">
        <f>IF(H2873="","",IF(H2873="Kenya","Yes","No"))</f>
        <v/>
      </c>
      <c r="X2873" s="29">
        <f>IF(B2873="","",IF(COUNTIF($B$5:$B$3004,B2873)&gt;1,"DUPLICATE","OK"))</f>
        <v/>
      </c>
      <c r="Y2873" s="29">
        <f>IF(OR(U2873="",V2873="",V2873="Excluded"),"",IF(COUNTIFS($U$5:$U$3004,U2873,$V$5:$V$3004,"&lt;&gt;"&amp;V2873,$V$5:$V$3004,"&lt;&gt;",$V$5:$V$3004,"&lt;&gt;Excluded")&gt;0,"LEAK RISK","OK"))</f>
        <v/>
      </c>
      <c r="Z2873" s="30" t="n"/>
    </row>
    <row r="2874">
      <c r="A2874" s="30" t="n"/>
      <c r="B2874" s="30" t="n"/>
      <c r="C2874" s="30" t="n"/>
      <c r="D2874" s="30" t="n"/>
      <c r="E2874" s="30" t="n"/>
      <c r="F2874" s="30" t="n"/>
      <c r="G2874" s="30" t="n"/>
      <c r="H2874" s="30" t="n"/>
      <c r="I2874" s="31" t="n"/>
      <c r="J2874" s="30" t="n"/>
      <c r="K2874" s="30" t="n"/>
      <c r="L2874" s="30" t="n"/>
      <c r="M2874" s="30" t="n"/>
      <c r="N2874" s="32" t="n"/>
      <c r="O2874" s="30" t="n"/>
      <c r="P2874" s="32" t="n"/>
      <c r="Q2874" s="30" t="n"/>
      <c r="R2874" s="32" t="n"/>
      <c r="S2874" s="30" t="n"/>
      <c r="T2874" s="30" t="n"/>
      <c r="U2874" s="30" t="n"/>
      <c r="V2874" s="30" t="n"/>
      <c r="W2874" s="29">
        <f>IF(H2874="","",IF(H2874="Kenya","Yes","No"))</f>
        <v/>
      </c>
      <c r="X2874" s="29">
        <f>IF(B2874="","",IF(COUNTIF($B$5:$B$3004,B2874)&gt;1,"DUPLICATE","OK"))</f>
        <v/>
      </c>
      <c r="Y2874" s="29">
        <f>IF(OR(U2874="",V2874="",V2874="Excluded"),"",IF(COUNTIFS($U$5:$U$3004,U2874,$V$5:$V$3004,"&lt;&gt;"&amp;V2874,$V$5:$V$3004,"&lt;&gt;",$V$5:$V$3004,"&lt;&gt;Excluded")&gt;0,"LEAK RISK","OK"))</f>
        <v/>
      </c>
      <c r="Z2874" s="30" t="n"/>
    </row>
    <row r="2875">
      <c r="A2875" s="30" t="n"/>
      <c r="B2875" s="30" t="n"/>
      <c r="C2875" s="30" t="n"/>
      <c r="D2875" s="30" t="n"/>
      <c r="E2875" s="30" t="n"/>
      <c r="F2875" s="30" t="n"/>
      <c r="G2875" s="30" t="n"/>
      <c r="H2875" s="30" t="n"/>
      <c r="I2875" s="31" t="n"/>
      <c r="J2875" s="30" t="n"/>
      <c r="K2875" s="30" t="n"/>
      <c r="L2875" s="30" t="n"/>
      <c r="M2875" s="30" t="n"/>
      <c r="N2875" s="32" t="n"/>
      <c r="O2875" s="30" t="n"/>
      <c r="P2875" s="32" t="n"/>
      <c r="Q2875" s="30" t="n"/>
      <c r="R2875" s="32" t="n"/>
      <c r="S2875" s="30" t="n"/>
      <c r="T2875" s="30" t="n"/>
      <c r="U2875" s="30" t="n"/>
      <c r="V2875" s="30" t="n"/>
      <c r="W2875" s="29">
        <f>IF(H2875="","",IF(H2875="Kenya","Yes","No"))</f>
        <v/>
      </c>
      <c r="X2875" s="29">
        <f>IF(B2875="","",IF(COUNTIF($B$5:$B$3004,B2875)&gt;1,"DUPLICATE","OK"))</f>
        <v/>
      </c>
      <c r="Y2875" s="29">
        <f>IF(OR(U2875="",V2875="",V2875="Excluded"),"",IF(COUNTIFS($U$5:$U$3004,U2875,$V$5:$V$3004,"&lt;&gt;"&amp;V2875,$V$5:$V$3004,"&lt;&gt;",$V$5:$V$3004,"&lt;&gt;Excluded")&gt;0,"LEAK RISK","OK"))</f>
        <v/>
      </c>
      <c r="Z2875" s="30" t="n"/>
    </row>
    <row r="2876">
      <c r="A2876" s="30" t="n"/>
      <c r="B2876" s="30" t="n"/>
      <c r="C2876" s="30" t="n"/>
      <c r="D2876" s="30" t="n"/>
      <c r="E2876" s="30" t="n"/>
      <c r="F2876" s="30" t="n"/>
      <c r="G2876" s="30" t="n"/>
      <c r="H2876" s="30" t="n"/>
      <c r="I2876" s="31" t="n"/>
      <c r="J2876" s="30" t="n"/>
      <c r="K2876" s="30" t="n"/>
      <c r="L2876" s="30" t="n"/>
      <c r="M2876" s="30" t="n"/>
      <c r="N2876" s="32" t="n"/>
      <c r="O2876" s="30" t="n"/>
      <c r="P2876" s="32" t="n"/>
      <c r="Q2876" s="30" t="n"/>
      <c r="R2876" s="32" t="n"/>
      <c r="S2876" s="30" t="n"/>
      <c r="T2876" s="30" t="n"/>
      <c r="U2876" s="30" t="n"/>
      <c r="V2876" s="30" t="n"/>
      <c r="W2876" s="29">
        <f>IF(H2876="","",IF(H2876="Kenya","Yes","No"))</f>
        <v/>
      </c>
      <c r="X2876" s="29">
        <f>IF(B2876="","",IF(COUNTIF($B$5:$B$3004,B2876)&gt;1,"DUPLICATE","OK"))</f>
        <v/>
      </c>
      <c r="Y2876" s="29">
        <f>IF(OR(U2876="",V2876="",V2876="Excluded"),"",IF(COUNTIFS($U$5:$U$3004,U2876,$V$5:$V$3004,"&lt;&gt;"&amp;V2876,$V$5:$V$3004,"&lt;&gt;",$V$5:$V$3004,"&lt;&gt;Excluded")&gt;0,"LEAK RISK","OK"))</f>
        <v/>
      </c>
      <c r="Z2876" s="30" t="n"/>
    </row>
    <row r="2877">
      <c r="A2877" s="30" t="n"/>
      <c r="B2877" s="30" t="n"/>
      <c r="C2877" s="30" t="n"/>
      <c r="D2877" s="30" t="n"/>
      <c r="E2877" s="30" t="n"/>
      <c r="F2877" s="30" t="n"/>
      <c r="G2877" s="30" t="n"/>
      <c r="H2877" s="30" t="n"/>
      <c r="I2877" s="31" t="n"/>
      <c r="J2877" s="30" t="n"/>
      <c r="K2877" s="30" t="n"/>
      <c r="L2877" s="30" t="n"/>
      <c r="M2877" s="30" t="n"/>
      <c r="N2877" s="32" t="n"/>
      <c r="O2877" s="30" t="n"/>
      <c r="P2877" s="32" t="n"/>
      <c r="Q2877" s="30" t="n"/>
      <c r="R2877" s="32" t="n"/>
      <c r="S2877" s="30" t="n"/>
      <c r="T2877" s="30" t="n"/>
      <c r="U2877" s="30" t="n"/>
      <c r="V2877" s="30" t="n"/>
      <c r="W2877" s="29">
        <f>IF(H2877="","",IF(H2877="Kenya","Yes","No"))</f>
        <v/>
      </c>
      <c r="X2877" s="29">
        <f>IF(B2877="","",IF(COUNTIF($B$5:$B$3004,B2877)&gt;1,"DUPLICATE","OK"))</f>
        <v/>
      </c>
      <c r="Y2877" s="29">
        <f>IF(OR(U2877="",V2877="",V2877="Excluded"),"",IF(COUNTIFS($U$5:$U$3004,U2877,$V$5:$V$3004,"&lt;&gt;"&amp;V2877,$V$5:$V$3004,"&lt;&gt;",$V$5:$V$3004,"&lt;&gt;Excluded")&gt;0,"LEAK RISK","OK"))</f>
        <v/>
      </c>
      <c r="Z2877" s="30" t="n"/>
    </row>
    <row r="2878">
      <c r="A2878" s="30" t="n"/>
      <c r="B2878" s="30" t="n"/>
      <c r="C2878" s="30" t="n"/>
      <c r="D2878" s="30" t="n"/>
      <c r="E2878" s="30" t="n"/>
      <c r="F2878" s="30" t="n"/>
      <c r="G2878" s="30" t="n"/>
      <c r="H2878" s="30" t="n"/>
      <c r="I2878" s="31" t="n"/>
      <c r="J2878" s="30" t="n"/>
      <c r="K2878" s="30" t="n"/>
      <c r="L2878" s="30" t="n"/>
      <c r="M2878" s="30" t="n"/>
      <c r="N2878" s="32" t="n"/>
      <c r="O2878" s="30" t="n"/>
      <c r="P2878" s="32" t="n"/>
      <c r="Q2878" s="30" t="n"/>
      <c r="R2878" s="32" t="n"/>
      <c r="S2878" s="30" t="n"/>
      <c r="T2878" s="30" t="n"/>
      <c r="U2878" s="30" t="n"/>
      <c r="V2878" s="30" t="n"/>
      <c r="W2878" s="29">
        <f>IF(H2878="","",IF(H2878="Kenya","Yes","No"))</f>
        <v/>
      </c>
      <c r="X2878" s="29">
        <f>IF(B2878="","",IF(COUNTIF($B$5:$B$3004,B2878)&gt;1,"DUPLICATE","OK"))</f>
        <v/>
      </c>
      <c r="Y2878" s="29">
        <f>IF(OR(U2878="",V2878="",V2878="Excluded"),"",IF(COUNTIFS($U$5:$U$3004,U2878,$V$5:$V$3004,"&lt;&gt;"&amp;V2878,$V$5:$V$3004,"&lt;&gt;",$V$5:$V$3004,"&lt;&gt;Excluded")&gt;0,"LEAK RISK","OK"))</f>
        <v/>
      </c>
      <c r="Z2878" s="30" t="n"/>
    </row>
    <row r="2879">
      <c r="A2879" s="30" t="n"/>
      <c r="B2879" s="30" t="n"/>
      <c r="C2879" s="30" t="n"/>
      <c r="D2879" s="30" t="n"/>
      <c r="E2879" s="30" t="n"/>
      <c r="F2879" s="30" t="n"/>
      <c r="G2879" s="30" t="n"/>
      <c r="H2879" s="30" t="n"/>
      <c r="I2879" s="31" t="n"/>
      <c r="J2879" s="30" t="n"/>
      <c r="K2879" s="30" t="n"/>
      <c r="L2879" s="30" t="n"/>
      <c r="M2879" s="30" t="n"/>
      <c r="N2879" s="32" t="n"/>
      <c r="O2879" s="30" t="n"/>
      <c r="P2879" s="32" t="n"/>
      <c r="Q2879" s="30" t="n"/>
      <c r="R2879" s="32" t="n"/>
      <c r="S2879" s="30" t="n"/>
      <c r="T2879" s="30" t="n"/>
      <c r="U2879" s="30" t="n"/>
      <c r="V2879" s="30" t="n"/>
      <c r="W2879" s="29">
        <f>IF(H2879="","",IF(H2879="Kenya","Yes","No"))</f>
        <v/>
      </c>
      <c r="X2879" s="29">
        <f>IF(B2879="","",IF(COUNTIF($B$5:$B$3004,B2879)&gt;1,"DUPLICATE","OK"))</f>
        <v/>
      </c>
      <c r="Y2879" s="29">
        <f>IF(OR(U2879="",V2879="",V2879="Excluded"),"",IF(COUNTIFS($U$5:$U$3004,U2879,$V$5:$V$3004,"&lt;&gt;"&amp;V2879,$V$5:$V$3004,"&lt;&gt;",$V$5:$V$3004,"&lt;&gt;Excluded")&gt;0,"LEAK RISK","OK"))</f>
        <v/>
      </c>
      <c r="Z2879" s="30" t="n"/>
    </row>
    <row r="2880">
      <c r="A2880" s="30" t="n"/>
      <c r="B2880" s="30" t="n"/>
      <c r="C2880" s="30" t="n"/>
      <c r="D2880" s="30" t="n"/>
      <c r="E2880" s="30" t="n"/>
      <c r="F2880" s="30" t="n"/>
      <c r="G2880" s="30" t="n"/>
      <c r="H2880" s="30" t="n"/>
      <c r="I2880" s="31" t="n"/>
      <c r="J2880" s="30" t="n"/>
      <c r="K2880" s="30" t="n"/>
      <c r="L2880" s="30" t="n"/>
      <c r="M2880" s="30" t="n"/>
      <c r="N2880" s="32" t="n"/>
      <c r="O2880" s="30" t="n"/>
      <c r="P2880" s="32" t="n"/>
      <c r="Q2880" s="30" t="n"/>
      <c r="R2880" s="32" t="n"/>
      <c r="S2880" s="30" t="n"/>
      <c r="T2880" s="30" t="n"/>
      <c r="U2880" s="30" t="n"/>
      <c r="V2880" s="30" t="n"/>
      <c r="W2880" s="29">
        <f>IF(H2880="","",IF(H2880="Kenya","Yes","No"))</f>
        <v/>
      </c>
      <c r="X2880" s="29">
        <f>IF(B2880="","",IF(COUNTIF($B$5:$B$3004,B2880)&gt;1,"DUPLICATE","OK"))</f>
        <v/>
      </c>
      <c r="Y2880" s="29">
        <f>IF(OR(U2880="",V2880="",V2880="Excluded"),"",IF(COUNTIFS($U$5:$U$3004,U2880,$V$5:$V$3004,"&lt;&gt;"&amp;V2880,$V$5:$V$3004,"&lt;&gt;",$V$5:$V$3004,"&lt;&gt;Excluded")&gt;0,"LEAK RISK","OK"))</f>
        <v/>
      </c>
      <c r="Z2880" s="30" t="n"/>
    </row>
    <row r="2881">
      <c r="A2881" s="30" t="n"/>
      <c r="B2881" s="30" t="n"/>
      <c r="C2881" s="30" t="n"/>
      <c r="D2881" s="30" t="n"/>
      <c r="E2881" s="30" t="n"/>
      <c r="F2881" s="30" t="n"/>
      <c r="G2881" s="30" t="n"/>
      <c r="H2881" s="30" t="n"/>
      <c r="I2881" s="31" t="n"/>
      <c r="J2881" s="30" t="n"/>
      <c r="K2881" s="30" t="n"/>
      <c r="L2881" s="30" t="n"/>
      <c r="M2881" s="30" t="n"/>
      <c r="N2881" s="32" t="n"/>
      <c r="O2881" s="30" t="n"/>
      <c r="P2881" s="32" t="n"/>
      <c r="Q2881" s="30" t="n"/>
      <c r="R2881" s="32" t="n"/>
      <c r="S2881" s="30" t="n"/>
      <c r="T2881" s="30" t="n"/>
      <c r="U2881" s="30" t="n"/>
      <c r="V2881" s="30" t="n"/>
      <c r="W2881" s="29">
        <f>IF(H2881="","",IF(H2881="Kenya","Yes","No"))</f>
        <v/>
      </c>
      <c r="X2881" s="29">
        <f>IF(B2881="","",IF(COUNTIF($B$5:$B$3004,B2881)&gt;1,"DUPLICATE","OK"))</f>
        <v/>
      </c>
      <c r="Y2881" s="29">
        <f>IF(OR(U2881="",V2881="",V2881="Excluded"),"",IF(COUNTIFS($U$5:$U$3004,U2881,$V$5:$V$3004,"&lt;&gt;"&amp;V2881,$V$5:$V$3004,"&lt;&gt;",$V$5:$V$3004,"&lt;&gt;Excluded")&gt;0,"LEAK RISK","OK"))</f>
        <v/>
      </c>
      <c r="Z2881" s="30" t="n"/>
    </row>
    <row r="2882">
      <c r="A2882" s="30" t="n"/>
      <c r="B2882" s="30" t="n"/>
      <c r="C2882" s="30" t="n"/>
      <c r="D2882" s="30" t="n"/>
      <c r="E2882" s="30" t="n"/>
      <c r="F2882" s="30" t="n"/>
      <c r="G2882" s="30" t="n"/>
      <c r="H2882" s="30" t="n"/>
      <c r="I2882" s="31" t="n"/>
      <c r="J2882" s="30" t="n"/>
      <c r="K2882" s="30" t="n"/>
      <c r="L2882" s="30" t="n"/>
      <c r="M2882" s="30" t="n"/>
      <c r="N2882" s="32" t="n"/>
      <c r="O2882" s="30" t="n"/>
      <c r="P2882" s="32" t="n"/>
      <c r="Q2882" s="30" t="n"/>
      <c r="R2882" s="32" t="n"/>
      <c r="S2882" s="30" t="n"/>
      <c r="T2882" s="30" t="n"/>
      <c r="U2882" s="30" t="n"/>
      <c r="V2882" s="30" t="n"/>
      <c r="W2882" s="29">
        <f>IF(H2882="","",IF(H2882="Kenya","Yes","No"))</f>
        <v/>
      </c>
      <c r="X2882" s="29">
        <f>IF(B2882="","",IF(COUNTIF($B$5:$B$3004,B2882)&gt;1,"DUPLICATE","OK"))</f>
        <v/>
      </c>
      <c r="Y2882" s="29">
        <f>IF(OR(U2882="",V2882="",V2882="Excluded"),"",IF(COUNTIFS($U$5:$U$3004,U2882,$V$5:$V$3004,"&lt;&gt;"&amp;V2882,$V$5:$V$3004,"&lt;&gt;",$V$5:$V$3004,"&lt;&gt;Excluded")&gt;0,"LEAK RISK","OK"))</f>
        <v/>
      </c>
      <c r="Z2882" s="30" t="n"/>
    </row>
    <row r="2883">
      <c r="A2883" s="30" t="n"/>
      <c r="B2883" s="30" t="n"/>
      <c r="C2883" s="30" t="n"/>
      <c r="D2883" s="30" t="n"/>
      <c r="E2883" s="30" t="n"/>
      <c r="F2883" s="30" t="n"/>
      <c r="G2883" s="30" t="n"/>
      <c r="H2883" s="30" t="n"/>
      <c r="I2883" s="31" t="n"/>
      <c r="J2883" s="30" t="n"/>
      <c r="K2883" s="30" t="n"/>
      <c r="L2883" s="30" t="n"/>
      <c r="M2883" s="30" t="n"/>
      <c r="N2883" s="32" t="n"/>
      <c r="O2883" s="30" t="n"/>
      <c r="P2883" s="32" t="n"/>
      <c r="Q2883" s="30" t="n"/>
      <c r="R2883" s="32" t="n"/>
      <c r="S2883" s="30" t="n"/>
      <c r="T2883" s="30" t="n"/>
      <c r="U2883" s="30" t="n"/>
      <c r="V2883" s="30" t="n"/>
      <c r="W2883" s="29">
        <f>IF(H2883="","",IF(H2883="Kenya","Yes","No"))</f>
        <v/>
      </c>
      <c r="X2883" s="29">
        <f>IF(B2883="","",IF(COUNTIF($B$5:$B$3004,B2883)&gt;1,"DUPLICATE","OK"))</f>
        <v/>
      </c>
      <c r="Y2883" s="29">
        <f>IF(OR(U2883="",V2883="",V2883="Excluded"),"",IF(COUNTIFS($U$5:$U$3004,U2883,$V$5:$V$3004,"&lt;&gt;"&amp;V2883,$V$5:$V$3004,"&lt;&gt;",$V$5:$V$3004,"&lt;&gt;Excluded")&gt;0,"LEAK RISK","OK"))</f>
        <v/>
      </c>
      <c r="Z2883" s="30" t="n"/>
    </row>
    <row r="2884">
      <c r="A2884" s="30" t="n"/>
      <c r="B2884" s="30" t="n"/>
      <c r="C2884" s="30" t="n"/>
      <c r="D2884" s="30" t="n"/>
      <c r="E2884" s="30" t="n"/>
      <c r="F2884" s="30" t="n"/>
      <c r="G2884" s="30" t="n"/>
      <c r="H2884" s="30" t="n"/>
      <c r="I2884" s="31" t="n"/>
      <c r="J2884" s="30" t="n"/>
      <c r="K2884" s="30" t="n"/>
      <c r="L2884" s="30" t="n"/>
      <c r="M2884" s="30" t="n"/>
      <c r="N2884" s="32" t="n"/>
      <c r="O2884" s="30" t="n"/>
      <c r="P2884" s="32" t="n"/>
      <c r="Q2884" s="30" t="n"/>
      <c r="R2884" s="32" t="n"/>
      <c r="S2884" s="30" t="n"/>
      <c r="T2884" s="30" t="n"/>
      <c r="U2884" s="30" t="n"/>
      <c r="V2884" s="30" t="n"/>
      <c r="W2884" s="29">
        <f>IF(H2884="","",IF(H2884="Kenya","Yes","No"))</f>
        <v/>
      </c>
      <c r="X2884" s="29">
        <f>IF(B2884="","",IF(COUNTIF($B$5:$B$3004,B2884)&gt;1,"DUPLICATE","OK"))</f>
        <v/>
      </c>
      <c r="Y2884" s="29">
        <f>IF(OR(U2884="",V2884="",V2884="Excluded"),"",IF(COUNTIFS($U$5:$U$3004,U2884,$V$5:$V$3004,"&lt;&gt;"&amp;V2884,$V$5:$V$3004,"&lt;&gt;",$V$5:$V$3004,"&lt;&gt;Excluded")&gt;0,"LEAK RISK","OK"))</f>
        <v/>
      </c>
      <c r="Z2884" s="30" t="n"/>
    </row>
    <row r="2885">
      <c r="A2885" s="30" t="n"/>
      <c r="B2885" s="30" t="n"/>
      <c r="C2885" s="30" t="n"/>
      <c r="D2885" s="30" t="n"/>
      <c r="E2885" s="30" t="n"/>
      <c r="F2885" s="30" t="n"/>
      <c r="G2885" s="30" t="n"/>
      <c r="H2885" s="30" t="n"/>
      <c r="I2885" s="31" t="n"/>
      <c r="J2885" s="30" t="n"/>
      <c r="K2885" s="30" t="n"/>
      <c r="L2885" s="30" t="n"/>
      <c r="M2885" s="30" t="n"/>
      <c r="N2885" s="32" t="n"/>
      <c r="O2885" s="30" t="n"/>
      <c r="P2885" s="32" t="n"/>
      <c r="Q2885" s="30" t="n"/>
      <c r="R2885" s="32" t="n"/>
      <c r="S2885" s="30" t="n"/>
      <c r="T2885" s="30" t="n"/>
      <c r="U2885" s="30" t="n"/>
      <c r="V2885" s="30" t="n"/>
      <c r="W2885" s="29">
        <f>IF(H2885="","",IF(H2885="Kenya","Yes","No"))</f>
        <v/>
      </c>
      <c r="X2885" s="29">
        <f>IF(B2885="","",IF(COUNTIF($B$5:$B$3004,B2885)&gt;1,"DUPLICATE","OK"))</f>
        <v/>
      </c>
      <c r="Y2885" s="29">
        <f>IF(OR(U2885="",V2885="",V2885="Excluded"),"",IF(COUNTIFS($U$5:$U$3004,U2885,$V$5:$V$3004,"&lt;&gt;"&amp;V2885,$V$5:$V$3004,"&lt;&gt;",$V$5:$V$3004,"&lt;&gt;Excluded")&gt;0,"LEAK RISK","OK"))</f>
        <v/>
      </c>
      <c r="Z2885" s="30" t="n"/>
    </row>
    <row r="2886">
      <c r="A2886" s="30" t="n"/>
      <c r="B2886" s="30" t="n"/>
      <c r="C2886" s="30" t="n"/>
      <c r="D2886" s="30" t="n"/>
      <c r="E2886" s="30" t="n"/>
      <c r="F2886" s="30" t="n"/>
      <c r="G2886" s="30" t="n"/>
      <c r="H2886" s="30" t="n"/>
      <c r="I2886" s="31" t="n"/>
      <c r="J2886" s="30" t="n"/>
      <c r="K2886" s="30" t="n"/>
      <c r="L2886" s="30" t="n"/>
      <c r="M2886" s="30" t="n"/>
      <c r="N2886" s="32" t="n"/>
      <c r="O2886" s="30" t="n"/>
      <c r="P2886" s="32" t="n"/>
      <c r="Q2886" s="30" t="n"/>
      <c r="R2886" s="32" t="n"/>
      <c r="S2886" s="30" t="n"/>
      <c r="T2886" s="30" t="n"/>
      <c r="U2886" s="30" t="n"/>
      <c r="V2886" s="30" t="n"/>
      <c r="W2886" s="29">
        <f>IF(H2886="","",IF(H2886="Kenya","Yes","No"))</f>
        <v/>
      </c>
      <c r="X2886" s="29">
        <f>IF(B2886="","",IF(COUNTIF($B$5:$B$3004,B2886)&gt;1,"DUPLICATE","OK"))</f>
        <v/>
      </c>
      <c r="Y2886" s="29">
        <f>IF(OR(U2886="",V2886="",V2886="Excluded"),"",IF(COUNTIFS($U$5:$U$3004,U2886,$V$5:$V$3004,"&lt;&gt;"&amp;V2886,$V$5:$V$3004,"&lt;&gt;",$V$5:$V$3004,"&lt;&gt;Excluded")&gt;0,"LEAK RISK","OK"))</f>
        <v/>
      </c>
      <c r="Z2886" s="30" t="n"/>
    </row>
    <row r="2887">
      <c r="A2887" s="30" t="n"/>
      <c r="B2887" s="30" t="n"/>
      <c r="C2887" s="30" t="n"/>
      <c r="D2887" s="30" t="n"/>
      <c r="E2887" s="30" t="n"/>
      <c r="F2887" s="30" t="n"/>
      <c r="G2887" s="30" t="n"/>
      <c r="H2887" s="30" t="n"/>
      <c r="I2887" s="31" t="n"/>
      <c r="J2887" s="30" t="n"/>
      <c r="K2887" s="30" t="n"/>
      <c r="L2887" s="30" t="n"/>
      <c r="M2887" s="30" t="n"/>
      <c r="N2887" s="32" t="n"/>
      <c r="O2887" s="30" t="n"/>
      <c r="P2887" s="32" t="n"/>
      <c r="Q2887" s="30" t="n"/>
      <c r="R2887" s="32" t="n"/>
      <c r="S2887" s="30" t="n"/>
      <c r="T2887" s="30" t="n"/>
      <c r="U2887" s="30" t="n"/>
      <c r="V2887" s="30" t="n"/>
      <c r="W2887" s="29">
        <f>IF(H2887="","",IF(H2887="Kenya","Yes","No"))</f>
        <v/>
      </c>
      <c r="X2887" s="29">
        <f>IF(B2887="","",IF(COUNTIF($B$5:$B$3004,B2887)&gt;1,"DUPLICATE","OK"))</f>
        <v/>
      </c>
      <c r="Y2887" s="29">
        <f>IF(OR(U2887="",V2887="",V2887="Excluded"),"",IF(COUNTIFS($U$5:$U$3004,U2887,$V$5:$V$3004,"&lt;&gt;"&amp;V2887,$V$5:$V$3004,"&lt;&gt;",$V$5:$V$3004,"&lt;&gt;Excluded")&gt;0,"LEAK RISK","OK"))</f>
        <v/>
      </c>
      <c r="Z2887" s="30" t="n"/>
    </row>
    <row r="2888">
      <c r="A2888" s="30" t="n"/>
      <c r="B2888" s="30" t="n"/>
      <c r="C2888" s="30" t="n"/>
      <c r="D2888" s="30" t="n"/>
      <c r="E2888" s="30" t="n"/>
      <c r="F2888" s="30" t="n"/>
      <c r="G2888" s="30" t="n"/>
      <c r="H2888" s="30" t="n"/>
      <c r="I2888" s="31" t="n"/>
      <c r="J2888" s="30" t="n"/>
      <c r="K2888" s="30" t="n"/>
      <c r="L2888" s="30" t="n"/>
      <c r="M2888" s="30" t="n"/>
      <c r="N2888" s="32" t="n"/>
      <c r="O2888" s="30" t="n"/>
      <c r="P2888" s="32" t="n"/>
      <c r="Q2888" s="30" t="n"/>
      <c r="R2888" s="32" t="n"/>
      <c r="S2888" s="30" t="n"/>
      <c r="T2888" s="30" t="n"/>
      <c r="U2888" s="30" t="n"/>
      <c r="V2888" s="30" t="n"/>
      <c r="W2888" s="29">
        <f>IF(H2888="","",IF(H2888="Kenya","Yes","No"))</f>
        <v/>
      </c>
      <c r="X2888" s="29">
        <f>IF(B2888="","",IF(COUNTIF($B$5:$B$3004,B2888)&gt;1,"DUPLICATE","OK"))</f>
        <v/>
      </c>
      <c r="Y2888" s="29">
        <f>IF(OR(U2888="",V2888="",V2888="Excluded"),"",IF(COUNTIFS($U$5:$U$3004,U2888,$V$5:$V$3004,"&lt;&gt;"&amp;V2888,$V$5:$V$3004,"&lt;&gt;",$V$5:$V$3004,"&lt;&gt;Excluded")&gt;0,"LEAK RISK","OK"))</f>
        <v/>
      </c>
      <c r="Z2888" s="30" t="n"/>
    </row>
    <row r="2889">
      <c r="A2889" s="30" t="n"/>
      <c r="B2889" s="30" t="n"/>
      <c r="C2889" s="30" t="n"/>
      <c r="D2889" s="30" t="n"/>
      <c r="E2889" s="30" t="n"/>
      <c r="F2889" s="30" t="n"/>
      <c r="G2889" s="30" t="n"/>
      <c r="H2889" s="30" t="n"/>
      <c r="I2889" s="31" t="n"/>
      <c r="J2889" s="30" t="n"/>
      <c r="K2889" s="30" t="n"/>
      <c r="L2889" s="30" t="n"/>
      <c r="M2889" s="30" t="n"/>
      <c r="N2889" s="32" t="n"/>
      <c r="O2889" s="30" t="n"/>
      <c r="P2889" s="32" t="n"/>
      <c r="Q2889" s="30" t="n"/>
      <c r="R2889" s="32" t="n"/>
      <c r="S2889" s="30" t="n"/>
      <c r="T2889" s="30" t="n"/>
      <c r="U2889" s="30" t="n"/>
      <c r="V2889" s="30" t="n"/>
      <c r="W2889" s="29">
        <f>IF(H2889="","",IF(H2889="Kenya","Yes","No"))</f>
        <v/>
      </c>
      <c r="X2889" s="29">
        <f>IF(B2889="","",IF(COUNTIF($B$5:$B$3004,B2889)&gt;1,"DUPLICATE","OK"))</f>
        <v/>
      </c>
      <c r="Y2889" s="29">
        <f>IF(OR(U2889="",V2889="",V2889="Excluded"),"",IF(COUNTIFS($U$5:$U$3004,U2889,$V$5:$V$3004,"&lt;&gt;"&amp;V2889,$V$5:$V$3004,"&lt;&gt;",$V$5:$V$3004,"&lt;&gt;Excluded")&gt;0,"LEAK RISK","OK"))</f>
        <v/>
      </c>
      <c r="Z2889" s="30" t="n"/>
    </row>
    <row r="2890">
      <c r="A2890" s="30" t="n"/>
      <c r="B2890" s="30" t="n"/>
      <c r="C2890" s="30" t="n"/>
      <c r="D2890" s="30" t="n"/>
      <c r="E2890" s="30" t="n"/>
      <c r="F2890" s="30" t="n"/>
      <c r="G2890" s="30" t="n"/>
      <c r="H2890" s="30" t="n"/>
      <c r="I2890" s="31" t="n"/>
      <c r="J2890" s="30" t="n"/>
      <c r="K2890" s="30" t="n"/>
      <c r="L2890" s="30" t="n"/>
      <c r="M2890" s="30" t="n"/>
      <c r="N2890" s="32" t="n"/>
      <c r="O2890" s="30" t="n"/>
      <c r="P2890" s="32" t="n"/>
      <c r="Q2890" s="30" t="n"/>
      <c r="R2890" s="32" t="n"/>
      <c r="S2890" s="30" t="n"/>
      <c r="T2890" s="30" t="n"/>
      <c r="U2890" s="30" t="n"/>
      <c r="V2890" s="30" t="n"/>
      <c r="W2890" s="29">
        <f>IF(H2890="","",IF(H2890="Kenya","Yes","No"))</f>
        <v/>
      </c>
      <c r="X2890" s="29">
        <f>IF(B2890="","",IF(COUNTIF($B$5:$B$3004,B2890)&gt;1,"DUPLICATE","OK"))</f>
        <v/>
      </c>
      <c r="Y2890" s="29">
        <f>IF(OR(U2890="",V2890="",V2890="Excluded"),"",IF(COUNTIFS($U$5:$U$3004,U2890,$V$5:$V$3004,"&lt;&gt;"&amp;V2890,$V$5:$V$3004,"&lt;&gt;",$V$5:$V$3004,"&lt;&gt;Excluded")&gt;0,"LEAK RISK","OK"))</f>
        <v/>
      </c>
      <c r="Z2890" s="30" t="n"/>
    </row>
    <row r="2891">
      <c r="A2891" s="30" t="n"/>
      <c r="B2891" s="30" t="n"/>
      <c r="C2891" s="30" t="n"/>
      <c r="D2891" s="30" t="n"/>
      <c r="E2891" s="30" t="n"/>
      <c r="F2891" s="30" t="n"/>
      <c r="G2891" s="30" t="n"/>
      <c r="H2891" s="30" t="n"/>
      <c r="I2891" s="31" t="n"/>
      <c r="J2891" s="30" t="n"/>
      <c r="K2891" s="30" t="n"/>
      <c r="L2891" s="30" t="n"/>
      <c r="M2891" s="30" t="n"/>
      <c r="N2891" s="32" t="n"/>
      <c r="O2891" s="30" t="n"/>
      <c r="P2891" s="32" t="n"/>
      <c r="Q2891" s="30" t="n"/>
      <c r="R2891" s="32" t="n"/>
      <c r="S2891" s="30" t="n"/>
      <c r="T2891" s="30" t="n"/>
      <c r="U2891" s="30" t="n"/>
      <c r="V2891" s="30" t="n"/>
      <c r="W2891" s="29">
        <f>IF(H2891="","",IF(H2891="Kenya","Yes","No"))</f>
        <v/>
      </c>
      <c r="X2891" s="29">
        <f>IF(B2891="","",IF(COUNTIF($B$5:$B$3004,B2891)&gt;1,"DUPLICATE","OK"))</f>
        <v/>
      </c>
      <c r="Y2891" s="29">
        <f>IF(OR(U2891="",V2891="",V2891="Excluded"),"",IF(COUNTIFS($U$5:$U$3004,U2891,$V$5:$V$3004,"&lt;&gt;"&amp;V2891,$V$5:$V$3004,"&lt;&gt;",$V$5:$V$3004,"&lt;&gt;Excluded")&gt;0,"LEAK RISK","OK"))</f>
        <v/>
      </c>
      <c r="Z2891" s="30" t="n"/>
    </row>
    <row r="2892">
      <c r="A2892" s="30" t="n"/>
      <c r="B2892" s="30" t="n"/>
      <c r="C2892" s="30" t="n"/>
      <c r="D2892" s="30" t="n"/>
      <c r="E2892" s="30" t="n"/>
      <c r="F2892" s="30" t="n"/>
      <c r="G2892" s="30" t="n"/>
      <c r="H2892" s="30" t="n"/>
      <c r="I2892" s="31" t="n"/>
      <c r="J2892" s="30" t="n"/>
      <c r="K2892" s="30" t="n"/>
      <c r="L2892" s="30" t="n"/>
      <c r="M2892" s="30" t="n"/>
      <c r="N2892" s="32" t="n"/>
      <c r="O2892" s="30" t="n"/>
      <c r="P2892" s="32" t="n"/>
      <c r="Q2892" s="30" t="n"/>
      <c r="R2892" s="32" t="n"/>
      <c r="S2892" s="30" t="n"/>
      <c r="T2892" s="30" t="n"/>
      <c r="U2892" s="30" t="n"/>
      <c r="V2892" s="30" t="n"/>
      <c r="W2892" s="29">
        <f>IF(H2892="","",IF(H2892="Kenya","Yes","No"))</f>
        <v/>
      </c>
      <c r="X2892" s="29">
        <f>IF(B2892="","",IF(COUNTIF($B$5:$B$3004,B2892)&gt;1,"DUPLICATE","OK"))</f>
        <v/>
      </c>
      <c r="Y2892" s="29">
        <f>IF(OR(U2892="",V2892="",V2892="Excluded"),"",IF(COUNTIFS($U$5:$U$3004,U2892,$V$5:$V$3004,"&lt;&gt;"&amp;V2892,$V$5:$V$3004,"&lt;&gt;",$V$5:$V$3004,"&lt;&gt;Excluded")&gt;0,"LEAK RISK","OK"))</f>
        <v/>
      </c>
      <c r="Z2892" s="30" t="n"/>
    </row>
    <row r="2893">
      <c r="A2893" s="30" t="n"/>
      <c r="B2893" s="30" t="n"/>
      <c r="C2893" s="30" t="n"/>
      <c r="D2893" s="30" t="n"/>
      <c r="E2893" s="30" t="n"/>
      <c r="F2893" s="30" t="n"/>
      <c r="G2893" s="30" t="n"/>
      <c r="H2893" s="30" t="n"/>
      <c r="I2893" s="31" t="n"/>
      <c r="J2893" s="30" t="n"/>
      <c r="K2893" s="30" t="n"/>
      <c r="L2893" s="30" t="n"/>
      <c r="M2893" s="30" t="n"/>
      <c r="N2893" s="32" t="n"/>
      <c r="O2893" s="30" t="n"/>
      <c r="P2893" s="32" t="n"/>
      <c r="Q2893" s="30" t="n"/>
      <c r="R2893" s="32" t="n"/>
      <c r="S2893" s="30" t="n"/>
      <c r="T2893" s="30" t="n"/>
      <c r="U2893" s="30" t="n"/>
      <c r="V2893" s="30" t="n"/>
      <c r="W2893" s="29">
        <f>IF(H2893="","",IF(H2893="Kenya","Yes","No"))</f>
        <v/>
      </c>
      <c r="X2893" s="29">
        <f>IF(B2893="","",IF(COUNTIF($B$5:$B$3004,B2893)&gt;1,"DUPLICATE","OK"))</f>
        <v/>
      </c>
      <c r="Y2893" s="29">
        <f>IF(OR(U2893="",V2893="",V2893="Excluded"),"",IF(COUNTIFS($U$5:$U$3004,U2893,$V$5:$V$3004,"&lt;&gt;"&amp;V2893,$V$5:$V$3004,"&lt;&gt;",$V$5:$V$3004,"&lt;&gt;Excluded")&gt;0,"LEAK RISK","OK"))</f>
        <v/>
      </c>
      <c r="Z2893" s="30" t="n"/>
    </row>
    <row r="2894">
      <c r="A2894" s="30" t="n"/>
      <c r="B2894" s="30" t="n"/>
      <c r="C2894" s="30" t="n"/>
      <c r="D2894" s="30" t="n"/>
      <c r="E2894" s="30" t="n"/>
      <c r="F2894" s="30" t="n"/>
      <c r="G2894" s="30" t="n"/>
      <c r="H2894" s="30" t="n"/>
      <c r="I2894" s="31" t="n"/>
      <c r="J2894" s="30" t="n"/>
      <c r="K2894" s="30" t="n"/>
      <c r="L2894" s="30" t="n"/>
      <c r="M2894" s="30" t="n"/>
      <c r="N2894" s="32" t="n"/>
      <c r="O2894" s="30" t="n"/>
      <c r="P2894" s="32" t="n"/>
      <c r="Q2894" s="30" t="n"/>
      <c r="R2894" s="32" t="n"/>
      <c r="S2894" s="30" t="n"/>
      <c r="T2894" s="30" t="n"/>
      <c r="U2894" s="30" t="n"/>
      <c r="V2894" s="30" t="n"/>
      <c r="W2894" s="29">
        <f>IF(H2894="","",IF(H2894="Kenya","Yes","No"))</f>
        <v/>
      </c>
      <c r="X2894" s="29">
        <f>IF(B2894="","",IF(COUNTIF($B$5:$B$3004,B2894)&gt;1,"DUPLICATE","OK"))</f>
        <v/>
      </c>
      <c r="Y2894" s="29">
        <f>IF(OR(U2894="",V2894="",V2894="Excluded"),"",IF(COUNTIFS($U$5:$U$3004,U2894,$V$5:$V$3004,"&lt;&gt;"&amp;V2894,$V$5:$V$3004,"&lt;&gt;",$V$5:$V$3004,"&lt;&gt;Excluded")&gt;0,"LEAK RISK","OK"))</f>
        <v/>
      </c>
      <c r="Z2894" s="30" t="n"/>
    </row>
    <row r="2895">
      <c r="A2895" s="30" t="n"/>
      <c r="B2895" s="30" t="n"/>
      <c r="C2895" s="30" t="n"/>
      <c r="D2895" s="30" t="n"/>
      <c r="E2895" s="30" t="n"/>
      <c r="F2895" s="30" t="n"/>
      <c r="G2895" s="30" t="n"/>
      <c r="H2895" s="30" t="n"/>
      <c r="I2895" s="31" t="n"/>
      <c r="J2895" s="30" t="n"/>
      <c r="K2895" s="30" t="n"/>
      <c r="L2895" s="30" t="n"/>
      <c r="M2895" s="30" t="n"/>
      <c r="N2895" s="32" t="n"/>
      <c r="O2895" s="30" t="n"/>
      <c r="P2895" s="32" t="n"/>
      <c r="Q2895" s="30" t="n"/>
      <c r="R2895" s="32" t="n"/>
      <c r="S2895" s="30" t="n"/>
      <c r="T2895" s="30" t="n"/>
      <c r="U2895" s="30" t="n"/>
      <c r="V2895" s="30" t="n"/>
      <c r="W2895" s="29">
        <f>IF(H2895="","",IF(H2895="Kenya","Yes","No"))</f>
        <v/>
      </c>
      <c r="X2895" s="29">
        <f>IF(B2895="","",IF(COUNTIF($B$5:$B$3004,B2895)&gt;1,"DUPLICATE","OK"))</f>
        <v/>
      </c>
      <c r="Y2895" s="29">
        <f>IF(OR(U2895="",V2895="",V2895="Excluded"),"",IF(COUNTIFS($U$5:$U$3004,U2895,$V$5:$V$3004,"&lt;&gt;"&amp;V2895,$V$5:$V$3004,"&lt;&gt;",$V$5:$V$3004,"&lt;&gt;Excluded")&gt;0,"LEAK RISK","OK"))</f>
        <v/>
      </c>
      <c r="Z2895" s="30" t="n"/>
    </row>
    <row r="2896">
      <c r="A2896" s="30" t="n"/>
      <c r="B2896" s="30" t="n"/>
      <c r="C2896" s="30" t="n"/>
      <c r="D2896" s="30" t="n"/>
      <c r="E2896" s="30" t="n"/>
      <c r="F2896" s="30" t="n"/>
      <c r="G2896" s="30" t="n"/>
      <c r="H2896" s="30" t="n"/>
      <c r="I2896" s="31" t="n"/>
      <c r="J2896" s="30" t="n"/>
      <c r="K2896" s="30" t="n"/>
      <c r="L2896" s="30" t="n"/>
      <c r="M2896" s="30" t="n"/>
      <c r="N2896" s="32" t="n"/>
      <c r="O2896" s="30" t="n"/>
      <c r="P2896" s="32" t="n"/>
      <c r="Q2896" s="30" t="n"/>
      <c r="R2896" s="32" t="n"/>
      <c r="S2896" s="30" t="n"/>
      <c r="T2896" s="30" t="n"/>
      <c r="U2896" s="30" t="n"/>
      <c r="V2896" s="30" t="n"/>
      <c r="W2896" s="29">
        <f>IF(H2896="","",IF(H2896="Kenya","Yes","No"))</f>
        <v/>
      </c>
      <c r="X2896" s="29">
        <f>IF(B2896="","",IF(COUNTIF($B$5:$B$3004,B2896)&gt;1,"DUPLICATE","OK"))</f>
        <v/>
      </c>
      <c r="Y2896" s="29">
        <f>IF(OR(U2896="",V2896="",V2896="Excluded"),"",IF(COUNTIFS($U$5:$U$3004,U2896,$V$5:$V$3004,"&lt;&gt;"&amp;V2896,$V$5:$V$3004,"&lt;&gt;",$V$5:$V$3004,"&lt;&gt;Excluded")&gt;0,"LEAK RISK","OK"))</f>
        <v/>
      </c>
      <c r="Z2896" s="30" t="n"/>
    </row>
    <row r="2897">
      <c r="A2897" s="30" t="n"/>
      <c r="B2897" s="30" t="n"/>
      <c r="C2897" s="30" t="n"/>
      <c r="D2897" s="30" t="n"/>
      <c r="E2897" s="30" t="n"/>
      <c r="F2897" s="30" t="n"/>
      <c r="G2897" s="30" t="n"/>
      <c r="H2897" s="30" t="n"/>
      <c r="I2897" s="31" t="n"/>
      <c r="J2897" s="30" t="n"/>
      <c r="K2897" s="30" t="n"/>
      <c r="L2897" s="30" t="n"/>
      <c r="M2897" s="30" t="n"/>
      <c r="N2897" s="32" t="n"/>
      <c r="O2897" s="30" t="n"/>
      <c r="P2897" s="32" t="n"/>
      <c r="Q2897" s="30" t="n"/>
      <c r="R2897" s="32" t="n"/>
      <c r="S2897" s="30" t="n"/>
      <c r="T2897" s="30" t="n"/>
      <c r="U2897" s="30" t="n"/>
      <c r="V2897" s="30" t="n"/>
      <c r="W2897" s="29">
        <f>IF(H2897="","",IF(H2897="Kenya","Yes","No"))</f>
        <v/>
      </c>
      <c r="X2897" s="29">
        <f>IF(B2897="","",IF(COUNTIF($B$5:$B$3004,B2897)&gt;1,"DUPLICATE","OK"))</f>
        <v/>
      </c>
      <c r="Y2897" s="29">
        <f>IF(OR(U2897="",V2897="",V2897="Excluded"),"",IF(COUNTIFS($U$5:$U$3004,U2897,$V$5:$V$3004,"&lt;&gt;"&amp;V2897,$V$5:$V$3004,"&lt;&gt;",$V$5:$V$3004,"&lt;&gt;Excluded")&gt;0,"LEAK RISK","OK"))</f>
        <v/>
      </c>
      <c r="Z2897" s="30" t="n"/>
    </row>
    <row r="2898">
      <c r="A2898" s="30" t="n"/>
      <c r="B2898" s="30" t="n"/>
      <c r="C2898" s="30" t="n"/>
      <c r="D2898" s="30" t="n"/>
      <c r="E2898" s="30" t="n"/>
      <c r="F2898" s="30" t="n"/>
      <c r="G2898" s="30" t="n"/>
      <c r="H2898" s="30" t="n"/>
      <c r="I2898" s="31" t="n"/>
      <c r="J2898" s="30" t="n"/>
      <c r="K2898" s="30" t="n"/>
      <c r="L2898" s="30" t="n"/>
      <c r="M2898" s="30" t="n"/>
      <c r="N2898" s="32" t="n"/>
      <c r="O2898" s="30" t="n"/>
      <c r="P2898" s="32" t="n"/>
      <c r="Q2898" s="30" t="n"/>
      <c r="R2898" s="32" t="n"/>
      <c r="S2898" s="30" t="n"/>
      <c r="T2898" s="30" t="n"/>
      <c r="U2898" s="30" t="n"/>
      <c r="V2898" s="30" t="n"/>
      <c r="W2898" s="29">
        <f>IF(H2898="","",IF(H2898="Kenya","Yes","No"))</f>
        <v/>
      </c>
      <c r="X2898" s="29">
        <f>IF(B2898="","",IF(COUNTIF($B$5:$B$3004,B2898)&gt;1,"DUPLICATE","OK"))</f>
        <v/>
      </c>
      <c r="Y2898" s="29">
        <f>IF(OR(U2898="",V2898="",V2898="Excluded"),"",IF(COUNTIFS($U$5:$U$3004,U2898,$V$5:$V$3004,"&lt;&gt;"&amp;V2898,$V$5:$V$3004,"&lt;&gt;",$V$5:$V$3004,"&lt;&gt;Excluded")&gt;0,"LEAK RISK","OK"))</f>
        <v/>
      </c>
      <c r="Z2898" s="30" t="n"/>
    </row>
    <row r="2899">
      <c r="A2899" s="30" t="n"/>
      <c r="B2899" s="30" t="n"/>
      <c r="C2899" s="30" t="n"/>
      <c r="D2899" s="30" t="n"/>
      <c r="E2899" s="30" t="n"/>
      <c r="F2899" s="30" t="n"/>
      <c r="G2899" s="30" t="n"/>
      <c r="H2899" s="30" t="n"/>
      <c r="I2899" s="31" t="n"/>
      <c r="J2899" s="30" t="n"/>
      <c r="K2899" s="30" t="n"/>
      <c r="L2899" s="30" t="n"/>
      <c r="M2899" s="30" t="n"/>
      <c r="N2899" s="32" t="n"/>
      <c r="O2899" s="30" t="n"/>
      <c r="P2899" s="32" t="n"/>
      <c r="Q2899" s="30" t="n"/>
      <c r="R2899" s="32" t="n"/>
      <c r="S2899" s="30" t="n"/>
      <c r="T2899" s="30" t="n"/>
      <c r="U2899" s="30" t="n"/>
      <c r="V2899" s="30" t="n"/>
      <c r="W2899" s="29">
        <f>IF(H2899="","",IF(H2899="Kenya","Yes","No"))</f>
        <v/>
      </c>
      <c r="X2899" s="29">
        <f>IF(B2899="","",IF(COUNTIF($B$5:$B$3004,B2899)&gt;1,"DUPLICATE","OK"))</f>
        <v/>
      </c>
      <c r="Y2899" s="29">
        <f>IF(OR(U2899="",V2899="",V2899="Excluded"),"",IF(COUNTIFS($U$5:$U$3004,U2899,$V$5:$V$3004,"&lt;&gt;"&amp;V2899,$V$5:$V$3004,"&lt;&gt;",$V$5:$V$3004,"&lt;&gt;Excluded")&gt;0,"LEAK RISK","OK"))</f>
        <v/>
      </c>
      <c r="Z2899" s="30" t="n"/>
    </row>
    <row r="2900">
      <c r="A2900" s="30" t="n"/>
      <c r="B2900" s="30" t="n"/>
      <c r="C2900" s="30" t="n"/>
      <c r="D2900" s="30" t="n"/>
      <c r="E2900" s="30" t="n"/>
      <c r="F2900" s="30" t="n"/>
      <c r="G2900" s="30" t="n"/>
      <c r="H2900" s="30" t="n"/>
      <c r="I2900" s="31" t="n"/>
      <c r="J2900" s="30" t="n"/>
      <c r="K2900" s="30" t="n"/>
      <c r="L2900" s="30" t="n"/>
      <c r="M2900" s="30" t="n"/>
      <c r="N2900" s="32" t="n"/>
      <c r="O2900" s="30" t="n"/>
      <c r="P2900" s="32" t="n"/>
      <c r="Q2900" s="30" t="n"/>
      <c r="R2900" s="32" t="n"/>
      <c r="S2900" s="30" t="n"/>
      <c r="T2900" s="30" t="n"/>
      <c r="U2900" s="30" t="n"/>
      <c r="V2900" s="30" t="n"/>
      <c r="W2900" s="29">
        <f>IF(H2900="","",IF(H2900="Kenya","Yes","No"))</f>
        <v/>
      </c>
      <c r="X2900" s="29">
        <f>IF(B2900="","",IF(COUNTIF($B$5:$B$3004,B2900)&gt;1,"DUPLICATE","OK"))</f>
        <v/>
      </c>
      <c r="Y2900" s="29">
        <f>IF(OR(U2900="",V2900="",V2900="Excluded"),"",IF(COUNTIFS($U$5:$U$3004,U2900,$V$5:$V$3004,"&lt;&gt;"&amp;V2900,$V$5:$V$3004,"&lt;&gt;",$V$5:$V$3004,"&lt;&gt;Excluded")&gt;0,"LEAK RISK","OK"))</f>
        <v/>
      </c>
      <c r="Z2900" s="30" t="n"/>
    </row>
    <row r="2901">
      <c r="A2901" s="30" t="n"/>
      <c r="B2901" s="30" t="n"/>
      <c r="C2901" s="30" t="n"/>
      <c r="D2901" s="30" t="n"/>
      <c r="E2901" s="30" t="n"/>
      <c r="F2901" s="30" t="n"/>
      <c r="G2901" s="30" t="n"/>
      <c r="H2901" s="30" t="n"/>
      <c r="I2901" s="31" t="n"/>
      <c r="J2901" s="30" t="n"/>
      <c r="K2901" s="30" t="n"/>
      <c r="L2901" s="30" t="n"/>
      <c r="M2901" s="30" t="n"/>
      <c r="N2901" s="32" t="n"/>
      <c r="O2901" s="30" t="n"/>
      <c r="P2901" s="32" t="n"/>
      <c r="Q2901" s="30" t="n"/>
      <c r="R2901" s="32" t="n"/>
      <c r="S2901" s="30" t="n"/>
      <c r="T2901" s="30" t="n"/>
      <c r="U2901" s="30" t="n"/>
      <c r="V2901" s="30" t="n"/>
      <c r="W2901" s="29">
        <f>IF(H2901="","",IF(H2901="Kenya","Yes","No"))</f>
        <v/>
      </c>
      <c r="X2901" s="29">
        <f>IF(B2901="","",IF(COUNTIF($B$5:$B$3004,B2901)&gt;1,"DUPLICATE","OK"))</f>
        <v/>
      </c>
      <c r="Y2901" s="29">
        <f>IF(OR(U2901="",V2901="",V2901="Excluded"),"",IF(COUNTIFS($U$5:$U$3004,U2901,$V$5:$V$3004,"&lt;&gt;"&amp;V2901,$V$5:$V$3004,"&lt;&gt;",$V$5:$V$3004,"&lt;&gt;Excluded")&gt;0,"LEAK RISK","OK"))</f>
        <v/>
      </c>
      <c r="Z2901" s="30" t="n"/>
    </row>
    <row r="2902">
      <c r="A2902" s="30" t="n"/>
      <c r="B2902" s="30" t="n"/>
      <c r="C2902" s="30" t="n"/>
      <c r="D2902" s="30" t="n"/>
      <c r="E2902" s="30" t="n"/>
      <c r="F2902" s="30" t="n"/>
      <c r="G2902" s="30" t="n"/>
      <c r="H2902" s="30" t="n"/>
      <c r="I2902" s="31" t="n"/>
      <c r="J2902" s="30" t="n"/>
      <c r="K2902" s="30" t="n"/>
      <c r="L2902" s="30" t="n"/>
      <c r="M2902" s="30" t="n"/>
      <c r="N2902" s="32" t="n"/>
      <c r="O2902" s="30" t="n"/>
      <c r="P2902" s="32" t="n"/>
      <c r="Q2902" s="30" t="n"/>
      <c r="R2902" s="32" t="n"/>
      <c r="S2902" s="30" t="n"/>
      <c r="T2902" s="30" t="n"/>
      <c r="U2902" s="30" t="n"/>
      <c r="V2902" s="30" t="n"/>
      <c r="W2902" s="29">
        <f>IF(H2902="","",IF(H2902="Kenya","Yes","No"))</f>
        <v/>
      </c>
      <c r="X2902" s="29">
        <f>IF(B2902="","",IF(COUNTIF($B$5:$B$3004,B2902)&gt;1,"DUPLICATE","OK"))</f>
        <v/>
      </c>
      <c r="Y2902" s="29">
        <f>IF(OR(U2902="",V2902="",V2902="Excluded"),"",IF(COUNTIFS($U$5:$U$3004,U2902,$V$5:$V$3004,"&lt;&gt;"&amp;V2902,$V$5:$V$3004,"&lt;&gt;",$V$5:$V$3004,"&lt;&gt;Excluded")&gt;0,"LEAK RISK","OK"))</f>
        <v/>
      </c>
      <c r="Z2902" s="30" t="n"/>
    </row>
    <row r="2903">
      <c r="A2903" s="30" t="n"/>
      <c r="B2903" s="30" t="n"/>
      <c r="C2903" s="30" t="n"/>
      <c r="D2903" s="30" t="n"/>
      <c r="E2903" s="30" t="n"/>
      <c r="F2903" s="30" t="n"/>
      <c r="G2903" s="30" t="n"/>
      <c r="H2903" s="30" t="n"/>
      <c r="I2903" s="31" t="n"/>
      <c r="J2903" s="30" t="n"/>
      <c r="K2903" s="30" t="n"/>
      <c r="L2903" s="30" t="n"/>
      <c r="M2903" s="30" t="n"/>
      <c r="N2903" s="32" t="n"/>
      <c r="O2903" s="30" t="n"/>
      <c r="P2903" s="32" t="n"/>
      <c r="Q2903" s="30" t="n"/>
      <c r="R2903" s="32" t="n"/>
      <c r="S2903" s="30" t="n"/>
      <c r="T2903" s="30" t="n"/>
      <c r="U2903" s="30" t="n"/>
      <c r="V2903" s="30" t="n"/>
      <c r="W2903" s="29">
        <f>IF(H2903="","",IF(H2903="Kenya","Yes","No"))</f>
        <v/>
      </c>
      <c r="X2903" s="29">
        <f>IF(B2903="","",IF(COUNTIF($B$5:$B$3004,B2903)&gt;1,"DUPLICATE","OK"))</f>
        <v/>
      </c>
      <c r="Y2903" s="29">
        <f>IF(OR(U2903="",V2903="",V2903="Excluded"),"",IF(COUNTIFS($U$5:$U$3004,U2903,$V$5:$V$3004,"&lt;&gt;"&amp;V2903,$V$5:$V$3004,"&lt;&gt;",$V$5:$V$3004,"&lt;&gt;Excluded")&gt;0,"LEAK RISK","OK"))</f>
        <v/>
      </c>
      <c r="Z2903" s="30" t="n"/>
    </row>
    <row r="2904">
      <c r="A2904" s="30" t="n"/>
      <c r="B2904" s="30" t="n"/>
      <c r="C2904" s="30" t="n"/>
      <c r="D2904" s="30" t="n"/>
      <c r="E2904" s="30" t="n"/>
      <c r="F2904" s="30" t="n"/>
      <c r="G2904" s="30" t="n"/>
      <c r="H2904" s="30" t="n"/>
      <c r="I2904" s="31" t="n"/>
      <c r="J2904" s="30" t="n"/>
      <c r="K2904" s="30" t="n"/>
      <c r="L2904" s="30" t="n"/>
      <c r="M2904" s="30" t="n"/>
      <c r="N2904" s="32" t="n"/>
      <c r="O2904" s="30" t="n"/>
      <c r="P2904" s="32" t="n"/>
      <c r="Q2904" s="30" t="n"/>
      <c r="R2904" s="32" t="n"/>
      <c r="S2904" s="30" t="n"/>
      <c r="T2904" s="30" t="n"/>
      <c r="U2904" s="30" t="n"/>
      <c r="V2904" s="30" t="n"/>
      <c r="W2904" s="29">
        <f>IF(H2904="","",IF(H2904="Kenya","Yes","No"))</f>
        <v/>
      </c>
      <c r="X2904" s="29">
        <f>IF(B2904="","",IF(COUNTIF($B$5:$B$3004,B2904)&gt;1,"DUPLICATE","OK"))</f>
        <v/>
      </c>
      <c r="Y2904" s="29">
        <f>IF(OR(U2904="",V2904="",V2904="Excluded"),"",IF(COUNTIFS($U$5:$U$3004,U2904,$V$5:$V$3004,"&lt;&gt;"&amp;V2904,$V$5:$V$3004,"&lt;&gt;",$V$5:$V$3004,"&lt;&gt;Excluded")&gt;0,"LEAK RISK","OK"))</f>
        <v/>
      </c>
      <c r="Z2904" s="30" t="n"/>
    </row>
    <row r="2905">
      <c r="A2905" s="30" t="n"/>
      <c r="B2905" s="30" t="n"/>
      <c r="C2905" s="30" t="n"/>
      <c r="D2905" s="30" t="n"/>
      <c r="E2905" s="30" t="n"/>
      <c r="F2905" s="30" t="n"/>
      <c r="G2905" s="30" t="n"/>
      <c r="H2905" s="30" t="n"/>
      <c r="I2905" s="31" t="n"/>
      <c r="J2905" s="30" t="n"/>
      <c r="K2905" s="30" t="n"/>
      <c r="L2905" s="30" t="n"/>
      <c r="M2905" s="30" t="n"/>
      <c r="N2905" s="32" t="n"/>
      <c r="O2905" s="30" t="n"/>
      <c r="P2905" s="32" t="n"/>
      <c r="Q2905" s="30" t="n"/>
      <c r="R2905" s="32" t="n"/>
      <c r="S2905" s="30" t="n"/>
      <c r="T2905" s="30" t="n"/>
      <c r="U2905" s="30" t="n"/>
      <c r="V2905" s="30" t="n"/>
      <c r="W2905" s="29">
        <f>IF(H2905="","",IF(H2905="Kenya","Yes","No"))</f>
        <v/>
      </c>
      <c r="X2905" s="29">
        <f>IF(B2905="","",IF(COUNTIF($B$5:$B$3004,B2905)&gt;1,"DUPLICATE","OK"))</f>
        <v/>
      </c>
      <c r="Y2905" s="29">
        <f>IF(OR(U2905="",V2905="",V2905="Excluded"),"",IF(COUNTIFS($U$5:$U$3004,U2905,$V$5:$V$3004,"&lt;&gt;"&amp;V2905,$V$5:$V$3004,"&lt;&gt;",$V$5:$V$3004,"&lt;&gt;Excluded")&gt;0,"LEAK RISK","OK"))</f>
        <v/>
      </c>
      <c r="Z2905" s="30" t="n"/>
    </row>
    <row r="2906">
      <c r="A2906" s="30" t="n"/>
      <c r="B2906" s="30" t="n"/>
      <c r="C2906" s="30" t="n"/>
      <c r="D2906" s="30" t="n"/>
      <c r="E2906" s="30" t="n"/>
      <c r="F2906" s="30" t="n"/>
      <c r="G2906" s="30" t="n"/>
      <c r="H2906" s="30" t="n"/>
      <c r="I2906" s="31" t="n"/>
      <c r="J2906" s="30" t="n"/>
      <c r="K2906" s="30" t="n"/>
      <c r="L2906" s="30" t="n"/>
      <c r="M2906" s="30" t="n"/>
      <c r="N2906" s="32" t="n"/>
      <c r="O2906" s="30" t="n"/>
      <c r="P2906" s="32" t="n"/>
      <c r="Q2906" s="30" t="n"/>
      <c r="R2906" s="32" t="n"/>
      <c r="S2906" s="30" t="n"/>
      <c r="T2906" s="30" t="n"/>
      <c r="U2906" s="30" t="n"/>
      <c r="V2906" s="30" t="n"/>
      <c r="W2906" s="29">
        <f>IF(H2906="","",IF(H2906="Kenya","Yes","No"))</f>
        <v/>
      </c>
      <c r="X2906" s="29">
        <f>IF(B2906="","",IF(COUNTIF($B$5:$B$3004,B2906)&gt;1,"DUPLICATE","OK"))</f>
        <v/>
      </c>
      <c r="Y2906" s="29">
        <f>IF(OR(U2906="",V2906="",V2906="Excluded"),"",IF(COUNTIFS($U$5:$U$3004,U2906,$V$5:$V$3004,"&lt;&gt;"&amp;V2906,$V$5:$V$3004,"&lt;&gt;",$V$5:$V$3004,"&lt;&gt;Excluded")&gt;0,"LEAK RISK","OK"))</f>
        <v/>
      </c>
      <c r="Z2906" s="30" t="n"/>
    </row>
    <row r="2907">
      <c r="A2907" s="30" t="n"/>
      <c r="B2907" s="30" t="n"/>
      <c r="C2907" s="30" t="n"/>
      <c r="D2907" s="30" t="n"/>
      <c r="E2907" s="30" t="n"/>
      <c r="F2907" s="30" t="n"/>
      <c r="G2907" s="30" t="n"/>
      <c r="H2907" s="30" t="n"/>
      <c r="I2907" s="31" t="n"/>
      <c r="J2907" s="30" t="n"/>
      <c r="K2907" s="30" t="n"/>
      <c r="L2907" s="30" t="n"/>
      <c r="M2907" s="30" t="n"/>
      <c r="N2907" s="32" t="n"/>
      <c r="O2907" s="30" t="n"/>
      <c r="P2907" s="32" t="n"/>
      <c r="Q2907" s="30" t="n"/>
      <c r="R2907" s="32" t="n"/>
      <c r="S2907" s="30" t="n"/>
      <c r="T2907" s="30" t="n"/>
      <c r="U2907" s="30" t="n"/>
      <c r="V2907" s="30" t="n"/>
      <c r="W2907" s="29">
        <f>IF(H2907="","",IF(H2907="Kenya","Yes","No"))</f>
        <v/>
      </c>
      <c r="X2907" s="29">
        <f>IF(B2907="","",IF(COUNTIF($B$5:$B$3004,B2907)&gt;1,"DUPLICATE","OK"))</f>
        <v/>
      </c>
      <c r="Y2907" s="29">
        <f>IF(OR(U2907="",V2907="",V2907="Excluded"),"",IF(COUNTIFS($U$5:$U$3004,U2907,$V$5:$V$3004,"&lt;&gt;"&amp;V2907,$V$5:$V$3004,"&lt;&gt;",$V$5:$V$3004,"&lt;&gt;Excluded")&gt;0,"LEAK RISK","OK"))</f>
        <v/>
      </c>
      <c r="Z2907" s="30" t="n"/>
    </row>
    <row r="2908">
      <c r="A2908" s="30" t="n"/>
      <c r="B2908" s="30" t="n"/>
      <c r="C2908" s="30" t="n"/>
      <c r="D2908" s="30" t="n"/>
      <c r="E2908" s="30" t="n"/>
      <c r="F2908" s="30" t="n"/>
      <c r="G2908" s="30" t="n"/>
      <c r="H2908" s="30" t="n"/>
      <c r="I2908" s="31" t="n"/>
      <c r="J2908" s="30" t="n"/>
      <c r="K2908" s="30" t="n"/>
      <c r="L2908" s="30" t="n"/>
      <c r="M2908" s="30" t="n"/>
      <c r="N2908" s="32" t="n"/>
      <c r="O2908" s="30" t="n"/>
      <c r="P2908" s="32" t="n"/>
      <c r="Q2908" s="30" t="n"/>
      <c r="R2908" s="32" t="n"/>
      <c r="S2908" s="30" t="n"/>
      <c r="T2908" s="30" t="n"/>
      <c r="U2908" s="30" t="n"/>
      <c r="V2908" s="30" t="n"/>
      <c r="W2908" s="29">
        <f>IF(H2908="","",IF(H2908="Kenya","Yes","No"))</f>
        <v/>
      </c>
      <c r="X2908" s="29">
        <f>IF(B2908="","",IF(COUNTIF($B$5:$B$3004,B2908)&gt;1,"DUPLICATE","OK"))</f>
        <v/>
      </c>
      <c r="Y2908" s="29">
        <f>IF(OR(U2908="",V2908="",V2908="Excluded"),"",IF(COUNTIFS($U$5:$U$3004,U2908,$V$5:$V$3004,"&lt;&gt;"&amp;V2908,$V$5:$V$3004,"&lt;&gt;",$V$5:$V$3004,"&lt;&gt;Excluded")&gt;0,"LEAK RISK","OK"))</f>
        <v/>
      </c>
      <c r="Z2908" s="30" t="n"/>
    </row>
    <row r="2909">
      <c r="A2909" s="30" t="n"/>
      <c r="B2909" s="30" t="n"/>
      <c r="C2909" s="30" t="n"/>
      <c r="D2909" s="30" t="n"/>
      <c r="E2909" s="30" t="n"/>
      <c r="F2909" s="30" t="n"/>
      <c r="G2909" s="30" t="n"/>
      <c r="H2909" s="30" t="n"/>
      <c r="I2909" s="31" t="n"/>
      <c r="J2909" s="30" t="n"/>
      <c r="K2909" s="30" t="n"/>
      <c r="L2909" s="30" t="n"/>
      <c r="M2909" s="30" t="n"/>
      <c r="N2909" s="32" t="n"/>
      <c r="O2909" s="30" t="n"/>
      <c r="P2909" s="32" t="n"/>
      <c r="Q2909" s="30" t="n"/>
      <c r="R2909" s="32" t="n"/>
      <c r="S2909" s="30" t="n"/>
      <c r="T2909" s="30" t="n"/>
      <c r="U2909" s="30" t="n"/>
      <c r="V2909" s="30" t="n"/>
      <c r="W2909" s="29">
        <f>IF(H2909="","",IF(H2909="Kenya","Yes","No"))</f>
        <v/>
      </c>
      <c r="X2909" s="29">
        <f>IF(B2909="","",IF(COUNTIF($B$5:$B$3004,B2909)&gt;1,"DUPLICATE","OK"))</f>
        <v/>
      </c>
      <c r="Y2909" s="29">
        <f>IF(OR(U2909="",V2909="",V2909="Excluded"),"",IF(COUNTIFS($U$5:$U$3004,U2909,$V$5:$V$3004,"&lt;&gt;"&amp;V2909,$V$5:$V$3004,"&lt;&gt;",$V$5:$V$3004,"&lt;&gt;Excluded")&gt;0,"LEAK RISK","OK"))</f>
        <v/>
      </c>
      <c r="Z2909" s="30" t="n"/>
    </row>
    <row r="2910">
      <c r="A2910" s="30" t="n"/>
      <c r="B2910" s="30" t="n"/>
      <c r="C2910" s="30" t="n"/>
      <c r="D2910" s="30" t="n"/>
      <c r="E2910" s="30" t="n"/>
      <c r="F2910" s="30" t="n"/>
      <c r="G2910" s="30" t="n"/>
      <c r="H2910" s="30" t="n"/>
      <c r="I2910" s="31" t="n"/>
      <c r="J2910" s="30" t="n"/>
      <c r="K2910" s="30" t="n"/>
      <c r="L2910" s="30" t="n"/>
      <c r="M2910" s="30" t="n"/>
      <c r="N2910" s="32" t="n"/>
      <c r="O2910" s="30" t="n"/>
      <c r="P2910" s="32" t="n"/>
      <c r="Q2910" s="30" t="n"/>
      <c r="R2910" s="32" t="n"/>
      <c r="S2910" s="30" t="n"/>
      <c r="T2910" s="30" t="n"/>
      <c r="U2910" s="30" t="n"/>
      <c r="V2910" s="30" t="n"/>
      <c r="W2910" s="29">
        <f>IF(H2910="","",IF(H2910="Kenya","Yes","No"))</f>
        <v/>
      </c>
      <c r="X2910" s="29">
        <f>IF(B2910="","",IF(COUNTIF($B$5:$B$3004,B2910)&gt;1,"DUPLICATE","OK"))</f>
        <v/>
      </c>
      <c r="Y2910" s="29">
        <f>IF(OR(U2910="",V2910="",V2910="Excluded"),"",IF(COUNTIFS($U$5:$U$3004,U2910,$V$5:$V$3004,"&lt;&gt;"&amp;V2910,$V$5:$V$3004,"&lt;&gt;",$V$5:$V$3004,"&lt;&gt;Excluded")&gt;0,"LEAK RISK","OK"))</f>
        <v/>
      </c>
      <c r="Z2910" s="30" t="n"/>
    </row>
    <row r="2911">
      <c r="A2911" s="30" t="n"/>
      <c r="B2911" s="30" t="n"/>
      <c r="C2911" s="30" t="n"/>
      <c r="D2911" s="30" t="n"/>
      <c r="E2911" s="30" t="n"/>
      <c r="F2911" s="30" t="n"/>
      <c r="G2911" s="30" t="n"/>
      <c r="H2911" s="30" t="n"/>
      <c r="I2911" s="31" t="n"/>
      <c r="J2911" s="30" t="n"/>
      <c r="K2911" s="30" t="n"/>
      <c r="L2911" s="30" t="n"/>
      <c r="M2911" s="30" t="n"/>
      <c r="N2911" s="32" t="n"/>
      <c r="O2911" s="30" t="n"/>
      <c r="P2911" s="32" t="n"/>
      <c r="Q2911" s="30" t="n"/>
      <c r="R2911" s="32" t="n"/>
      <c r="S2911" s="30" t="n"/>
      <c r="T2911" s="30" t="n"/>
      <c r="U2911" s="30" t="n"/>
      <c r="V2911" s="30" t="n"/>
      <c r="W2911" s="29">
        <f>IF(H2911="","",IF(H2911="Kenya","Yes","No"))</f>
        <v/>
      </c>
      <c r="X2911" s="29">
        <f>IF(B2911="","",IF(COUNTIF($B$5:$B$3004,B2911)&gt;1,"DUPLICATE","OK"))</f>
        <v/>
      </c>
      <c r="Y2911" s="29">
        <f>IF(OR(U2911="",V2911="",V2911="Excluded"),"",IF(COUNTIFS($U$5:$U$3004,U2911,$V$5:$V$3004,"&lt;&gt;"&amp;V2911,$V$5:$V$3004,"&lt;&gt;",$V$5:$V$3004,"&lt;&gt;Excluded")&gt;0,"LEAK RISK","OK"))</f>
        <v/>
      </c>
      <c r="Z2911" s="30" t="n"/>
    </row>
    <row r="2912">
      <c r="A2912" s="30" t="n"/>
      <c r="B2912" s="30" t="n"/>
      <c r="C2912" s="30" t="n"/>
      <c r="D2912" s="30" t="n"/>
      <c r="E2912" s="30" t="n"/>
      <c r="F2912" s="30" t="n"/>
      <c r="G2912" s="30" t="n"/>
      <c r="H2912" s="30" t="n"/>
      <c r="I2912" s="31" t="n"/>
      <c r="J2912" s="30" t="n"/>
      <c r="K2912" s="30" t="n"/>
      <c r="L2912" s="30" t="n"/>
      <c r="M2912" s="30" t="n"/>
      <c r="N2912" s="32" t="n"/>
      <c r="O2912" s="30" t="n"/>
      <c r="P2912" s="32" t="n"/>
      <c r="Q2912" s="30" t="n"/>
      <c r="R2912" s="32" t="n"/>
      <c r="S2912" s="30" t="n"/>
      <c r="T2912" s="30" t="n"/>
      <c r="U2912" s="30" t="n"/>
      <c r="V2912" s="30" t="n"/>
      <c r="W2912" s="29">
        <f>IF(H2912="","",IF(H2912="Kenya","Yes","No"))</f>
        <v/>
      </c>
      <c r="X2912" s="29">
        <f>IF(B2912="","",IF(COUNTIF($B$5:$B$3004,B2912)&gt;1,"DUPLICATE","OK"))</f>
        <v/>
      </c>
      <c r="Y2912" s="29">
        <f>IF(OR(U2912="",V2912="",V2912="Excluded"),"",IF(COUNTIFS($U$5:$U$3004,U2912,$V$5:$V$3004,"&lt;&gt;"&amp;V2912,$V$5:$V$3004,"&lt;&gt;",$V$5:$V$3004,"&lt;&gt;Excluded")&gt;0,"LEAK RISK","OK"))</f>
        <v/>
      </c>
      <c r="Z2912" s="30" t="n"/>
    </row>
    <row r="2913">
      <c r="A2913" s="30" t="n"/>
      <c r="B2913" s="30" t="n"/>
      <c r="C2913" s="30" t="n"/>
      <c r="D2913" s="30" t="n"/>
      <c r="E2913" s="30" t="n"/>
      <c r="F2913" s="30" t="n"/>
      <c r="G2913" s="30" t="n"/>
      <c r="H2913" s="30" t="n"/>
      <c r="I2913" s="31" t="n"/>
      <c r="J2913" s="30" t="n"/>
      <c r="K2913" s="30" t="n"/>
      <c r="L2913" s="30" t="n"/>
      <c r="M2913" s="30" t="n"/>
      <c r="N2913" s="32" t="n"/>
      <c r="O2913" s="30" t="n"/>
      <c r="P2913" s="32" t="n"/>
      <c r="Q2913" s="30" t="n"/>
      <c r="R2913" s="32" t="n"/>
      <c r="S2913" s="30" t="n"/>
      <c r="T2913" s="30" t="n"/>
      <c r="U2913" s="30" t="n"/>
      <c r="V2913" s="30" t="n"/>
      <c r="W2913" s="29">
        <f>IF(H2913="","",IF(H2913="Kenya","Yes","No"))</f>
        <v/>
      </c>
      <c r="X2913" s="29">
        <f>IF(B2913="","",IF(COUNTIF($B$5:$B$3004,B2913)&gt;1,"DUPLICATE","OK"))</f>
        <v/>
      </c>
      <c r="Y2913" s="29">
        <f>IF(OR(U2913="",V2913="",V2913="Excluded"),"",IF(COUNTIFS($U$5:$U$3004,U2913,$V$5:$V$3004,"&lt;&gt;"&amp;V2913,$V$5:$V$3004,"&lt;&gt;",$V$5:$V$3004,"&lt;&gt;Excluded")&gt;0,"LEAK RISK","OK"))</f>
        <v/>
      </c>
      <c r="Z2913" s="30" t="n"/>
    </row>
    <row r="2914">
      <c r="A2914" s="30" t="n"/>
      <c r="B2914" s="30" t="n"/>
      <c r="C2914" s="30" t="n"/>
      <c r="D2914" s="30" t="n"/>
      <c r="E2914" s="30" t="n"/>
      <c r="F2914" s="30" t="n"/>
      <c r="G2914" s="30" t="n"/>
      <c r="H2914" s="30" t="n"/>
      <c r="I2914" s="31" t="n"/>
      <c r="J2914" s="30" t="n"/>
      <c r="K2914" s="30" t="n"/>
      <c r="L2914" s="30" t="n"/>
      <c r="M2914" s="30" t="n"/>
      <c r="N2914" s="32" t="n"/>
      <c r="O2914" s="30" t="n"/>
      <c r="P2914" s="32" t="n"/>
      <c r="Q2914" s="30" t="n"/>
      <c r="R2914" s="32" t="n"/>
      <c r="S2914" s="30" t="n"/>
      <c r="T2914" s="30" t="n"/>
      <c r="U2914" s="30" t="n"/>
      <c r="V2914" s="30" t="n"/>
      <c r="W2914" s="29">
        <f>IF(H2914="","",IF(H2914="Kenya","Yes","No"))</f>
        <v/>
      </c>
      <c r="X2914" s="29">
        <f>IF(B2914="","",IF(COUNTIF($B$5:$B$3004,B2914)&gt;1,"DUPLICATE","OK"))</f>
        <v/>
      </c>
      <c r="Y2914" s="29">
        <f>IF(OR(U2914="",V2914="",V2914="Excluded"),"",IF(COUNTIFS($U$5:$U$3004,U2914,$V$5:$V$3004,"&lt;&gt;"&amp;V2914,$V$5:$V$3004,"&lt;&gt;",$V$5:$V$3004,"&lt;&gt;Excluded")&gt;0,"LEAK RISK","OK"))</f>
        <v/>
      </c>
      <c r="Z2914" s="30" t="n"/>
    </row>
    <row r="2915">
      <c r="A2915" s="30" t="n"/>
      <c r="B2915" s="30" t="n"/>
      <c r="C2915" s="30" t="n"/>
      <c r="D2915" s="30" t="n"/>
      <c r="E2915" s="30" t="n"/>
      <c r="F2915" s="30" t="n"/>
      <c r="G2915" s="30" t="n"/>
      <c r="H2915" s="30" t="n"/>
      <c r="I2915" s="31" t="n"/>
      <c r="J2915" s="30" t="n"/>
      <c r="K2915" s="30" t="n"/>
      <c r="L2915" s="30" t="n"/>
      <c r="M2915" s="30" t="n"/>
      <c r="N2915" s="32" t="n"/>
      <c r="O2915" s="30" t="n"/>
      <c r="P2915" s="32" t="n"/>
      <c r="Q2915" s="30" t="n"/>
      <c r="R2915" s="32" t="n"/>
      <c r="S2915" s="30" t="n"/>
      <c r="T2915" s="30" t="n"/>
      <c r="U2915" s="30" t="n"/>
      <c r="V2915" s="30" t="n"/>
      <c r="W2915" s="29">
        <f>IF(H2915="","",IF(H2915="Kenya","Yes","No"))</f>
        <v/>
      </c>
      <c r="X2915" s="29">
        <f>IF(B2915="","",IF(COUNTIF($B$5:$B$3004,B2915)&gt;1,"DUPLICATE","OK"))</f>
        <v/>
      </c>
      <c r="Y2915" s="29">
        <f>IF(OR(U2915="",V2915="",V2915="Excluded"),"",IF(COUNTIFS($U$5:$U$3004,U2915,$V$5:$V$3004,"&lt;&gt;"&amp;V2915,$V$5:$V$3004,"&lt;&gt;",$V$5:$V$3004,"&lt;&gt;Excluded")&gt;0,"LEAK RISK","OK"))</f>
        <v/>
      </c>
      <c r="Z2915" s="30" t="n"/>
    </row>
    <row r="2916">
      <c r="A2916" s="30" t="n"/>
      <c r="B2916" s="30" t="n"/>
      <c r="C2916" s="30" t="n"/>
      <c r="D2916" s="30" t="n"/>
      <c r="E2916" s="30" t="n"/>
      <c r="F2916" s="30" t="n"/>
      <c r="G2916" s="30" t="n"/>
      <c r="H2916" s="30" t="n"/>
      <c r="I2916" s="31" t="n"/>
      <c r="J2916" s="30" t="n"/>
      <c r="K2916" s="30" t="n"/>
      <c r="L2916" s="30" t="n"/>
      <c r="M2916" s="30" t="n"/>
      <c r="N2916" s="32" t="n"/>
      <c r="O2916" s="30" t="n"/>
      <c r="P2916" s="32" t="n"/>
      <c r="Q2916" s="30" t="n"/>
      <c r="R2916" s="32" t="n"/>
      <c r="S2916" s="30" t="n"/>
      <c r="T2916" s="30" t="n"/>
      <c r="U2916" s="30" t="n"/>
      <c r="V2916" s="30" t="n"/>
      <c r="W2916" s="29">
        <f>IF(H2916="","",IF(H2916="Kenya","Yes","No"))</f>
        <v/>
      </c>
      <c r="X2916" s="29">
        <f>IF(B2916="","",IF(COUNTIF($B$5:$B$3004,B2916)&gt;1,"DUPLICATE","OK"))</f>
        <v/>
      </c>
      <c r="Y2916" s="29">
        <f>IF(OR(U2916="",V2916="",V2916="Excluded"),"",IF(COUNTIFS($U$5:$U$3004,U2916,$V$5:$V$3004,"&lt;&gt;"&amp;V2916,$V$5:$V$3004,"&lt;&gt;",$V$5:$V$3004,"&lt;&gt;Excluded")&gt;0,"LEAK RISK","OK"))</f>
        <v/>
      </c>
      <c r="Z2916" s="30" t="n"/>
    </row>
    <row r="2917">
      <c r="A2917" s="30" t="n"/>
      <c r="B2917" s="30" t="n"/>
      <c r="C2917" s="30" t="n"/>
      <c r="D2917" s="30" t="n"/>
      <c r="E2917" s="30" t="n"/>
      <c r="F2917" s="30" t="n"/>
      <c r="G2917" s="30" t="n"/>
      <c r="H2917" s="30" t="n"/>
      <c r="I2917" s="31" t="n"/>
      <c r="J2917" s="30" t="n"/>
      <c r="K2917" s="30" t="n"/>
      <c r="L2917" s="30" t="n"/>
      <c r="M2917" s="30" t="n"/>
      <c r="N2917" s="32" t="n"/>
      <c r="O2917" s="30" t="n"/>
      <c r="P2917" s="32" t="n"/>
      <c r="Q2917" s="30" t="n"/>
      <c r="R2917" s="32" t="n"/>
      <c r="S2917" s="30" t="n"/>
      <c r="T2917" s="30" t="n"/>
      <c r="U2917" s="30" t="n"/>
      <c r="V2917" s="30" t="n"/>
      <c r="W2917" s="29">
        <f>IF(H2917="","",IF(H2917="Kenya","Yes","No"))</f>
        <v/>
      </c>
      <c r="X2917" s="29">
        <f>IF(B2917="","",IF(COUNTIF($B$5:$B$3004,B2917)&gt;1,"DUPLICATE","OK"))</f>
        <v/>
      </c>
      <c r="Y2917" s="29">
        <f>IF(OR(U2917="",V2917="",V2917="Excluded"),"",IF(COUNTIFS($U$5:$U$3004,U2917,$V$5:$V$3004,"&lt;&gt;"&amp;V2917,$V$5:$V$3004,"&lt;&gt;",$V$5:$V$3004,"&lt;&gt;Excluded")&gt;0,"LEAK RISK","OK"))</f>
        <v/>
      </c>
      <c r="Z2917" s="30" t="n"/>
    </row>
    <row r="2918">
      <c r="A2918" s="30" t="n"/>
      <c r="B2918" s="30" t="n"/>
      <c r="C2918" s="30" t="n"/>
      <c r="D2918" s="30" t="n"/>
      <c r="E2918" s="30" t="n"/>
      <c r="F2918" s="30" t="n"/>
      <c r="G2918" s="30" t="n"/>
      <c r="H2918" s="30" t="n"/>
      <c r="I2918" s="31" t="n"/>
      <c r="J2918" s="30" t="n"/>
      <c r="K2918" s="30" t="n"/>
      <c r="L2918" s="30" t="n"/>
      <c r="M2918" s="30" t="n"/>
      <c r="N2918" s="32" t="n"/>
      <c r="O2918" s="30" t="n"/>
      <c r="P2918" s="32" t="n"/>
      <c r="Q2918" s="30" t="n"/>
      <c r="R2918" s="32" t="n"/>
      <c r="S2918" s="30" t="n"/>
      <c r="T2918" s="30" t="n"/>
      <c r="U2918" s="30" t="n"/>
      <c r="V2918" s="30" t="n"/>
      <c r="W2918" s="29">
        <f>IF(H2918="","",IF(H2918="Kenya","Yes","No"))</f>
        <v/>
      </c>
      <c r="X2918" s="29">
        <f>IF(B2918="","",IF(COUNTIF($B$5:$B$3004,B2918)&gt;1,"DUPLICATE","OK"))</f>
        <v/>
      </c>
      <c r="Y2918" s="29">
        <f>IF(OR(U2918="",V2918="",V2918="Excluded"),"",IF(COUNTIFS($U$5:$U$3004,U2918,$V$5:$V$3004,"&lt;&gt;"&amp;V2918,$V$5:$V$3004,"&lt;&gt;",$V$5:$V$3004,"&lt;&gt;Excluded")&gt;0,"LEAK RISK","OK"))</f>
        <v/>
      </c>
      <c r="Z2918" s="30" t="n"/>
    </row>
    <row r="2919">
      <c r="A2919" s="30" t="n"/>
      <c r="B2919" s="30" t="n"/>
      <c r="C2919" s="30" t="n"/>
      <c r="D2919" s="30" t="n"/>
      <c r="E2919" s="30" t="n"/>
      <c r="F2919" s="30" t="n"/>
      <c r="G2919" s="30" t="n"/>
      <c r="H2919" s="30" t="n"/>
      <c r="I2919" s="31" t="n"/>
      <c r="J2919" s="30" t="n"/>
      <c r="K2919" s="30" t="n"/>
      <c r="L2919" s="30" t="n"/>
      <c r="M2919" s="30" t="n"/>
      <c r="N2919" s="32" t="n"/>
      <c r="O2919" s="30" t="n"/>
      <c r="P2919" s="32" t="n"/>
      <c r="Q2919" s="30" t="n"/>
      <c r="R2919" s="32" t="n"/>
      <c r="S2919" s="30" t="n"/>
      <c r="T2919" s="30" t="n"/>
      <c r="U2919" s="30" t="n"/>
      <c r="V2919" s="30" t="n"/>
      <c r="W2919" s="29">
        <f>IF(H2919="","",IF(H2919="Kenya","Yes","No"))</f>
        <v/>
      </c>
      <c r="X2919" s="29">
        <f>IF(B2919="","",IF(COUNTIF($B$5:$B$3004,B2919)&gt;1,"DUPLICATE","OK"))</f>
        <v/>
      </c>
      <c r="Y2919" s="29">
        <f>IF(OR(U2919="",V2919="",V2919="Excluded"),"",IF(COUNTIFS($U$5:$U$3004,U2919,$V$5:$V$3004,"&lt;&gt;"&amp;V2919,$V$5:$V$3004,"&lt;&gt;",$V$5:$V$3004,"&lt;&gt;Excluded")&gt;0,"LEAK RISK","OK"))</f>
        <v/>
      </c>
      <c r="Z2919" s="30" t="n"/>
    </row>
    <row r="2920">
      <c r="A2920" s="30" t="n"/>
      <c r="B2920" s="30" t="n"/>
      <c r="C2920" s="30" t="n"/>
      <c r="D2920" s="30" t="n"/>
      <c r="E2920" s="30" t="n"/>
      <c r="F2920" s="30" t="n"/>
      <c r="G2920" s="30" t="n"/>
      <c r="H2920" s="30" t="n"/>
      <c r="I2920" s="31" t="n"/>
      <c r="J2920" s="30" t="n"/>
      <c r="K2920" s="30" t="n"/>
      <c r="L2920" s="30" t="n"/>
      <c r="M2920" s="30" t="n"/>
      <c r="N2920" s="32" t="n"/>
      <c r="O2920" s="30" t="n"/>
      <c r="P2920" s="32" t="n"/>
      <c r="Q2920" s="30" t="n"/>
      <c r="R2920" s="32" t="n"/>
      <c r="S2920" s="30" t="n"/>
      <c r="T2920" s="30" t="n"/>
      <c r="U2920" s="30" t="n"/>
      <c r="V2920" s="30" t="n"/>
      <c r="W2920" s="29">
        <f>IF(H2920="","",IF(H2920="Kenya","Yes","No"))</f>
        <v/>
      </c>
      <c r="X2920" s="29">
        <f>IF(B2920="","",IF(COUNTIF($B$5:$B$3004,B2920)&gt;1,"DUPLICATE","OK"))</f>
        <v/>
      </c>
      <c r="Y2920" s="29">
        <f>IF(OR(U2920="",V2920="",V2920="Excluded"),"",IF(COUNTIFS($U$5:$U$3004,U2920,$V$5:$V$3004,"&lt;&gt;"&amp;V2920,$V$5:$V$3004,"&lt;&gt;",$V$5:$V$3004,"&lt;&gt;Excluded")&gt;0,"LEAK RISK","OK"))</f>
        <v/>
      </c>
      <c r="Z2920" s="30" t="n"/>
    </row>
    <row r="2921">
      <c r="A2921" s="30" t="n"/>
      <c r="B2921" s="30" t="n"/>
      <c r="C2921" s="30" t="n"/>
      <c r="D2921" s="30" t="n"/>
      <c r="E2921" s="30" t="n"/>
      <c r="F2921" s="30" t="n"/>
      <c r="G2921" s="30" t="n"/>
      <c r="H2921" s="30" t="n"/>
      <c r="I2921" s="31" t="n"/>
      <c r="J2921" s="30" t="n"/>
      <c r="K2921" s="30" t="n"/>
      <c r="L2921" s="30" t="n"/>
      <c r="M2921" s="30" t="n"/>
      <c r="N2921" s="32" t="n"/>
      <c r="O2921" s="30" t="n"/>
      <c r="P2921" s="32" t="n"/>
      <c r="Q2921" s="30" t="n"/>
      <c r="R2921" s="32" t="n"/>
      <c r="S2921" s="30" t="n"/>
      <c r="T2921" s="30" t="n"/>
      <c r="U2921" s="30" t="n"/>
      <c r="V2921" s="30" t="n"/>
      <c r="W2921" s="29">
        <f>IF(H2921="","",IF(H2921="Kenya","Yes","No"))</f>
        <v/>
      </c>
      <c r="X2921" s="29">
        <f>IF(B2921="","",IF(COUNTIF($B$5:$B$3004,B2921)&gt;1,"DUPLICATE","OK"))</f>
        <v/>
      </c>
      <c r="Y2921" s="29">
        <f>IF(OR(U2921="",V2921="",V2921="Excluded"),"",IF(COUNTIFS($U$5:$U$3004,U2921,$V$5:$V$3004,"&lt;&gt;"&amp;V2921,$V$5:$V$3004,"&lt;&gt;",$V$5:$V$3004,"&lt;&gt;Excluded")&gt;0,"LEAK RISK","OK"))</f>
        <v/>
      </c>
      <c r="Z2921" s="30" t="n"/>
    </row>
    <row r="2922">
      <c r="A2922" s="30" t="n"/>
      <c r="B2922" s="30" t="n"/>
      <c r="C2922" s="30" t="n"/>
      <c r="D2922" s="30" t="n"/>
      <c r="E2922" s="30" t="n"/>
      <c r="F2922" s="30" t="n"/>
      <c r="G2922" s="30" t="n"/>
      <c r="H2922" s="30" t="n"/>
      <c r="I2922" s="31" t="n"/>
      <c r="J2922" s="30" t="n"/>
      <c r="K2922" s="30" t="n"/>
      <c r="L2922" s="30" t="n"/>
      <c r="M2922" s="30" t="n"/>
      <c r="N2922" s="32" t="n"/>
      <c r="O2922" s="30" t="n"/>
      <c r="P2922" s="32" t="n"/>
      <c r="Q2922" s="30" t="n"/>
      <c r="R2922" s="32" t="n"/>
      <c r="S2922" s="30" t="n"/>
      <c r="T2922" s="30" t="n"/>
      <c r="U2922" s="30" t="n"/>
      <c r="V2922" s="30" t="n"/>
      <c r="W2922" s="29">
        <f>IF(H2922="","",IF(H2922="Kenya","Yes","No"))</f>
        <v/>
      </c>
      <c r="X2922" s="29">
        <f>IF(B2922="","",IF(COUNTIF($B$5:$B$3004,B2922)&gt;1,"DUPLICATE","OK"))</f>
        <v/>
      </c>
      <c r="Y2922" s="29">
        <f>IF(OR(U2922="",V2922="",V2922="Excluded"),"",IF(COUNTIFS($U$5:$U$3004,U2922,$V$5:$V$3004,"&lt;&gt;"&amp;V2922,$V$5:$V$3004,"&lt;&gt;",$V$5:$V$3004,"&lt;&gt;Excluded")&gt;0,"LEAK RISK","OK"))</f>
        <v/>
      </c>
      <c r="Z2922" s="30" t="n"/>
    </row>
    <row r="2923">
      <c r="A2923" s="30" t="n"/>
      <c r="B2923" s="30" t="n"/>
      <c r="C2923" s="30" t="n"/>
      <c r="D2923" s="30" t="n"/>
      <c r="E2923" s="30" t="n"/>
      <c r="F2923" s="30" t="n"/>
      <c r="G2923" s="30" t="n"/>
      <c r="H2923" s="30" t="n"/>
      <c r="I2923" s="31" t="n"/>
      <c r="J2923" s="30" t="n"/>
      <c r="K2923" s="30" t="n"/>
      <c r="L2923" s="30" t="n"/>
      <c r="M2923" s="30" t="n"/>
      <c r="N2923" s="32" t="n"/>
      <c r="O2923" s="30" t="n"/>
      <c r="P2923" s="32" t="n"/>
      <c r="Q2923" s="30" t="n"/>
      <c r="R2923" s="32" t="n"/>
      <c r="S2923" s="30" t="n"/>
      <c r="T2923" s="30" t="n"/>
      <c r="U2923" s="30" t="n"/>
      <c r="V2923" s="30" t="n"/>
      <c r="W2923" s="29">
        <f>IF(H2923="","",IF(H2923="Kenya","Yes","No"))</f>
        <v/>
      </c>
      <c r="X2923" s="29">
        <f>IF(B2923="","",IF(COUNTIF($B$5:$B$3004,B2923)&gt;1,"DUPLICATE","OK"))</f>
        <v/>
      </c>
      <c r="Y2923" s="29">
        <f>IF(OR(U2923="",V2923="",V2923="Excluded"),"",IF(COUNTIFS($U$5:$U$3004,U2923,$V$5:$V$3004,"&lt;&gt;"&amp;V2923,$V$5:$V$3004,"&lt;&gt;",$V$5:$V$3004,"&lt;&gt;Excluded")&gt;0,"LEAK RISK","OK"))</f>
        <v/>
      </c>
      <c r="Z2923" s="30" t="n"/>
    </row>
    <row r="2924">
      <c r="A2924" s="30" t="n"/>
      <c r="B2924" s="30" t="n"/>
      <c r="C2924" s="30" t="n"/>
      <c r="D2924" s="30" t="n"/>
      <c r="E2924" s="30" t="n"/>
      <c r="F2924" s="30" t="n"/>
      <c r="G2924" s="30" t="n"/>
      <c r="H2924" s="30" t="n"/>
      <c r="I2924" s="31" t="n"/>
      <c r="J2924" s="30" t="n"/>
      <c r="K2924" s="30" t="n"/>
      <c r="L2924" s="30" t="n"/>
      <c r="M2924" s="30" t="n"/>
      <c r="N2924" s="32" t="n"/>
      <c r="O2924" s="30" t="n"/>
      <c r="P2924" s="32" t="n"/>
      <c r="Q2924" s="30" t="n"/>
      <c r="R2924" s="32" t="n"/>
      <c r="S2924" s="30" t="n"/>
      <c r="T2924" s="30" t="n"/>
      <c r="U2924" s="30" t="n"/>
      <c r="V2924" s="30" t="n"/>
      <c r="W2924" s="29">
        <f>IF(H2924="","",IF(H2924="Kenya","Yes","No"))</f>
        <v/>
      </c>
      <c r="X2924" s="29">
        <f>IF(B2924="","",IF(COUNTIF($B$5:$B$3004,B2924)&gt;1,"DUPLICATE","OK"))</f>
        <v/>
      </c>
      <c r="Y2924" s="29">
        <f>IF(OR(U2924="",V2924="",V2924="Excluded"),"",IF(COUNTIFS($U$5:$U$3004,U2924,$V$5:$V$3004,"&lt;&gt;"&amp;V2924,$V$5:$V$3004,"&lt;&gt;",$V$5:$V$3004,"&lt;&gt;Excluded")&gt;0,"LEAK RISK","OK"))</f>
        <v/>
      </c>
      <c r="Z2924" s="30" t="n"/>
    </row>
    <row r="2925">
      <c r="A2925" s="30" t="n"/>
      <c r="B2925" s="30" t="n"/>
      <c r="C2925" s="30" t="n"/>
      <c r="D2925" s="30" t="n"/>
      <c r="E2925" s="30" t="n"/>
      <c r="F2925" s="30" t="n"/>
      <c r="G2925" s="30" t="n"/>
      <c r="H2925" s="30" t="n"/>
      <c r="I2925" s="31" t="n"/>
      <c r="J2925" s="30" t="n"/>
      <c r="K2925" s="30" t="n"/>
      <c r="L2925" s="30" t="n"/>
      <c r="M2925" s="30" t="n"/>
      <c r="N2925" s="32" t="n"/>
      <c r="O2925" s="30" t="n"/>
      <c r="P2925" s="32" t="n"/>
      <c r="Q2925" s="30" t="n"/>
      <c r="R2925" s="32" t="n"/>
      <c r="S2925" s="30" t="n"/>
      <c r="T2925" s="30" t="n"/>
      <c r="U2925" s="30" t="n"/>
      <c r="V2925" s="30" t="n"/>
      <c r="W2925" s="29">
        <f>IF(H2925="","",IF(H2925="Kenya","Yes","No"))</f>
        <v/>
      </c>
      <c r="X2925" s="29">
        <f>IF(B2925="","",IF(COUNTIF($B$5:$B$3004,B2925)&gt;1,"DUPLICATE","OK"))</f>
        <v/>
      </c>
      <c r="Y2925" s="29">
        <f>IF(OR(U2925="",V2925="",V2925="Excluded"),"",IF(COUNTIFS($U$5:$U$3004,U2925,$V$5:$V$3004,"&lt;&gt;"&amp;V2925,$V$5:$V$3004,"&lt;&gt;",$V$5:$V$3004,"&lt;&gt;Excluded")&gt;0,"LEAK RISK","OK"))</f>
        <v/>
      </c>
      <c r="Z2925" s="30" t="n"/>
    </row>
    <row r="2926">
      <c r="A2926" s="30" t="n"/>
      <c r="B2926" s="30" t="n"/>
      <c r="C2926" s="30" t="n"/>
      <c r="D2926" s="30" t="n"/>
      <c r="E2926" s="30" t="n"/>
      <c r="F2926" s="30" t="n"/>
      <c r="G2926" s="30" t="n"/>
      <c r="H2926" s="30" t="n"/>
      <c r="I2926" s="31" t="n"/>
      <c r="J2926" s="30" t="n"/>
      <c r="K2926" s="30" t="n"/>
      <c r="L2926" s="30" t="n"/>
      <c r="M2926" s="30" t="n"/>
      <c r="N2926" s="32" t="n"/>
      <c r="O2926" s="30" t="n"/>
      <c r="P2926" s="32" t="n"/>
      <c r="Q2926" s="30" t="n"/>
      <c r="R2926" s="32" t="n"/>
      <c r="S2926" s="30" t="n"/>
      <c r="T2926" s="30" t="n"/>
      <c r="U2926" s="30" t="n"/>
      <c r="V2926" s="30" t="n"/>
      <c r="W2926" s="29">
        <f>IF(H2926="","",IF(H2926="Kenya","Yes","No"))</f>
        <v/>
      </c>
      <c r="X2926" s="29">
        <f>IF(B2926="","",IF(COUNTIF($B$5:$B$3004,B2926)&gt;1,"DUPLICATE","OK"))</f>
        <v/>
      </c>
      <c r="Y2926" s="29">
        <f>IF(OR(U2926="",V2926="",V2926="Excluded"),"",IF(COUNTIFS($U$5:$U$3004,U2926,$V$5:$V$3004,"&lt;&gt;"&amp;V2926,$V$5:$V$3004,"&lt;&gt;",$V$5:$V$3004,"&lt;&gt;Excluded")&gt;0,"LEAK RISK","OK"))</f>
        <v/>
      </c>
      <c r="Z2926" s="30" t="n"/>
    </row>
    <row r="2927">
      <c r="A2927" s="30" t="n"/>
      <c r="B2927" s="30" t="n"/>
      <c r="C2927" s="30" t="n"/>
      <c r="D2927" s="30" t="n"/>
      <c r="E2927" s="30" t="n"/>
      <c r="F2927" s="30" t="n"/>
      <c r="G2927" s="30" t="n"/>
      <c r="H2927" s="30" t="n"/>
      <c r="I2927" s="31" t="n"/>
      <c r="J2927" s="30" t="n"/>
      <c r="K2927" s="30" t="n"/>
      <c r="L2927" s="30" t="n"/>
      <c r="M2927" s="30" t="n"/>
      <c r="N2927" s="32" t="n"/>
      <c r="O2927" s="30" t="n"/>
      <c r="P2927" s="32" t="n"/>
      <c r="Q2927" s="30" t="n"/>
      <c r="R2927" s="32" t="n"/>
      <c r="S2927" s="30" t="n"/>
      <c r="T2927" s="30" t="n"/>
      <c r="U2927" s="30" t="n"/>
      <c r="V2927" s="30" t="n"/>
      <c r="W2927" s="29">
        <f>IF(H2927="","",IF(H2927="Kenya","Yes","No"))</f>
        <v/>
      </c>
      <c r="X2927" s="29">
        <f>IF(B2927="","",IF(COUNTIF($B$5:$B$3004,B2927)&gt;1,"DUPLICATE","OK"))</f>
        <v/>
      </c>
      <c r="Y2927" s="29">
        <f>IF(OR(U2927="",V2927="",V2927="Excluded"),"",IF(COUNTIFS($U$5:$U$3004,U2927,$V$5:$V$3004,"&lt;&gt;"&amp;V2927,$V$5:$V$3004,"&lt;&gt;",$V$5:$V$3004,"&lt;&gt;Excluded")&gt;0,"LEAK RISK","OK"))</f>
        <v/>
      </c>
      <c r="Z2927" s="30" t="n"/>
    </row>
    <row r="2928">
      <c r="A2928" s="30" t="n"/>
      <c r="B2928" s="30" t="n"/>
      <c r="C2928" s="30" t="n"/>
      <c r="D2928" s="30" t="n"/>
      <c r="E2928" s="30" t="n"/>
      <c r="F2928" s="30" t="n"/>
      <c r="G2928" s="30" t="n"/>
      <c r="H2928" s="30" t="n"/>
      <c r="I2928" s="31" t="n"/>
      <c r="J2928" s="30" t="n"/>
      <c r="K2928" s="30" t="n"/>
      <c r="L2928" s="30" t="n"/>
      <c r="M2928" s="30" t="n"/>
      <c r="N2928" s="32" t="n"/>
      <c r="O2928" s="30" t="n"/>
      <c r="P2928" s="32" t="n"/>
      <c r="Q2928" s="30" t="n"/>
      <c r="R2928" s="32" t="n"/>
      <c r="S2928" s="30" t="n"/>
      <c r="T2928" s="30" t="n"/>
      <c r="U2928" s="30" t="n"/>
      <c r="V2928" s="30" t="n"/>
      <c r="W2928" s="29">
        <f>IF(H2928="","",IF(H2928="Kenya","Yes","No"))</f>
        <v/>
      </c>
      <c r="X2928" s="29">
        <f>IF(B2928="","",IF(COUNTIF($B$5:$B$3004,B2928)&gt;1,"DUPLICATE","OK"))</f>
        <v/>
      </c>
      <c r="Y2928" s="29">
        <f>IF(OR(U2928="",V2928="",V2928="Excluded"),"",IF(COUNTIFS($U$5:$U$3004,U2928,$V$5:$V$3004,"&lt;&gt;"&amp;V2928,$V$5:$V$3004,"&lt;&gt;",$V$5:$V$3004,"&lt;&gt;Excluded")&gt;0,"LEAK RISK","OK"))</f>
        <v/>
      </c>
      <c r="Z2928" s="30" t="n"/>
    </row>
    <row r="2929">
      <c r="A2929" s="30" t="n"/>
      <c r="B2929" s="30" t="n"/>
      <c r="C2929" s="30" t="n"/>
      <c r="D2929" s="30" t="n"/>
      <c r="E2929" s="30" t="n"/>
      <c r="F2929" s="30" t="n"/>
      <c r="G2929" s="30" t="n"/>
      <c r="H2929" s="30" t="n"/>
      <c r="I2929" s="31" t="n"/>
      <c r="J2929" s="30" t="n"/>
      <c r="K2929" s="30" t="n"/>
      <c r="L2929" s="30" t="n"/>
      <c r="M2929" s="30" t="n"/>
      <c r="N2929" s="32" t="n"/>
      <c r="O2929" s="30" t="n"/>
      <c r="P2929" s="32" t="n"/>
      <c r="Q2929" s="30" t="n"/>
      <c r="R2929" s="32" t="n"/>
      <c r="S2929" s="30" t="n"/>
      <c r="T2929" s="30" t="n"/>
      <c r="U2929" s="30" t="n"/>
      <c r="V2929" s="30" t="n"/>
      <c r="W2929" s="29">
        <f>IF(H2929="","",IF(H2929="Kenya","Yes","No"))</f>
        <v/>
      </c>
      <c r="X2929" s="29">
        <f>IF(B2929="","",IF(COUNTIF($B$5:$B$3004,B2929)&gt;1,"DUPLICATE","OK"))</f>
        <v/>
      </c>
      <c r="Y2929" s="29">
        <f>IF(OR(U2929="",V2929="",V2929="Excluded"),"",IF(COUNTIFS($U$5:$U$3004,U2929,$V$5:$V$3004,"&lt;&gt;"&amp;V2929,$V$5:$V$3004,"&lt;&gt;",$V$5:$V$3004,"&lt;&gt;Excluded")&gt;0,"LEAK RISK","OK"))</f>
        <v/>
      </c>
      <c r="Z2929" s="30" t="n"/>
    </row>
    <row r="2930">
      <c r="A2930" s="30" t="n"/>
      <c r="B2930" s="30" t="n"/>
      <c r="C2930" s="30" t="n"/>
      <c r="D2930" s="30" t="n"/>
      <c r="E2930" s="30" t="n"/>
      <c r="F2930" s="30" t="n"/>
      <c r="G2930" s="30" t="n"/>
      <c r="H2930" s="30" t="n"/>
      <c r="I2930" s="31" t="n"/>
      <c r="J2930" s="30" t="n"/>
      <c r="K2930" s="30" t="n"/>
      <c r="L2930" s="30" t="n"/>
      <c r="M2930" s="30" t="n"/>
      <c r="N2930" s="32" t="n"/>
      <c r="O2930" s="30" t="n"/>
      <c r="P2930" s="32" t="n"/>
      <c r="Q2930" s="30" t="n"/>
      <c r="R2930" s="32" t="n"/>
      <c r="S2930" s="30" t="n"/>
      <c r="T2930" s="30" t="n"/>
      <c r="U2930" s="30" t="n"/>
      <c r="V2930" s="30" t="n"/>
      <c r="W2930" s="29">
        <f>IF(H2930="","",IF(H2930="Kenya","Yes","No"))</f>
        <v/>
      </c>
      <c r="X2930" s="29">
        <f>IF(B2930="","",IF(COUNTIF($B$5:$B$3004,B2930)&gt;1,"DUPLICATE","OK"))</f>
        <v/>
      </c>
      <c r="Y2930" s="29">
        <f>IF(OR(U2930="",V2930="",V2930="Excluded"),"",IF(COUNTIFS($U$5:$U$3004,U2930,$V$5:$V$3004,"&lt;&gt;"&amp;V2930,$V$5:$V$3004,"&lt;&gt;",$V$5:$V$3004,"&lt;&gt;Excluded")&gt;0,"LEAK RISK","OK"))</f>
        <v/>
      </c>
      <c r="Z2930" s="30" t="n"/>
    </row>
    <row r="2931">
      <c r="A2931" s="30" t="n"/>
      <c r="B2931" s="30" t="n"/>
      <c r="C2931" s="30" t="n"/>
      <c r="D2931" s="30" t="n"/>
      <c r="E2931" s="30" t="n"/>
      <c r="F2931" s="30" t="n"/>
      <c r="G2931" s="30" t="n"/>
      <c r="H2931" s="30" t="n"/>
      <c r="I2931" s="31" t="n"/>
      <c r="J2931" s="30" t="n"/>
      <c r="K2931" s="30" t="n"/>
      <c r="L2931" s="30" t="n"/>
      <c r="M2931" s="30" t="n"/>
      <c r="N2931" s="32" t="n"/>
      <c r="O2931" s="30" t="n"/>
      <c r="P2931" s="32" t="n"/>
      <c r="Q2931" s="30" t="n"/>
      <c r="R2931" s="32" t="n"/>
      <c r="S2931" s="30" t="n"/>
      <c r="T2931" s="30" t="n"/>
      <c r="U2931" s="30" t="n"/>
      <c r="V2931" s="30" t="n"/>
      <c r="W2931" s="29">
        <f>IF(H2931="","",IF(H2931="Kenya","Yes","No"))</f>
        <v/>
      </c>
      <c r="X2931" s="29">
        <f>IF(B2931="","",IF(COUNTIF($B$5:$B$3004,B2931)&gt;1,"DUPLICATE","OK"))</f>
        <v/>
      </c>
      <c r="Y2931" s="29">
        <f>IF(OR(U2931="",V2931="",V2931="Excluded"),"",IF(COUNTIFS($U$5:$U$3004,U2931,$V$5:$V$3004,"&lt;&gt;"&amp;V2931,$V$5:$V$3004,"&lt;&gt;",$V$5:$V$3004,"&lt;&gt;Excluded")&gt;0,"LEAK RISK","OK"))</f>
        <v/>
      </c>
      <c r="Z2931" s="30" t="n"/>
    </row>
    <row r="2932">
      <c r="A2932" s="30" t="n"/>
      <c r="B2932" s="30" t="n"/>
      <c r="C2932" s="30" t="n"/>
      <c r="D2932" s="30" t="n"/>
      <c r="E2932" s="30" t="n"/>
      <c r="F2932" s="30" t="n"/>
      <c r="G2932" s="30" t="n"/>
      <c r="H2932" s="30" t="n"/>
      <c r="I2932" s="31" t="n"/>
      <c r="J2932" s="30" t="n"/>
      <c r="K2932" s="30" t="n"/>
      <c r="L2932" s="30" t="n"/>
      <c r="M2932" s="30" t="n"/>
      <c r="N2932" s="32" t="n"/>
      <c r="O2932" s="30" t="n"/>
      <c r="P2932" s="32" t="n"/>
      <c r="Q2932" s="30" t="n"/>
      <c r="R2932" s="32" t="n"/>
      <c r="S2932" s="30" t="n"/>
      <c r="T2932" s="30" t="n"/>
      <c r="U2932" s="30" t="n"/>
      <c r="V2932" s="30" t="n"/>
      <c r="W2932" s="29">
        <f>IF(H2932="","",IF(H2932="Kenya","Yes","No"))</f>
        <v/>
      </c>
      <c r="X2932" s="29">
        <f>IF(B2932="","",IF(COUNTIF($B$5:$B$3004,B2932)&gt;1,"DUPLICATE","OK"))</f>
        <v/>
      </c>
      <c r="Y2932" s="29">
        <f>IF(OR(U2932="",V2932="",V2932="Excluded"),"",IF(COUNTIFS($U$5:$U$3004,U2932,$V$5:$V$3004,"&lt;&gt;"&amp;V2932,$V$5:$V$3004,"&lt;&gt;",$V$5:$V$3004,"&lt;&gt;Excluded")&gt;0,"LEAK RISK","OK"))</f>
        <v/>
      </c>
      <c r="Z2932" s="30" t="n"/>
    </row>
    <row r="2933">
      <c r="A2933" s="30" t="n"/>
      <c r="B2933" s="30" t="n"/>
      <c r="C2933" s="30" t="n"/>
      <c r="D2933" s="30" t="n"/>
      <c r="E2933" s="30" t="n"/>
      <c r="F2933" s="30" t="n"/>
      <c r="G2933" s="30" t="n"/>
      <c r="H2933" s="30" t="n"/>
      <c r="I2933" s="31" t="n"/>
      <c r="J2933" s="30" t="n"/>
      <c r="K2933" s="30" t="n"/>
      <c r="L2933" s="30" t="n"/>
      <c r="M2933" s="30" t="n"/>
      <c r="N2933" s="32" t="n"/>
      <c r="O2933" s="30" t="n"/>
      <c r="P2933" s="32" t="n"/>
      <c r="Q2933" s="30" t="n"/>
      <c r="R2933" s="32" t="n"/>
      <c r="S2933" s="30" t="n"/>
      <c r="T2933" s="30" t="n"/>
      <c r="U2933" s="30" t="n"/>
      <c r="V2933" s="30" t="n"/>
      <c r="W2933" s="29">
        <f>IF(H2933="","",IF(H2933="Kenya","Yes","No"))</f>
        <v/>
      </c>
      <c r="X2933" s="29">
        <f>IF(B2933="","",IF(COUNTIF($B$5:$B$3004,B2933)&gt;1,"DUPLICATE","OK"))</f>
        <v/>
      </c>
      <c r="Y2933" s="29">
        <f>IF(OR(U2933="",V2933="",V2933="Excluded"),"",IF(COUNTIFS($U$5:$U$3004,U2933,$V$5:$V$3004,"&lt;&gt;"&amp;V2933,$V$5:$V$3004,"&lt;&gt;",$V$5:$V$3004,"&lt;&gt;Excluded")&gt;0,"LEAK RISK","OK"))</f>
        <v/>
      </c>
      <c r="Z2933" s="30" t="n"/>
    </row>
    <row r="2934">
      <c r="A2934" s="30" t="n"/>
      <c r="B2934" s="30" t="n"/>
      <c r="C2934" s="30" t="n"/>
      <c r="D2934" s="30" t="n"/>
      <c r="E2934" s="30" t="n"/>
      <c r="F2934" s="30" t="n"/>
      <c r="G2934" s="30" t="n"/>
      <c r="H2934" s="30" t="n"/>
      <c r="I2934" s="31" t="n"/>
      <c r="J2934" s="30" t="n"/>
      <c r="K2934" s="30" t="n"/>
      <c r="L2934" s="30" t="n"/>
      <c r="M2934" s="30" t="n"/>
      <c r="N2934" s="32" t="n"/>
      <c r="O2934" s="30" t="n"/>
      <c r="P2934" s="32" t="n"/>
      <c r="Q2934" s="30" t="n"/>
      <c r="R2934" s="32" t="n"/>
      <c r="S2934" s="30" t="n"/>
      <c r="T2934" s="30" t="n"/>
      <c r="U2934" s="30" t="n"/>
      <c r="V2934" s="30" t="n"/>
      <c r="W2934" s="29">
        <f>IF(H2934="","",IF(H2934="Kenya","Yes","No"))</f>
        <v/>
      </c>
      <c r="X2934" s="29">
        <f>IF(B2934="","",IF(COUNTIF($B$5:$B$3004,B2934)&gt;1,"DUPLICATE","OK"))</f>
        <v/>
      </c>
      <c r="Y2934" s="29">
        <f>IF(OR(U2934="",V2934="",V2934="Excluded"),"",IF(COUNTIFS($U$5:$U$3004,U2934,$V$5:$V$3004,"&lt;&gt;"&amp;V2934,$V$5:$V$3004,"&lt;&gt;",$V$5:$V$3004,"&lt;&gt;Excluded")&gt;0,"LEAK RISK","OK"))</f>
        <v/>
      </c>
      <c r="Z2934" s="30" t="n"/>
    </row>
    <row r="2935">
      <c r="A2935" s="30" t="n"/>
      <c r="B2935" s="30" t="n"/>
      <c r="C2935" s="30" t="n"/>
      <c r="D2935" s="30" t="n"/>
      <c r="E2935" s="30" t="n"/>
      <c r="F2935" s="30" t="n"/>
      <c r="G2935" s="30" t="n"/>
      <c r="H2935" s="30" t="n"/>
      <c r="I2935" s="31" t="n"/>
      <c r="J2935" s="30" t="n"/>
      <c r="K2935" s="30" t="n"/>
      <c r="L2935" s="30" t="n"/>
      <c r="M2935" s="30" t="n"/>
      <c r="N2935" s="32" t="n"/>
      <c r="O2935" s="30" t="n"/>
      <c r="P2935" s="32" t="n"/>
      <c r="Q2935" s="30" t="n"/>
      <c r="R2935" s="32" t="n"/>
      <c r="S2935" s="30" t="n"/>
      <c r="T2935" s="30" t="n"/>
      <c r="U2935" s="30" t="n"/>
      <c r="V2935" s="30" t="n"/>
      <c r="W2935" s="29">
        <f>IF(H2935="","",IF(H2935="Kenya","Yes","No"))</f>
        <v/>
      </c>
      <c r="X2935" s="29">
        <f>IF(B2935="","",IF(COUNTIF($B$5:$B$3004,B2935)&gt;1,"DUPLICATE","OK"))</f>
        <v/>
      </c>
      <c r="Y2935" s="29">
        <f>IF(OR(U2935="",V2935="",V2935="Excluded"),"",IF(COUNTIFS($U$5:$U$3004,U2935,$V$5:$V$3004,"&lt;&gt;"&amp;V2935,$V$5:$V$3004,"&lt;&gt;",$V$5:$V$3004,"&lt;&gt;Excluded")&gt;0,"LEAK RISK","OK"))</f>
        <v/>
      </c>
      <c r="Z2935" s="30" t="n"/>
    </row>
    <row r="2936">
      <c r="A2936" s="30" t="n"/>
      <c r="B2936" s="30" t="n"/>
      <c r="C2936" s="30" t="n"/>
      <c r="D2936" s="30" t="n"/>
      <c r="E2936" s="30" t="n"/>
      <c r="F2936" s="30" t="n"/>
      <c r="G2936" s="30" t="n"/>
      <c r="H2936" s="30" t="n"/>
      <c r="I2936" s="31" t="n"/>
      <c r="J2936" s="30" t="n"/>
      <c r="K2936" s="30" t="n"/>
      <c r="L2936" s="30" t="n"/>
      <c r="M2936" s="30" t="n"/>
      <c r="N2936" s="32" t="n"/>
      <c r="O2936" s="30" t="n"/>
      <c r="P2936" s="32" t="n"/>
      <c r="Q2936" s="30" t="n"/>
      <c r="R2936" s="32" t="n"/>
      <c r="S2936" s="30" t="n"/>
      <c r="T2936" s="30" t="n"/>
      <c r="U2936" s="30" t="n"/>
      <c r="V2936" s="30" t="n"/>
      <c r="W2936" s="29">
        <f>IF(H2936="","",IF(H2936="Kenya","Yes","No"))</f>
        <v/>
      </c>
      <c r="X2936" s="29">
        <f>IF(B2936="","",IF(COUNTIF($B$5:$B$3004,B2936)&gt;1,"DUPLICATE","OK"))</f>
        <v/>
      </c>
      <c r="Y2936" s="29">
        <f>IF(OR(U2936="",V2936="",V2936="Excluded"),"",IF(COUNTIFS($U$5:$U$3004,U2936,$V$5:$V$3004,"&lt;&gt;"&amp;V2936,$V$5:$V$3004,"&lt;&gt;",$V$5:$V$3004,"&lt;&gt;Excluded")&gt;0,"LEAK RISK","OK"))</f>
        <v/>
      </c>
      <c r="Z2936" s="30" t="n"/>
    </row>
    <row r="2937">
      <c r="A2937" s="30" t="n"/>
      <c r="B2937" s="30" t="n"/>
      <c r="C2937" s="30" t="n"/>
      <c r="D2937" s="30" t="n"/>
      <c r="E2937" s="30" t="n"/>
      <c r="F2937" s="30" t="n"/>
      <c r="G2937" s="30" t="n"/>
      <c r="H2937" s="30" t="n"/>
      <c r="I2937" s="31" t="n"/>
      <c r="J2937" s="30" t="n"/>
      <c r="K2937" s="30" t="n"/>
      <c r="L2937" s="30" t="n"/>
      <c r="M2937" s="30" t="n"/>
      <c r="N2937" s="32" t="n"/>
      <c r="O2937" s="30" t="n"/>
      <c r="P2937" s="32" t="n"/>
      <c r="Q2937" s="30" t="n"/>
      <c r="R2937" s="32" t="n"/>
      <c r="S2937" s="30" t="n"/>
      <c r="T2937" s="30" t="n"/>
      <c r="U2937" s="30" t="n"/>
      <c r="V2937" s="30" t="n"/>
      <c r="W2937" s="29">
        <f>IF(H2937="","",IF(H2937="Kenya","Yes","No"))</f>
        <v/>
      </c>
      <c r="X2937" s="29">
        <f>IF(B2937="","",IF(COUNTIF($B$5:$B$3004,B2937)&gt;1,"DUPLICATE","OK"))</f>
        <v/>
      </c>
      <c r="Y2937" s="29">
        <f>IF(OR(U2937="",V2937="",V2937="Excluded"),"",IF(COUNTIFS($U$5:$U$3004,U2937,$V$5:$V$3004,"&lt;&gt;"&amp;V2937,$V$5:$V$3004,"&lt;&gt;",$V$5:$V$3004,"&lt;&gt;Excluded")&gt;0,"LEAK RISK","OK"))</f>
        <v/>
      </c>
      <c r="Z2937" s="30" t="n"/>
    </row>
    <row r="2938">
      <c r="A2938" s="30" t="n"/>
      <c r="B2938" s="30" t="n"/>
      <c r="C2938" s="30" t="n"/>
      <c r="D2938" s="30" t="n"/>
      <c r="E2938" s="30" t="n"/>
      <c r="F2938" s="30" t="n"/>
      <c r="G2938" s="30" t="n"/>
      <c r="H2938" s="30" t="n"/>
      <c r="I2938" s="31" t="n"/>
      <c r="J2938" s="30" t="n"/>
      <c r="K2938" s="30" t="n"/>
      <c r="L2938" s="30" t="n"/>
      <c r="M2938" s="30" t="n"/>
      <c r="N2938" s="32" t="n"/>
      <c r="O2938" s="30" t="n"/>
      <c r="P2938" s="32" t="n"/>
      <c r="Q2938" s="30" t="n"/>
      <c r="R2938" s="32" t="n"/>
      <c r="S2938" s="30" t="n"/>
      <c r="T2938" s="30" t="n"/>
      <c r="U2938" s="30" t="n"/>
      <c r="V2938" s="30" t="n"/>
      <c r="W2938" s="29">
        <f>IF(H2938="","",IF(H2938="Kenya","Yes","No"))</f>
        <v/>
      </c>
      <c r="X2938" s="29">
        <f>IF(B2938="","",IF(COUNTIF($B$5:$B$3004,B2938)&gt;1,"DUPLICATE","OK"))</f>
        <v/>
      </c>
      <c r="Y2938" s="29">
        <f>IF(OR(U2938="",V2938="",V2938="Excluded"),"",IF(COUNTIFS($U$5:$U$3004,U2938,$V$5:$V$3004,"&lt;&gt;"&amp;V2938,$V$5:$V$3004,"&lt;&gt;",$V$5:$V$3004,"&lt;&gt;Excluded")&gt;0,"LEAK RISK","OK"))</f>
        <v/>
      </c>
      <c r="Z2938" s="30" t="n"/>
    </row>
    <row r="2939">
      <c r="A2939" s="30" t="n"/>
      <c r="B2939" s="30" t="n"/>
      <c r="C2939" s="30" t="n"/>
      <c r="D2939" s="30" t="n"/>
      <c r="E2939" s="30" t="n"/>
      <c r="F2939" s="30" t="n"/>
      <c r="G2939" s="30" t="n"/>
      <c r="H2939" s="30" t="n"/>
      <c r="I2939" s="31" t="n"/>
      <c r="J2939" s="30" t="n"/>
      <c r="K2939" s="30" t="n"/>
      <c r="L2939" s="30" t="n"/>
      <c r="M2939" s="30" t="n"/>
      <c r="N2939" s="32" t="n"/>
      <c r="O2939" s="30" t="n"/>
      <c r="P2939" s="32" t="n"/>
      <c r="Q2939" s="30" t="n"/>
      <c r="R2939" s="32" t="n"/>
      <c r="S2939" s="30" t="n"/>
      <c r="T2939" s="30" t="n"/>
      <c r="U2939" s="30" t="n"/>
      <c r="V2939" s="30" t="n"/>
      <c r="W2939" s="29">
        <f>IF(H2939="","",IF(H2939="Kenya","Yes","No"))</f>
        <v/>
      </c>
      <c r="X2939" s="29">
        <f>IF(B2939="","",IF(COUNTIF($B$5:$B$3004,B2939)&gt;1,"DUPLICATE","OK"))</f>
        <v/>
      </c>
      <c r="Y2939" s="29">
        <f>IF(OR(U2939="",V2939="",V2939="Excluded"),"",IF(COUNTIFS($U$5:$U$3004,U2939,$V$5:$V$3004,"&lt;&gt;"&amp;V2939,$V$5:$V$3004,"&lt;&gt;",$V$5:$V$3004,"&lt;&gt;Excluded")&gt;0,"LEAK RISK","OK"))</f>
        <v/>
      </c>
      <c r="Z2939" s="30" t="n"/>
    </row>
    <row r="2940">
      <c r="A2940" s="30" t="n"/>
      <c r="B2940" s="30" t="n"/>
      <c r="C2940" s="30" t="n"/>
      <c r="D2940" s="30" t="n"/>
      <c r="E2940" s="30" t="n"/>
      <c r="F2940" s="30" t="n"/>
      <c r="G2940" s="30" t="n"/>
      <c r="H2940" s="30" t="n"/>
      <c r="I2940" s="31" t="n"/>
      <c r="J2940" s="30" t="n"/>
      <c r="K2940" s="30" t="n"/>
      <c r="L2940" s="30" t="n"/>
      <c r="M2940" s="30" t="n"/>
      <c r="N2940" s="32" t="n"/>
      <c r="O2940" s="30" t="n"/>
      <c r="P2940" s="32" t="n"/>
      <c r="Q2940" s="30" t="n"/>
      <c r="R2940" s="32" t="n"/>
      <c r="S2940" s="30" t="n"/>
      <c r="T2940" s="30" t="n"/>
      <c r="U2940" s="30" t="n"/>
      <c r="V2940" s="30" t="n"/>
      <c r="W2940" s="29">
        <f>IF(H2940="","",IF(H2940="Kenya","Yes","No"))</f>
        <v/>
      </c>
      <c r="X2940" s="29">
        <f>IF(B2940="","",IF(COUNTIF($B$5:$B$3004,B2940)&gt;1,"DUPLICATE","OK"))</f>
        <v/>
      </c>
      <c r="Y2940" s="29">
        <f>IF(OR(U2940="",V2940="",V2940="Excluded"),"",IF(COUNTIFS($U$5:$U$3004,U2940,$V$5:$V$3004,"&lt;&gt;"&amp;V2940,$V$5:$V$3004,"&lt;&gt;",$V$5:$V$3004,"&lt;&gt;Excluded")&gt;0,"LEAK RISK","OK"))</f>
        <v/>
      </c>
      <c r="Z2940" s="30" t="n"/>
    </row>
    <row r="2941">
      <c r="A2941" s="30" t="n"/>
      <c r="B2941" s="30" t="n"/>
      <c r="C2941" s="30" t="n"/>
      <c r="D2941" s="30" t="n"/>
      <c r="E2941" s="30" t="n"/>
      <c r="F2941" s="30" t="n"/>
      <c r="G2941" s="30" t="n"/>
      <c r="H2941" s="30" t="n"/>
      <c r="I2941" s="31" t="n"/>
      <c r="J2941" s="30" t="n"/>
      <c r="K2941" s="30" t="n"/>
      <c r="L2941" s="30" t="n"/>
      <c r="M2941" s="30" t="n"/>
      <c r="N2941" s="32" t="n"/>
      <c r="O2941" s="30" t="n"/>
      <c r="P2941" s="32" t="n"/>
      <c r="Q2941" s="30" t="n"/>
      <c r="R2941" s="32" t="n"/>
      <c r="S2941" s="30" t="n"/>
      <c r="T2941" s="30" t="n"/>
      <c r="U2941" s="30" t="n"/>
      <c r="V2941" s="30" t="n"/>
      <c r="W2941" s="29">
        <f>IF(H2941="","",IF(H2941="Kenya","Yes","No"))</f>
        <v/>
      </c>
      <c r="X2941" s="29">
        <f>IF(B2941="","",IF(COUNTIF($B$5:$B$3004,B2941)&gt;1,"DUPLICATE","OK"))</f>
        <v/>
      </c>
      <c r="Y2941" s="29">
        <f>IF(OR(U2941="",V2941="",V2941="Excluded"),"",IF(COUNTIFS($U$5:$U$3004,U2941,$V$5:$V$3004,"&lt;&gt;"&amp;V2941,$V$5:$V$3004,"&lt;&gt;",$V$5:$V$3004,"&lt;&gt;Excluded")&gt;0,"LEAK RISK","OK"))</f>
        <v/>
      </c>
      <c r="Z2941" s="30" t="n"/>
    </row>
    <row r="2942">
      <c r="A2942" s="30" t="n"/>
      <c r="B2942" s="30" t="n"/>
      <c r="C2942" s="30" t="n"/>
      <c r="D2942" s="30" t="n"/>
      <c r="E2942" s="30" t="n"/>
      <c r="F2942" s="30" t="n"/>
      <c r="G2942" s="30" t="n"/>
      <c r="H2942" s="30" t="n"/>
      <c r="I2942" s="31" t="n"/>
      <c r="J2942" s="30" t="n"/>
      <c r="K2942" s="30" t="n"/>
      <c r="L2942" s="30" t="n"/>
      <c r="M2942" s="30" t="n"/>
      <c r="N2942" s="32" t="n"/>
      <c r="O2942" s="30" t="n"/>
      <c r="P2942" s="32" t="n"/>
      <c r="Q2942" s="30" t="n"/>
      <c r="R2942" s="32" t="n"/>
      <c r="S2942" s="30" t="n"/>
      <c r="T2942" s="30" t="n"/>
      <c r="U2942" s="30" t="n"/>
      <c r="V2942" s="30" t="n"/>
      <c r="W2942" s="29">
        <f>IF(H2942="","",IF(H2942="Kenya","Yes","No"))</f>
        <v/>
      </c>
      <c r="X2942" s="29">
        <f>IF(B2942="","",IF(COUNTIF($B$5:$B$3004,B2942)&gt;1,"DUPLICATE","OK"))</f>
        <v/>
      </c>
      <c r="Y2942" s="29">
        <f>IF(OR(U2942="",V2942="",V2942="Excluded"),"",IF(COUNTIFS($U$5:$U$3004,U2942,$V$5:$V$3004,"&lt;&gt;"&amp;V2942,$V$5:$V$3004,"&lt;&gt;",$V$5:$V$3004,"&lt;&gt;Excluded")&gt;0,"LEAK RISK","OK"))</f>
        <v/>
      </c>
      <c r="Z2942" s="30" t="n"/>
    </row>
    <row r="2943">
      <c r="A2943" s="30" t="n"/>
      <c r="B2943" s="30" t="n"/>
      <c r="C2943" s="30" t="n"/>
      <c r="D2943" s="30" t="n"/>
      <c r="E2943" s="30" t="n"/>
      <c r="F2943" s="30" t="n"/>
      <c r="G2943" s="30" t="n"/>
      <c r="H2943" s="30" t="n"/>
      <c r="I2943" s="31" t="n"/>
      <c r="J2943" s="30" t="n"/>
      <c r="K2943" s="30" t="n"/>
      <c r="L2943" s="30" t="n"/>
      <c r="M2943" s="30" t="n"/>
      <c r="N2943" s="32" t="n"/>
      <c r="O2943" s="30" t="n"/>
      <c r="P2943" s="32" t="n"/>
      <c r="Q2943" s="30" t="n"/>
      <c r="R2943" s="32" t="n"/>
      <c r="S2943" s="30" t="n"/>
      <c r="T2943" s="30" t="n"/>
      <c r="U2943" s="30" t="n"/>
      <c r="V2943" s="30" t="n"/>
      <c r="W2943" s="29">
        <f>IF(H2943="","",IF(H2943="Kenya","Yes","No"))</f>
        <v/>
      </c>
      <c r="X2943" s="29">
        <f>IF(B2943="","",IF(COUNTIF($B$5:$B$3004,B2943)&gt;1,"DUPLICATE","OK"))</f>
        <v/>
      </c>
      <c r="Y2943" s="29">
        <f>IF(OR(U2943="",V2943="",V2943="Excluded"),"",IF(COUNTIFS($U$5:$U$3004,U2943,$V$5:$V$3004,"&lt;&gt;"&amp;V2943,$V$5:$V$3004,"&lt;&gt;",$V$5:$V$3004,"&lt;&gt;Excluded")&gt;0,"LEAK RISK","OK"))</f>
        <v/>
      </c>
      <c r="Z2943" s="30" t="n"/>
    </row>
    <row r="2944">
      <c r="A2944" s="30" t="n"/>
      <c r="B2944" s="30" t="n"/>
      <c r="C2944" s="30" t="n"/>
      <c r="D2944" s="30" t="n"/>
      <c r="E2944" s="30" t="n"/>
      <c r="F2944" s="30" t="n"/>
      <c r="G2944" s="30" t="n"/>
      <c r="H2944" s="30" t="n"/>
      <c r="I2944" s="31" t="n"/>
      <c r="J2944" s="30" t="n"/>
      <c r="K2944" s="30" t="n"/>
      <c r="L2944" s="30" t="n"/>
      <c r="M2944" s="30" t="n"/>
      <c r="N2944" s="32" t="n"/>
      <c r="O2944" s="30" t="n"/>
      <c r="P2944" s="32" t="n"/>
      <c r="Q2944" s="30" t="n"/>
      <c r="R2944" s="32" t="n"/>
      <c r="S2944" s="30" t="n"/>
      <c r="T2944" s="30" t="n"/>
      <c r="U2944" s="30" t="n"/>
      <c r="V2944" s="30" t="n"/>
      <c r="W2944" s="29">
        <f>IF(H2944="","",IF(H2944="Kenya","Yes","No"))</f>
        <v/>
      </c>
      <c r="X2944" s="29">
        <f>IF(B2944="","",IF(COUNTIF($B$5:$B$3004,B2944)&gt;1,"DUPLICATE","OK"))</f>
        <v/>
      </c>
      <c r="Y2944" s="29">
        <f>IF(OR(U2944="",V2944="",V2944="Excluded"),"",IF(COUNTIFS($U$5:$U$3004,U2944,$V$5:$V$3004,"&lt;&gt;"&amp;V2944,$V$5:$V$3004,"&lt;&gt;",$V$5:$V$3004,"&lt;&gt;Excluded")&gt;0,"LEAK RISK","OK"))</f>
        <v/>
      </c>
      <c r="Z2944" s="30" t="n"/>
    </row>
    <row r="2945">
      <c r="A2945" s="30" t="n"/>
      <c r="B2945" s="30" t="n"/>
      <c r="C2945" s="30" t="n"/>
      <c r="D2945" s="30" t="n"/>
      <c r="E2945" s="30" t="n"/>
      <c r="F2945" s="30" t="n"/>
      <c r="G2945" s="30" t="n"/>
      <c r="H2945" s="30" t="n"/>
      <c r="I2945" s="31" t="n"/>
      <c r="J2945" s="30" t="n"/>
      <c r="K2945" s="30" t="n"/>
      <c r="L2945" s="30" t="n"/>
      <c r="M2945" s="30" t="n"/>
      <c r="N2945" s="32" t="n"/>
      <c r="O2945" s="30" t="n"/>
      <c r="P2945" s="32" t="n"/>
      <c r="Q2945" s="30" t="n"/>
      <c r="R2945" s="32" t="n"/>
      <c r="S2945" s="30" t="n"/>
      <c r="T2945" s="30" t="n"/>
      <c r="U2945" s="30" t="n"/>
      <c r="V2945" s="30" t="n"/>
      <c r="W2945" s="29">
        <f>IF(H2945="","",IF(H2945="Kenya","Yes","No"))</f>
        <v/>
      </c>
      <c r="X2945" s="29">
        <f>IF(B2945="","",IF(COUNTIF($B$5:$B$3004,B2945)&gt;1,"DUPLICATE","OK"))</f>
        <v/>
      </c>
      <c r="Y2945" s="29">
        <f>IF(OR(U2945="",V2945="",V2945="Excluded"),"",IF(COUNTIFS($U$5:$U$3004,U2945,$V$5:$V$3004,"&lt;&gt;"&amp;V2945,$V$5:$V$3004,"&lt;&gt;",$V$5:$V$3004,"&lt;&gt;Excluded")&gt;0,"LEAK RISK","OK"))</f>
        <v/>
      </c>
      <c r="Z2945" s="30" t="n"/>
    </row>
    <row r="2946">
      <c r="A2946" s="30" t="n"/>
      <c r="B2946" s="30" t="n"/>
      <c r="C2946" s="30" t="n"/>
      <c r="D2946" s="30" t="n"/>
      <c r="E2946" s="30" t="n"/>
      <c r="F2946" s="30" t="n"/>
      <c r="G2946" s="30" t="n"/>
      <c r="H2946" s="30" t="n"/>
      <c r="I2946" s="31" t="n"/>
      <c r="J2946" s="30" t="n"/>
      <c r="K2946" s="30" t="n"/>
      <c r="L2946" s="30" t="n"/>
      <c r="M2946" s="30" t="n"/>
      <c r="N2946" s="32" t="n"/>
      <c r="O2946" s="30" t="n"/>
      <c r="P2946" s="32" t="n"/>
      <c r="Q2946" s="30" t="n"/>
      <c r="R2946" s="32" t="n"/>
      <c r="S2946" s="30" t="n"/>
      <c r="T2946" s="30" t="n"/>
      <c r="U2946" s="30" t="n"/>
      <c r="V2946" s="30" t="n"/>
      <c r="W2946" s="29">
        <f>IF(H2946="","",IF(H2946="Kenya","Yes","No"))</f>
        <v/>
      </c>
      <c r="X2946" s="29">
        <f>IF(B2946="","",IF(COUNTIF($B$5:$B$3004,B2946)&gt;1,"DUPLICATE","OK"))</f>
        <v/>
      </c>
      <c r="Y2946" s="29">
        <f>IF(OR(U2946="",V2946="",V2946="Excluded"),"",IF(COUNTIFS($U$5:$U$3004,U2946,$V$5:$V$3004,"&lt;&gt;"&amp;V2946,$V$5:$V$3004,"&lt;&gt;",$V$5:$V$3004,"&lt;&gt;Excluded")&gt;0,"LEAK RISK","OK"))</f>
        <v/>
      </c>
      <c r="Z2946" s="30" t="n"/>
    </row>
    <row r="2947">
      <c r="A2947" s="30" t="n"/>
      <c r="B2947" s="30" t="n"/>
      <c r="C2947" s="30" t="n"/>
      <c r="D2947" s="30" t="n"/>
      <c r="E2947" s="30" t="n"/>
      <c r="F2947" s="30" t="n"/>
      <c r="G2947" s="30" t="n"/>
      <c r="H2947" s="30" t="n"/>
      <c r="I2947" s="31" t="n"/>
      <c r="J2947" s="30" t="n"/>
      <c r="K2947" s="30" t="n"/>
      <c r="L2947" s="30" t="n"/>
      <c r="M2947" s="30" t="n"/>
      <c r="N2947" s="32" t="n"/>
      <c r="O2947" s="30" t="n"/>
      <c r="P2947" s="32" t="n"/>
      <c r="Q2947" s="30" t="n"/>
      <c r="R2947" s="32" t="n"/>
      <c r="S2947" s="30" t="n"/>
      <c r="T2947" s="30" t="n"/>
      <c r="U2947" s="30" t="n"/>
      <c r="V2947" s="30" t="n"/>
      <c r="W2947" s="29">
        <f>IF(H2947="","",IF(H2947="Kenya","Yes","No"))</f>
        <v/>
      </c>
      <c r="X2947" s="29">
        <f>IF(B2947="","",IF(COUNTIF($B$5:$B$3004,B2947)&gt;1,"DUPLICATE","OK"))</f>
        <v/>
      </c>
      <c r="Y2947" s="29">
        <f>IF(OR(U2947="",V2947="",V2947="Excluded"),"",IF(COUNTIFS($U$5:$U$3004,U2947,$V$5:$V$3004,"&lt;&gt;"&amp;V2947,$V$5:$V$3004,"&lt;&gt;",$V$5:$V$3004,"&lt;&gt;Excluded")&gt;0,"LEAK RISK","OK"))</f>
        <v/>
      </c>
      <c r="Z2947" s="30" t="n"/>
    </row>
    <row r="2948">
      <c r="A2948" s="30" t="n"/>
      <c r="B2948" s="30" t="n"/>
      <c r="C2948" s="30" t="n"/>
      <c r="D2948" s="30" t="n"/>
      <c r="E2948" s="30" t="n"/>
      <c r="F2948" s="30" t="n"/>
      <c r="G2948" s="30" t="n"/>
      <c r="H2948" s="30" t="n"/>
      <c r="I2948" s="31" t="n"/>
      <c r="J2948" s="30" t="n"/>
      <c r="K2948" s="30" t="n"/>
      <c r="L2948" s="30" t="n"/>
      <c r="M2948" s="30" t="n"/>
      <c r="N2948" s="32" t="n"/>
      <c r="O2948" s="30" t="n"/>
      <c r="P2948" s="32" t="n"/>
      <c r="Q2948" s="30" t="n"/>
      <c r="R2948" s="32" t="n"/>
      <c r="S2948" s="30" t="n"/>
      <c r="T2948" s="30" t="n"/>
      <c r="U2948" s="30" t="n"/>
      <c r="V2948" s="30" t="n"/>
      <c r="W2948" s="29">
        <f>IF(H2948="","",IF(H2948="Kenya","Yes","No"))</f>
        <v/>
      </c>
      <c r="X2948" s="29">
        <f>IF(B2948="","",IF(COUNTIF($B$5:$B$3004,B2948)&gt;1,"DUPLICATE","OK"))</f>
        <v/>
      </c>
      <c r="Y2948" s="29">
        <f>IF(OR(U2948="",V2948="",V2948="Excluded"),"",IF(COUNTIFS($U$5:$U$3004,U2948,$V$5:$V$3004,"&lt;&gt;"&amp;V2948,$V$5:$V$3004,"&lt;&gt;",$V$5:$V$3004,"&lt;&gt;Excluded")&gt;0,"LEAK RISK","OK"))</f>
        <v/>
      </c>
      <c r="Z2948" s="30" t="n"/>
    </row>
    <row r="2949">
      <c r="A2949" s="30" t="n"/>
      <c r="B2949" s="30" t="n"/>
      <c r="C2949" s="30" t="n"/>
      <c r="D2949" s="30" t="n"/>
      <c r="E2949" s="30" t="n"/>
      <c r="F2949" s="30" t="n"/>
      <c r="G2949" s="30" t="n"/>
      <c r="H2949" s="30" t="n"/>
      <c r="I2949" s="31" t="n"/>
      <c r="J2949" s="30" t="n"/>
      <c r="K2949" s="30" t="n"/>
      <c r="L2949" s="30" t="n"/>
      <c r="M2949" s="30" t="n"/>
      <c r="N2949" s="32" t="n"/>
      <c r="O2949" s="30" t="n"/>
      <c r="P2949" s="32" t="n"/>
      <c r="Q2949" s="30" t="n"/>
      <c r="R2949" s="32" t="n"/>
      <c r="S2949" s="30" t="n"/>
      <c r="T2949" s="30" t="n"/>
      <c r="U2949" s="30" t="n"/>
      <c r="V2949" s="30" t="n"/>
      <c r="W2949" s="29">
        <f>IF(H2949="","",IF(H2949="Kenya","Yes","No"))</f>
        <v/>
      </c>
      <c r="X2949" s="29">
        <f>IF(B2949="","",IF(COUNTIF($B$5:$B$3004,B2949)&gt;1,"DUPLICATE","OK"))</f>
        <v/>
      </c>
      <c r="Y2949" s="29">
        <f>IF(OR(U2949="",V2949="",V2949="Excluded"),"",IF(COUNTIFS($U$5:$U$3004,U2949,$V$5:$V$3004,"&lt;&gt;"&amp;V2949,$V$5:$V$3004,"&lt;&gt;",$V$5:$V$3004,"&lt;&gt;Excluded")&gt;0,"LEAK RISK","OK"))</f>
        <v/>
      </c>
      <c r="Z2949" s="30" t="n"/>
    </row>
    <row r="2950">
      <c r="A2950" s="30" t="n"/>
      <c r="B2950" s="30" t="n"/>
      <c r="C2950" s="30" t="n"/>
      <c r="D2950" s="30" t="n"/>
      <c r="E2950" s="30" t="n"/>
      <c r="F2950" s="30" t="n"/>
      <c r="G2950" s="30" t="n"/>
      <c r="H2950" s="30" t="n"/>
      <c r="I2950" s="31" t="n"/>
      <c r="J2950" s="30" t="n"/>
      <c r="K2950" s="30" t="n"/>
      <c r="L2950" s="30" t="n"/>
      <c r="M2950" s="30" t="n"/>
      <c r="N2950" s="32" t="n"/>
      <c r="O2950" s="30" t="n"/>
      <c r="P2950" s="32" t="n"/>
      <c r="Q2950" s="30" t="n"/>
      <c r="R2950" s="32" t="n"/>
      <c r="S2950" s="30" t="n"/>
      <c r="T2950" s="30" t="n"/>
      <c r="U2950" s="30" t="n"/>
      <c r="V2950" s="30" t="n"/>
      <c r="W2950" s="29">
        <f>IF(H2950="","",IF(H2950="Kenya","Yes","No"))</f>
        <v/>
      </c>
      <c r="X2950" s="29">
        <f>IF(B2950="","",IF(COUNTIF($B$5:$B$3004,B2950)&gt;1,"DUPLICATE","OK"))</f>
        <v/>
      </c>
      <c r="Y2950" s="29">
        <f>IF(OR(U2950="",V2950="",V2950="Excluded"),"",IF(COUNTIFS($U$5:$U$3004,U2950,$V$5:$V$3004,"&lt;&gt;"&amp;V2950,$V$5:$V$3004,"&lt;&gt;",$V$5:$V$3004,"&lt;&gt;Excluded")&gt;0,"LEAK RISK","OK"))</f>
        <v/>
      </c>
      <c r="Z2950" s="30" t="n"/>
    </row>
    <row r="2951">
      <c r="A2951" s="30" t="n"/>
      <c r="B2951" s="30" t="n"/>
      <c r="C2951" s="30" t="n"/>
      <c r="D2951" s="30" t="n"/>
      <c r="E2951" s="30" t="n"/>
      <c r="F2951" s="30" t="n"/>
      <c r="G2951" s="30" t="n"/>
      <c r="H2951" s="30" t="n"/>
      <c r="I2951" s="31" t="n"/>
      <c r="J2951" s="30" t="n"/>
      <c r="K2951" s="30" t="n"/>
      <c r="L2951" s="30" t="n"/>
      <c r="M2951" s="30" t="n"/>
      <c r="N2951" s="32" t="n"/>
      <c r="O2951" s="30" t="n"/>
      <c r="P2951" s="32" t="n"/>
      <c r="Q2951" s="30" t="n"/>
      <c r="R2951" s="32" t="n"/>
      <c r="S2951" s="30" t="n"/>
      <c r="T2951" s="30" t="n"/>
      <c r="U2951" s="30" t="n"/>
      <c r="V2951" s="30" t="n"/>
      <c r="W2951" s="29">
        <f>IF(H2951="","",IF(H2951="Kenya","Yes","No"))</f>
        <v/>
      </c>
      <c r="X2951" s="29">
        <f>IF(B2951="","",IF(COUNTIF($B$5:$B$3004,B2951)&gt;1,"DUPLICATE","OK"))</f>
        <v/>
      </c>
      <c r="Y2951" s="29">
        <f>IF(OR(U2951="",V2951="",V2951="Excluded"),"",IF(COUNTIFS($U$5:$U$3004,U2951,$V$5:$V$3004,"&lt;&gt;"&amp;V2951,$V$5:$V$3004,"&lt;&gt;",$V$5:$V$3004,"&lt;&gt;Excluded")&gt;0,"LEAK RISK","OK"))</f>
        <v/>
      </c>
      <c r="Z2951" s="30" t="n"/>
    </row>
    <row r="2952">
      <c r="A2952" s="30" t="n"/>
      <c r="B2952" s="30" t="n"/>
      <c r="C2952" s="30" t="n"/>
      <c r="D2952" s="30" t="n"/>
      <c r="E2952" s="30" t="n"/>
      <c r="F2952" s="30" t="n"/>
      <c r="G2952" s="30" t="n"/>
      <c r="H2952" s="30" t="n"/>
      <c r="I2952" s="31" t="n"/>
      <c r="J2952" s="30" t="n"/>
      <c r="K2952" s="30" t="n"/>
      <c r="L2952" s="30" t="n"/>
      <c r="M2952" s="30" t="n"/>
      <c r="N2952" s="32" t="n"/>
      <c r="O2952" s="30" t="n"/>
      <c r="P2952" s="32" t="n"/>
      <c r="Q2952" s="30" t="n"/>
      <c r="R2952" s="32" t="n"/>
      <c r="S2952" s="30" t="n"/>
      <c r="T2952" s="30" t="n"/>
      <c r="U2952" s="30" t="n"/>
      <c r="V2952" s="30" t="n"/>
      <c r="W2952" s="29">
        <f>IF(H2952="","",IF(H2952="Kenya","Yes","No"))</f>
        <v/>
      </c>
      <c r="X2952" s="29">
        <f>IF(B2952="","",IF(COUNTIF($B$5:$B$3004,B2952)&gt;1,"DUPLICATE","OK"))</f>
        <v/>
      </c>
      <c r="Y2952" s="29">
        <f>IF(OR(U2952="",V2952="",V2952="Excluded"),"",IF(COUNTIFS($U$5:$U$3004,U2952,$V$5:$V$3004,"&lt;&gt;"&amp;V2952,$V$5:$V$3004,"&lt;&gt;",$V$5:$V$3004,"&lt;&gt;Excluded")&gt;0,"LEAK RISK","OK"))</f>
        <v/>
      </c>
      <c r="Z2952" s="30" t="n"/>
    </row>
    <row r="2953">
      <c r="A2953" s="30" t="n"/>
      <c r="B2953" s="30" t="n"/>
      <c r="C2953" s="30" t="n"/>
      <c r="D2953" s="30" t="n"/>
      <c r="E2953" s="30" t="n"/>
      <c r="F2953" s="30" t="n"/>
      <c r="G2953" s="30" t="n"/>
      <c r="H2953" s="30" t="n"/>
      <c r="I2953" s="31" t="n"/>
      <c r="J2953" s="30" t="n"/>
      <c r="K2953" s="30" t="n"/>
      <c r="L2953" s="30" t="n"/>
      <c r="M2953" s="30" t="n"/>
      <c r="N2953" s="32" t="n"/>
      <c r="O2953" s="30" t="n"/>
      <c r="P2953" s="32" t="n"/>
      <c r="Q2953" s="30" t="n"/>
      <c r="R2953" s="32" t="n"/>
      <c r="S2953" s="30" t="n"/>
      <c r="T2953" s="30" t="n"/>
      <c r="U2953" s="30" t="n"/>
      <c r="V2953" s="30" t="n"/>
      <c r="W2953" s="29">
        <f>IF(H2953="","",IF(H2953="Kenya","Yes","No"))</f>
        <v/>
      </c>
      <c r="X2953" s="29">
        <f>IF(B2953="","",IF(COUNTIF($B$5:$B$3004,B2953)&gt;1,"DUPLICATE","OK"))</f>
        <v/>
      </c>
      <c r="Y2953" s="29">
        <f>IF(OR(U2953="",V2953="",V2953="Excluded"),"",IF(COUNTIFS($U$5:$U$3004,U2953,$V$5:$V$3004,"&lt;&gt;"&amp;V2953,$V$5:$V$3004,"&lt;&gt;",$V$5:$V$3004,"&lt;&gt;Excluded")&gt;0,"LEAK RISK","OK"))</f>
        <v/>
      </c>
      <c r="Z2953" s="30" t="n"/>
    </row>
    <row r="2954">
      <c r="A2954" s="30" t="n"/>
      <c r="B2954" s="30" t="n"/>
      <c r="C2954" s="30" t="n"/>
      <c r="D2954" s="30" t="n"/>
      <c r="E2954" s="30" t="n"/>
      <c r="F2954" s="30" t="n"/>
      <c r="G2954" s="30" t="n"/>
      <c r="H2954" s="30" t="n"/>
      <c r="I2954" s="31" t="n"/>
      <c r="J2954" s="30" t="n"/>
      <c r="K2954" s="30" t="n"/>
      <c r="L2954" s="30" t="n"/>
      <c r="M2954" s="30" t="n"/>
      <c r="N2954" s="32" t="n"/>
      <c r="O2954" s="30" t="n"/>
      <c r="P2954" s="32" t="n"/>
      <c r="Q2954" s="30" t="n"/>
      <c r="R2954" s="32" t="n"/>
      <c r="S2954" s="30" t="n"/>
      <c r="T2954" s="30" t="n"/>
      <c r="U2954" s="30" t="n"/>
      <c r="V2954" s="30" t="n"/>
      <c r="W2954" s="29">
        <f>IF(H2954="","",IF(H2954="Kenya","Yes","No"))</f>
        <v/>
      </c>
      <c r="X2954" s="29">
        <f>IF(B2954="","",IF(COUNTIF($B$5:$B$3004,B2954)&gt;1,"DUPLICATE","OK"))</f>
        <v/>
      </c>
      <c r="Y2954" s="29">
        <f>IF(OR(U2954="",V2954="",V2954="Excluded"),"",IF(COUNTIFS($U$5:$U$3004,U2954,$V$5:$V$3004,"&lt;&gt;"&amp;V2954,$V$5:$V$3004,"&lt;&gt;",$V$5:$V$3004,"&lt;&gt;Excluded")&gt;0,"LEAK RISK","OK"))</f>
        <v/>
      </c>
      <c r="Z2954" s="30" t="n"/>
    </row>
    <row r="2955">
      <c r="A2955" s="30" t="n"/>
      <c r="B2955" s="30" t="n"/>
      <c r="C2955" s="30" t="n"/>
      <c r="D2955" s="30" t="n"/>
      <c r="E2955" s="30" t="n"/>
      <c r="F2955" s="30" t="n"/>
      <c r="G2955" s="30" t="n"/>
      <c r="H2955" s="30" t="n"/>
      <c r="I2955" s="31" t="n"/>
      <c r="J2955" s="30" t="n"/>
      <c r="K2955" s="30" t="n"/>
      <c r="L2955" s="30" t="n"/>
      <c r="M2955" s="30" t="n"/>
      <c r="N2955" s="32" t="n"/>
      <c r="O2955" s="30" t="n"/>
      <c r="P2955" s="32" t="n"/>
      <c r="Q2955" s="30" t="n"/>
      <c r="R2955" s="32" t="n"/>
      <c r="S2955" s="30" t="n"/>
      <c r="T2955" s="30" t="n"/>
      <c r="U2955" s="30" t="n"/>
      <c r="V2955" s="30" t="n"/>
      <c r="W2955" s="29">
        <f>IF(H2955="","",IF(H2955="Kenya","Yes","No"))</f>
        <v/>
      </c>
      <c r="X2955" s="29">
        <f>IF(B2955="","",IF(COUNTIF($B$5:$B$3004,B2955)&gt;1,"DUPLICATE","OK"))</f>
        <v/>
      </c>
      <c r="Y2955" s="29">
        <f>IF(OR(U2955="",V2955="",V2955="Excluded"),"",IF(COUNTIFS($U$5:$U$3004,U2955,$V$5:$V$3004,"&lt;&gt;"&amp;V2955,$V$5:$V$3004,"&lt;&gt;",$V$5:$V$3004,"&lt;&gt;Excluded")&gt;0,"LEAK RISK","OK"))</f>
        <v/>
      </c>
      <c r="Z2955" s="30" t="n"/>
    </row>
    <row r="2956">
      <c r="A2956" s="30" t="n"/>
      <c r="B2956" s="30" t="n"/>
      <c r="C2956" s="30" t="n"/>
      <c r="D2956" s="30" t="n"/>
      <c r="E2956" s="30" t="n"/>
      <c r="F2956" s="30" t="n"/>
      <c r="G2956" s="30" t="n"/>
      <c r="H2956" s="30" t="n"/>
      <c r="I2956" s="31" t="n"/>
      <c r="J2956" s="30" t="n"/>
      <c r="K2956" s="30" t="n"/>
      <c r="L2956" s="30" t="n"/>
      <c r="M2956" s="30" t="n"/>
      <c r="N2956" s="32" t="n"/>
      <c r="O2956" s="30" t="n"/>
      <c r="P2956" s="32" t="n"/>
      <c r="Q2956" s="30" t="n"/>
      <c r="R2956" s="32" t="n"/>
      <c r="S2956" s="30" t="n"/>
      <c r="T2956" s="30" t="n"/>
      <c r="U2956" s="30" t="n"/>
      <c r="V2956" s="30" t="n"/>
      <c r="W2956" s="29">
        <f>IF(H2956="","",IF(H2956="Kenya","Yes","No"))</f>
        <v/>
      </c>
      <c r="X2956" s="29">
        <f>IF(B2956="","",IF(COUNTIF($B$5:$B$3004,B2956)&gt;1,"DUPLICATE","OK"))</f>
        <v/>
      </c>
      <c r="Y2956" s="29">
        <f>IF(OR(U2956="",V2956="",V2956="Excluded"),"",IF(COUNTIFS($U$5:$U$3004,U2956,$V$5:$V$3004,"&lt;&gt;"&amp;V2956,$V$5:$V$3004,"&lt;&gt;",$V$5:$V$3004,"&lt;&gt;Excluded")&gt;0,"LEAK RISK","OK"))</f>
        <v/>
      </c>
      <c r="Z2956" s="30" t="n"/>
    </row>
    <row r="2957">
      <c r="A2957" s="30" t="n"/>
      <c r="B2957" s="30" t="n"/>
      <c r="C2957" s="30" t="n"/>
      <c r="D2957" s="30" t="n"/>
      <c r="E2957" s="30" t="n"/>
      <c r="F2957" s="30" t="n"/>
      <c r="G2957" s="30" t="n"/>
      <c r="H2957" s="30" t="n"/>
      <c r="I2957" s="31" t="n"/>
      <c r="J2957" s="30" t="n"/>
      <c r="K2957" s="30" t="n"/>
      <c r="L2957" s="30" t="n"/>
      <c r="M2957" s="30" t="n"/>
      <c r="N2957" s="32" t="n"/>
      <c r="O2957" s="30" t="n"/>
      <c r="P2957" s="32" t="n"/>
      <c r="Q2957" s="30" t="n"/>
      <c r="R2957" s="32" t="n"/>
      <c r="S2957" s="30" t="n"/>
      <c r="T2957" s="30" t="n"/>
      <c r="U2957" s="30" t="n"/>
      <c r="V2957" s="30" t="n"/>
      <c r="W2957" s="29">
        <f>IF(H2957="","",IF(H2957="Kenya","Yes","No"))</f>
        <v/>
      </c>
      <c r="X2957" s="29">
        <f>IF(B2957="","",IF(COUNTIF($B$5:$B$3004,B2957)&gt;1,"DUPLICATE","OK"))</f>
        <v/>
      </c>
      <c r="Y2957" s="29">
        <f>IF(OR(U2957="",V2957="",V2957="Excluded"),"",IF(COUNTIFS($U$5:$U$3004,U2957,$V$5:$V$3004,"&lt;&gt;"&amp;V2957,$V$5:$V$3004,"&lt;&gt;",$V$5:$V$3004,"&lt;&gt;Excluded")&gt;0,"LEAK RISK","OK"))</f>
        <v/>
      </c>
      <c r="Z2957" s="30" t="n"/>
    </row>
    <row r="2958">
      <c r="A2958" s="30" t="n"/>
      <c r="B2958" s="30" t="n"/>
      <c r="C2958" s="30" t="n"/>
      <c r="D2958" s="30" t="n"/>
      <c r="E2958" s="30" t="n"/>
      <c r="F2958" s="30" t="n"/>
      <c r="G2958" s="30" t="n"/>
      <c r="H2958" s="30" t="n"/>
      <c r="I2958" s="31" t="n"/>
      <c r="J2958" s="30" t="n"/>
      <c r="K2958" s="30" t="n"/>
      <c r="L2958" s="30" t="n"/>
      <c r="M2958" s="30" t="n"/>
      <c r="N2958" s="32" t="n"/>
      <c r="O2958" s="30" t="n"/>
      <c r="P2958" s="32" t="n"/>
      <c r="Q2958" s="30" t="n"/>
      <c r="R2958" s="32" t="n"/>
      <c r="S2958" s="30" t="n"/>
      <c r="T2958" s="30" t="n"/>
      <c r="U2958" s="30" t="n"/>
      <c r="V2958" s="30" t="n"/>
      <c r="W2958" s="29">
        <f>IF(H2958="","",IF(H2958="Kenya","Yes","No"))</f>
        <v/>
      </c>
      <c r="X2958" s="29">
        <f>IF(B2958="","",IF(COUNTIF($B$5:$B$3004,B2958)&gt;1,"DUPLICATE","OK"))</f>
        <v/>
      </c>
      <c r="Y2958" s="29">
        <f>IF(OR(U2958="",V2958="",V2958="Excluded"),"",IF(COUNTIFS($U$5:$U$3004,U2958,$V$5:$V$3004,"&lt;&gt;"&amp;V2958,$V$5:$V$3004,"&lt;&gt;",$V$5:$V$3004,"&lt;&gt;Excluded")&gt;0,"LEAK RISK","OK"))</f>
        <v/>
      </c>
      <c r="Z2958" s="30" t="n"/>
    </row>
    <row r="2959">
      <c r="A2959" s="30" t="n"/>
      <c r="B2959" s="30" t="n"/>
      <c r="C2959" s="30" t="n"/>
      <c r="D2959" s="30" t="n"/>
      <c r="E2959" s="30" t="n"/>
      <c r="F2959" s="30" t="n"/>
      <c r="G2959" s="30" t="n"/>
      <c r="H2959" s="30" t="n"/>
      <c r="I2959" s="31" t="n"/>
      <c r="J2959" s="30" t="n"/>
      <c r="K2959" s="30" t="n"/>
      <c r="L2959" s="30" t="n"/>
      <c r="M2959" s="30" t="n"/>
      <c r="N2959" s="32" t="n"/>
      <c r="O2959" s="30" t="n"/>
      <c r="P2959" s="32" t="n"/>
      <c r="Q2959" s="30" t="n"/>
      <c r="R2959" s="32" t="n"/>
      <c r="S2959" s="30" t="n"/>
      <c r="T2959" s="30" t="n"/>
      <c r="U2959" s="30" t="n"/>
      <c r="V2959" s="30" t="n"/>
      <c r="W2959" s="29">
        <f>IF(H2959="","",IF(H2959="Kenya","Yes","No"))</f>
        <v/>
      </c>
      <c r="X2959" s="29">
        <f>IF(B2959="","",IF(COUNTIF($B$5:$B$3004,B2959)&gt;1,"DUPLICATE","OK"))</f>
        <v/>
      </c>
      <c r="Y2959" s="29">
        <f>IF(OR(U2959="",V2959="",V2959="Excluded"),"",IF(COUNTIFS($U$5:$U$3004,U2959,$V$5:$V$3004,"&lt;&gt;"&amp;V2959,$V$5:$V$3004,"&lt;&gt;",$V$5:$V$3004,"&lt;&gt;Excluded")&gt;0,"LEAK RISK","OK"))</f>
        <v/>
      </c>
      <c r="Z2959" s="30" t="n"/>
    </row>
    <row r="2960">
      <c r="A2960" s="30" t="n"/>
      <c r="B2960" s="30" t="n"/>
      <c r="C2960" s="30" t="n"/>
      <c r="D2960" s="30" t="n"/>
      <c r="E2960" s="30" t="n"/>
      <c r="F2960" s="30" t="n"/>
      <c r="G2960" s="30" t="n"/>
      <c r="H2960" s="30" t="n"/>
      <c r="I2960" s="31" t="n"/>
      <c r="J2960" s="30" t="n"/>
      <c r="K2960" s="30" t="n"/>
      <c r="L2960" s="30" t="n"/>
      <c r="M2960" s="30" t="n"/>
      <c r="N2960" s="32" t="n"/>
      <c r="O2960" s="30" t="n"/>
      <c r="P2960" s="32" t="n"/>
      <c r="Q2960" s="30" t="n"/>
      <c r="R2960" s="32" t="n"/>
      <c r="S2960" s="30" t="n"/>
      <c r="T2960" s="30" t="n"/>
      <c r="U2960" s="30" t="n"/>
      <c r="V2960" s="30" t="n"/>
      <c r="W2960" s="29">
        <f>IF(H2960="","",IF(H2960="Kenya","Yes","No"))</f>
        <v/>
      </c>
      <c r="X2960" s="29">
        <f>IF(B2960="","",IF(COUNTIF($B$5:$B$3004,B2960)&gt;1,"DUPLICATE","OK"))</f>
        <v/>
      </c>
      <c r="Y2960" s="29">
        <f>IF(OR(U2960="",V2960="",V2960="Excluded"),"",IF(COUNTIFS($U$5:$U$3004,U2960,$V$5:$V$3004,"&lt;&gt;"&amp;V2960,$V$5:$V$3004,"&lt;&gt;",$V$5:$V$3004,"&lt;&gt;Excluded")&gt;0,"LEAK RISK","OK"))</f>
        <v/>
      </c>
      <c r="Z2960" s="30" t="n"/>
    </row>
    <row r="2961">
      <c r="A2961" s="30" t="n"/>
      <c r="B2961" s="30" t="n"/>
      <c r="C2961" s="30" t="n"/>
      <c r="D2961" s="30" t="n"/>
      <c r="E2961" s="30" t="n"/>
      <c r="F2961" s="30" t="n"/>
      <c r="G2961" s="30" t="n"/>
      <c r="H2961" s="30" t="n"/>
      <c r="I2961" s="31" t="n"/>
      <c r="J2961" s="30" t="n"/>
      <c r="K2961" s="30" t="n"/>
      <c r="L2961" s="30" t="n"/>
      <c r="M2961" s="30" t="n"/>
      <c r="N2961" s="32" t="n"/>
      <c r="O2961" s="30" t="n"/>
      <c r="P2961" s="32" t="n"/>
      <c r="Q2961" s="30" t="n"/>
      <c r="R2961" s="32" t="n"/>
      <c r="S2961" s="30" t="n"/>
      <c r="T2961" s="30" t="n"/>
      <c r="U2961" s="30" t="n"/>
      <c r="V2961" s="30" t="n"/>
      <c r="W2961" s="29">
        <f>IF(H2961="","",IF(H2961="Kenya","Yes","No"))</f>
        <v/>
      </c>
      <c r="X2961" s="29">
        <f>IF(B2961="","",IF(COUNTIF($B$5:$B$3004,B2961)&gt;1,"DUPLICATE","OK"))</f>
        <v/>
      </c>
      <c r="Y2961" s="29">
        <f>IF(OR(U2961="",V2961="",V2961="Excluded"),"",IF(COUNTIFS($U$5:$U$3004,U2961,$V$5:$V$3004,"&lt;&gt;"&amp;V2961,$V$5:$V$3004,"&lt;&gt;",$V$5:$V$3004,"&lt;&gt;Excluded")&gt;0,"LEAK RISK","OK"))</f>
        <v/>
      </c>
      <c r="Z2961" s="30" t="n"/>
    </row>
    <row r="2962">
      <c r="A2962" s="30" t="n"/>
      <c r="B2962" s="30" t="n"/>
      <c r="C2962" s="30" t="n"/>
      <c r="D2962" s="30" t="n"/>
      <c r="E2962" s="30" t="n"/>
      <c r="F2962" s="30" t="n"/>
      <c r="G2962" s="30" t="n"/>
      <c r="H2962" s="30" t="n"/>
      <c r="I2962" s="31" t="n"/>
      <c r="J2962" s="30" t="n"/>
      <c r="K2962" s="30" t="n"/>
      <c r="L2962" s="30" t="n"/>
      <c r="M2962" s="30" t="n"/>
      <c r="N2962" s="32" t="n"/>
      <c r="O2962" s="30" t="n"/>
      <c r="P2962" s="32" t="n"/>
      <c r="Q2962" s="30" t="n"/>
      <c r="R2962" s="32" t="n"/>
      <c r="S2962" s="30" t="n"/>
      <c r="T2962" s="30" t="n"/>
      <c r="U2962" s="30" t="n"/>
      <c r="V2962" s="30" t="n"/>
      <c r="W2962" s="29">
        <f>IF(H2962="","",IF(H2962="Kenya","Yes","No"))</f>
        <v/>
      </c>
      <c r="X2962" s="29">
        <f>IF(B2962="","",IF(COUNTIF($B$5:$B$3004,B2962)&gt;1,"DUPLICATE","OK"))</f>
        <v/>
      </c>
      <c r="Y2962" s="29">
        <f>IF(OR(U2962="",V2962="",V2962="Excluded"),"",IF(COUNTIFS($U$5:$U$3004,U2962,$V$5:$V$3004,"&lt;&gt;"&amp;V2962,$V$5:$V$3004,"&lt;&gt;",$V$5:$V$3004,"&lt;&gt;Excluded")&gt;0,"LEAK RISK","OK"))</f>
        <v/>
      </c>
      <c r="Z2962" s="30" t="n"/>
    </row>
    <row r="2963">
      <c r="A2963" s="30" t="n"/>
      <c r="B2963" s="30" t="n"/>
      <c r="C2963" s="30" t="n"/>
      <c r="D2963" s="30" t="n"/>
      <c r="E2963" s="30" t="n"/>
      <c r="F2963" s="30" t="n"/>
      <c r="G2963" s="30" t="n"/>
      <c r="H2963" s="30" t="n"/>
      <c r="I2963" s="31" t="n"/>
      <c r="J2963" s="30" t="n"/>
      <c r="K2963" s="30" t="n"/>
      <c r="L2963" s="30" t="n"/>
      <c r="M2963" s="30" t="n"/>
      <c r="N2963" s="32" t="n"/>
      <c r="O2963" s="30" t="n"/>
      <c r="P2963" s="32" t="n"/>
      <c r="Q2963" s="30" t="n"/>
      <c r="R2963" s="32" t="n"/>
      <c r="S2963" s="30" t="n"/>
      <c r="T2963" s="30" t="n"/>
      <c r="U2963" s="30" t="n"/>
      <c r="V2963" s="30" t="n"/>
      <c r="W2963" s="29">
        <f>IF(H2963="","",IF(H2963="Kenya","Yes","No"))</f>
        <v/>
      </c>
      <c r="X2963" s="29">
        <f>IF(B2963="","",IF(COUNTIF($B$5:$B$3004,B2963)&gt;1,"DUPLICATE","OK"))</f>
        <v/>
      </c>
      <c r="Y2963" s="29">
        <f>IF(OR(U2963="",V2963="",V2963="Excluded"),"",IF(COUNTIFS($U$5:$U$3004,U2963,$V$5:$V$3004,"&lt;&gt;"&amp;V2963,$V$5:$V$3004,"&lt;&gt;",$V$5:$V$3004,"&lt;&gt;Excluded")&gt;0,"LEAK RISK","OK"))</f>
        <v/>
      </c>
      <c r="Z2963" s="30" t="n"/>
    </row>
    <row r="2964">
      <c r="A2964" s="30" t="n"/>
      <c r="B2964" s="30" t="n"/>
      <c r="C2964" s="30" t="n"/>
      <c r="D2964" s="30" t="n"/>
      <c r="E2964" s="30" t="n"/>
      <c r="F2964" s="30" t="n"/>
      <c r="G2964" s="30" t="n"/>
      <c r="H2964" s="30" t="n"/>
      <c r="I2964" s="31" t="n"/>
      <c r="J2964" s="30" t="n"/>
      <c r="K2964" s="30" t="n"/>
      <c r="L2964" s="30" t="n"/>
      <c r="M2964" s="30" t="n"/>
      <c r="N2964" s="32" t="n"/>
      <c r="O2964" s="30" t="n"/>
      <c r="P2964" s="32" t="n"/>
      <c r="Q2964" s="30" t="n"/>
      <c r="R2964" s="32" t="n"/>
      <c r="S2964" s="30" t="n"/>
      <c r="T2964" s="30" t="n"/>
      <c r="U2964" s="30" t="n"/>
      <c r="V2964" s="30" t="n"/>
      <c r="W2964" s="29">
        <f>IF(H2964="","",IF(H2964="Kenya","Yes","No"))</f>
        <v/>
      </c>
      <c r="X2964" s="29">
        <f>IF(B2964="","",IF(COUNTIF($B$5:$B$3004,B2964)&gt;1,"DUPLICATE","OK"))</f>
        <v/>
      </c>
      <c r="Y2964" s="29">
        <f>IF(OR(U2964="",V2964="",V2964="Excluded"),"",IF(COUNTIFS($U$5:$U$3004,U2964,$V$5:$V$3004,"&lt;&gt;"&amp;V2964,$V$5:$V$3004,"&lt;&gt;",$V$5:$V$3004,"&lt;&gt;Excluded")&gt;0,"LEAK RISK","OK"))</f>
        <v/>
      </c>
      <c r="Z2964" s="30" t="n"/>
    </row>
    <row r="2965">
      <c r="A2965" s="30" t="n"/>
      <c r="B2965" s="30" t="n"/>
      <c r="C2965" s="30" t="n"/>
      <c r="D2965" s="30" t="n"/>
      <c r="E2965" s="30" t="n"/>
      <c r="F2965" s="30" t="n"/>
      <c r="G2965" s="30" t="n"/>
      <c r="H2965" s="30" t="n"/>
      <c r="I2965" s="31" t="n"/>
      <c r="J2965" s="30" t="n"/>
      <c r="K2965" s="30" t="n"/>
      <c r="L2965" s="30" t="n"/>
      <c r="M2965" s="30" t="n"/>
      <c r="N2965" s="32" t="n"/>
      <c r="O2965" s="30" t="n"/>
      <c r="P2965" s="32" t="n"/>
      <c r="Q2965" s="30" t="n"/>
      <c r="R2965" s="32" t="n"/>
      <c r="S2965" s="30" t="n"/>
      <c r="T2965" s="30" t="n"/>
      <c r="U2965" s="30" t="n"/>
      <c r="V2965" s="30" t="n"/>
      <c r="W2965" s="29">
        <f>IF(H2965="","",IF(H2965="Kenya","Yes","No"))</f>
        <v/>
      </c>
      <c r="X2965" s="29">
        <f>IF(B2965="","",IF(COUNTIF($B$5:$B$3004,B2965)&gt;1,"DUPLICATE","OK"))</f>
        <v/>
      </c>
      <c r="Y2965" s="29">
        <f>IF(OR(U2965="",V2965="",V2965="Excluded"),"",IF(COUNTIFS($U$5:$U$3004,U2965,$V$5:$V$3004,"&lt;&gt;"&amp;V2965,$V$5:$V$3004,"&lt;&gt;",$V$5:$V$3004,"&lt;&gt;Excluded")&gt;0,"LEAK RISK","OK"))</f>
        <v/>
      </c>
      <c r="Z2965" s="30" t="n"/>
    </row>
    <row r="2966">
      <c r="A2966" s="30" t="n"/>
      <c r="B2966" s="30" t="n"/>
      <c r="C2966" s="30" t="n"/>
      <c r="D2966" s="30" t="n"/>
      <c r="E2966" s="30" t="n"/>
      <c r="F2966" s="30" t="n"/>
      <c r="G2966" s="30" t="n"/>
      <c r="H2966" s="30" t="n"/>
      <c r="I2966" s="31" t="n"/>
      <c r="J2966" s="30" t="n"/>
      <c r="K2966" s="30" t="n"/>
      <c r="L2966" s="30" t="n"/>
      <c r="M2966" s="30" t="n"/>
      <c r="N2966" s="32" t="n"/>
      <c r="O2966" s="30" t="n"/>
      <c r="P2966" s="32" t="n"/>
      <c r="Q2966" s="30" t="n"/>
      <c r="R2966" s="32" t="n"/>
      <c r="S2966" s="30" t="n"/>
      <c r="T2966" s="30" t="n"/>
      <c r="U2966" s="30" t="n"/>
      <c r="V2966" s="30" t="n"/>
      <c r="W2966" s="29">
        <f>IF(H2966="","",IF(H2966="Kenya","Yes","No"))</f>
        <v/>
      </c>
      <c r="X2966" s="29">
        <f>IF(B2966="","",IF(COUNTIF($B$5:$B$3004,B2966)&gt;1,"DUPLICATE","OK"))</f>
        <v/>
      </c>
      <c r="Y2966" s="29">
        <f>IF(OR(U2966="",V2966="",V2966="Excluded"),"",IF(COUNTIFS($U$5:$U$3004,U2966,$V$5:$V$3004,"&lt;&gt;"&amp;V2966,$V$5:$V$3004,"&lt;&gt;",$V$5:$V$3004,"&lt;&gt;Excluded")&gt;0,"LEAK RISK","OK"))</f>
        <v/>
      </c>
      <c r="Z2966" s="30" t="n"/>
    </row>
    <row r="2967">
      <c r="A2967" s="30" t="n"/>
      <c r="B2967" s="30" t="n"/>
      <c r="C2967" s="30" t="n"/>
      <c r="D2967" s="30" t="n"/>
      <c r="E2967" s="30" t="n"/>
      <c r="F2967" s="30" t="n"/>
      <c r="G2967" s="30" t="n"/>
      <c r="H2967" s="30" t="n"/>
      <c r="I2967" s="31" t="n"/>
      <c r="J2967" s="30" t="n"/>
      <c r="K2967" s="30" t="n"/>
      <c r="L2967" s="30" t="n"/>
      <c r="M2967" s="30" t="n"/>
      <c r="N2967" s="32" t="n"/>
      <c r="O2967" s="30" t="n"/>
      <c r="P2967" s="32" t="n"/>
      <c r="Q2967" s="30" t="n"/>
      <c r="R2967" s="32" t="n"/>
      <c r="S2967" s="30" t="n"/>
      <c r="T2967" s="30" t="n"/>
      <c r="U2967" s="30" t="n"/>
      <c r="V2967" s="30" t="n"/>
      <c r="W2967" s="29">
        <f>IF(H2967="","",IF(H2967="Kenya","Yes","No"))</f>
        <v/>
      </c>
      <c r="X2967" s="29">
        <f>IF(B2967="","",IF(COUNTIF($B$5:$B$3004,B2967)&gt;1,"DUPLICATE","OK"))</f>
        <v/>
      </c>
      <c r="Y2967" s="29">
        <f>IF(OR(U2967="",V2967="",V2967="Excluded"),"",IF(COUNTIFS($U$5:$U$3004,U2967,$V$5:$V$3004,"&lt;&gt;"&amp;V2967,$V$5:$V$3004,"&lt;&gt;",$V$5:$V$3004,"&lt;&gt;Excluded")&gt;0,"LEAK RISK","OK"))</f>
        <v/>
      </c>
      <c r="Z2967" s="30" t="n"/>
    </row>
    <row r="2968">
      <c r="A2968" s="30" t="n"/>
      <c r="B2968" s="30" t="n"/>
      <c r="C2968" s="30" t="n"/>
      <c r="D2968" s="30" t="n"/>
      <c r="E2968" s="30" t="n"/>
      <c r="F2968" s="30" t="n"/>
      <c r="G2968" s="30" t="n"/>
      <c r="H2968" s="30" t="n"/>
      <c r="I2968" s="31" t="n"/>
      <c r="J2968" s="30" t="n"/>
      <c r="K2968" s="30" t="n"/>
      <c r="L2968" s="30" t="n"/>
      <c r="M2968" s="30" t="n"/>
      <c r="N2968" s="32" t="n"/>
      <c r="O2968" s="30" t="n"/>
      <c r="P2968" s="32" t="n"/>
      <c r="Q2968" s="30" t="n"/>
      <c r="R2968" s="32" t="n"/>
      <c r="S2968" s="30" t="n"/>
      <c r="T2968" s="30" t="n"/>
      <c r="U2968" s="30" t="n"/>
      <c r="V2968" s="30" t="n"/>
      <c r="W2968" s="29">
        <f>IF(H2968="","",IF(H2968="Kenya","Yes","No"))</f>
        <v/>
      </c>
      <c r="X2968" s="29">
        <f>IF(B2968="","",IF(COUNTIF($B$5:$B$3004,B2968)&gt;1,"DUPLICATE","OK"))</f>
        <v/>
      </c>
      <c r="Y2968" s="29">
        <f>IF(OR(U2968="",V2968="",V2968="Excluded"),"",IF(COUNTIFS($U$5:$U$3004,U2968,$V$5:$V$3004,"&lt;&gt;"&amp;V2968,$V$5:$V$3004,"&lt;&gt;",$V$5:$V$3004,"&lt;&gt;Excluded")&gt;0,"LEAK RISK","OK"))</f>
        <v/>
      </c>
      <c r="Z2968" s="30" t="n"/>
    </row>
    <row r="2969">
      <c r="A2969" s="30" t="n"/>
      <c r="B2969" s="30" t="n"/>
      <c r="C2969" s="30" t="n"/>
      <c r="D2969" s="30" t="n"/>
      <c r="E2969" s="30" t="n"/>
      <c r="F2969" s="30" t="n"/>
      <c r="G2969" s="30" t="n"/>
      <c r="H2969" s="30" t="n"/>
      <c r="I2969" s="31" t="n"/>
      <c r="J2969" s="30" t="n"/>
      <c r="K2969" s="30" t="n"/>
      <c r="L2969" s="30" t="n"/>
      <c r="M2969" s="30" t="n"/>
      <c r="N2969" s="32" t="n"/>
      <c r="O2969" s="30" t="n"/>
      <c r="P2969" s="32" t="n"/>
      <c r="Q2969" s="30" t="n"/>
      <c r="R2969" s="32" t="n"/>
      <c r="S2969" s="30" t="n"/>
      <c r="T2969" s="30" t="n"/>
      <c r="U2969" s="30" t="n"/>
      <c r="V2969" s="30" t="n"/>
      <c r="W2969" s="29">
        <f>IF(H2969="","",IF(H2969="Kenya","Yes","No"))</f>
        <v/>
      </c>
      <c r="X2969" s="29">
        <f>IF(B2969="","",IF(COUNTIF($B$5:$B$3004,B2969)&gt;1,"DUPLICATE","OK"))</f>
        <v/>
      </c>
      <c r="Y2969" s="29">
        <f>IF(OR(U2969="",V2969="",V2969="Excluded"),"",IF(COUNTIFS($U$5:$U$3004,U2969,$V$5:$V$3004,"&lt;&gt;"&amp;V2969,$V$5:$V$3004,"&lt;&gt;",$V$5:$V$3004,"&lt;&gt;Excluded")&gt;0,"LEAK RISK","OK"))</f>
        <v/>
      </c>
      <c r="Z2969" s="30" t="n"/>
    </row>
    <row r="2970">
      <c r="A2970" s="30" t="n"/>
      <c r="B2970" s="30" t="n"/>
      <c r="C2970" s="30" t="n"/>
      <c r="D2970" s="30" t="n"/>
      <c r="E2970" s="30" t="n"/>
      <c r="F2970" s="30" t="n"/>
      <c r="G2970" s="30" t="n"/>
      <c r="H2970" s="30" t="n"/>
      <c r="I2970" s="31" t="n"/>
      <c r="J2970" s="30" t="n"/>
      <c r="K2970" s="30" t="n"/>
      <c r="L2970" s="30" t="n"/>
      <c r="M2970" s="30" t="n"/>
      <c r="N2970" s="32" t="n"/>
      <c r="O2970" s="30" t="n"/>
      <c r="P2970" s="32" t="n"/>
      <c r="Q2970" s="30" t="n"/>
      <c r="R2970" s="32" t="n"/>
      <c r="S2970" s="30" t="n"/>
      <c r="T2970" s="30" t="n"/>
      <c r="U2970" s="30" t="n"/>
      <c r="V2970" s="30" t="n"/>
      <c r="W2970" s="29">
        <f>IF(H2970="","",IF(H2970="Kenya","Yes","No"))</f>
        <v/>
      </c>
      <c r="X2970" s="29">
        <f>IF(B2970="","",IF(COUNTIF($B$5:$B$3004,B2970)&gt;1,"DUPLICATE","OK"))</f>
        <v/>
      </c>
      <c r="Y2970" s="29">
        <f>IF(OR(U2970="",V2970="",V2970="Excluded"),"",IF(COUNTIFS($U$5:$U$3004,U2970,$V$5:$V$3004,"&lt;&gt;"&amp;V2970,$V$5:$V$3004,"&lt;&gt;",$V$5:$V$3004,"&lt;&gt;Excluded")&gt;0,"LEAK RISK","OK"))</f>
        <v/>
      </c>
      <c r="Z2970" s="30" t="n"/>
    </row>
    <row r="2971">
      <c r="A2971" s="30" t="n"/>
      <c r="B2971" s="30" t="n"/>
      <c r="C2971" s="30" t="n"/>
      <c r="D2971" s="30" t="n"/>
      <c r="E2971" s="30" t="n"/>
      <c r="F2971" s="30" t="n"/>
      <c r="G2971" s="30" t="n"/>
      <c r="H2971" s="30" t="n"/>
      <c r="I2971" s="31" t="n"/>
      <c r="J2971" s="30" t="n"/>
      <c r="K2971" s="30" t="n"/>
      <c r="L2971" s="30" t="n"/>
      <c r="M2971" s="30" t="n"/>
      <c r="N2971" s="32" t="n"/>
      <c r="O2971" s="30" t="n"/>
      <c r="P2971" s="32" t="n"/>
      <c r="Q2971" s="30" t="n"/>
      <c r="R2971" s="32" t="n"/>
      <c r="S2971" s="30" t="n"/>
      <c r="T2971" s="30" t="n"/>
      <c r="U2971" s="30" t="n"/>
      <c r="V2971" s="30" t="n"/>
      <c r="W2971" s="29">
        <f>IF(H2971="","",IF(H2971="Kenya","Yes","No"))</f>
        <v/>
      </c>
      <c r="X2971" s="29">
        <f>IF(B2971="","",IF(COUNTIF($B$5:$B$3004,B2971)&gt;1,"DUPLICATE","OK"))</f>
        <v/>
      </c>
      <c r="Y2971" s="29">
        <f>IF(OR(U2971="",V2971="",V2971="Excluded"),"",IF(COUNTIFS($U$5:$U$3004,U2971,$V$5:$V$3004,"&lt;&gt;"&amp;V2971,$V$5:$V$3004,"&lt;&gt;",$V$5:$V$3004,"&lt;&gt;Excluded")&gt;0,"LEAK RISK","OK"))</f>
        <v/>
      </c>
      <c r="Z2971" s="30" t="n"/>
    </row>
    <row r="2972">
      <c r="A2972" s="30" t="n"/>
      <c r="B2972" s="30" t="n"/>
      <c r="C2972" s="30" t="n"/>
      <c r="D2972" s="30" t="n"/>
      <c r="E2972" s="30" t="n"/>
      <c r="F2972" s="30" t="n"/>
      <c r="G2972" s="30" t="n"/>
      <c r="H2972" s="30" t="n"/>
      <c r="I2972" s="31" t="n"/>
      <c r="J2972" s="30" t="n"/>
      <c r="K2972" s="30" t="n"/>
      <c r="L2972" s="30" t="n"/>
      <c r="M2972" s="30" t="n"/>
      <c r="N2972" s="32" t="n"/>
      <c r="O2972" s="30" t="n"/>
      <c r="P2972" s="32" t="n"/>
      <c r="Q2972" s="30" t="n"/>
      <c r="R2972" s="32" t="n"/>
      <c r="S2972" s="30" t="n"/>
      <c r="T2972" s="30" t="n"/>
      <c r="U2972" s="30" t="n"/>
      <c r="V2972" s="30" t="n"/>
      <c r="W2972" s="29">
        <f>IF(H2972="","",IF(H2972="Kenya","Yes","No"))</f>
        <v/>
      </c>
      <c r="X2972" s="29">
        <f>IF(B2972="","",IF(COUNTIF($B$5:$B$3004,B2972)&gt;1,"DUPLICATE","OK"))</f>
        <v/>
      </c>
      <c r="Y2972" s="29">
        <f>IF(OR(U2972="",V2972="",V2972="Excluded"),"",IF(COUNTIFS($U$5:$U$3004,U2972,$V$5:$V$3004,"&lt;&gt;"&amp;V2972,$V$5:$V$3004,"&lt;&gt;",$V$5:$V$3004,"&lt;&gt;Excluded")&gt;0,"LEAK RISK","OK"))</f>
        <v/>
      </c>
      <c r="Z2972" s="30" t="n"/>
    </row>
    <row r="2973">
      <c r="A2973" s="30" t="n"/>
      <c r="B2973" s="30" t="n"/>
      <c r="C2973" s="30" t="n"/>
      <c r="D2973" s="30" t="n"/>
      <c r="E2973" s="30" t="n"/>
      <c r="F2973" s="30" t="n"/>
      <c r="G2973" s="30" t="n"/>
      <c r="H2973" s="30" t="n"/>
      <c r="I2973" s="31" t="n"/>
      <c r="J2973" s="30" t="n"/>
      <c r="K2973" s="30" t="n"/>
      <c r="L2973" s="30" t="n"/>
      <c r="M2973" s="30" t="n"/>
      <c r="N2973" s="32" t="n"/>
      <c r="O2973" s="30" t="n"/>
      <c r="P2973" s="32" t="n"/>
      <c r="Q2973" s="30" t="n"/>
      <c r="R2973" s="32" t="n"/>
      <c r="S2973" s="30" t="n"/>
      <c r="T2973" s="30" t="n"/>
      <c r="U2973" s="30" t="n"/>
      <c r="V2973" s="30" t="n"/>
      <c r="W2973" s="29">
        <f>IF(H2973="","",IF(H2973="Kenya","Yes","No"))</f>
        <v/>
      </c>
      <c r="X2973" s="29">
        <f>IF(B2973="","",IF(COUNTIF($B$5:$B$3004,B2973)&gt;1,"DUPLICATE","OK"))</f>
        <v/>
      </c>
      <c r="Y2973" s="29">
        <f>IF(OR(U2973="",V2973="",V2973="Excluded"),"",IF(COUNTIFS($U$5:$U$3004,U2973,$V$5:$V$3004,"&lt;&gt;"&amp;V2973,$V$5:$V$3004,"&lt;&gt;",$V$5:$V$3004,"&lt;&gt;Excluded")&gt;0,"LEAK RISK","OK"))</f>
        <v/>
      </c>
      <c r="Z2973" s="30" t="n"/>
    </row>
    <row r="2974">
      <c r="A2974" s="30" t="n"/>
      <c r="B2974" s="30" t="n"/>
      <c r="C2974" s="30" t="n"/>
      <c r="D2974" s="30" t="n"/>
      <c r="E2974" s="30" t="n"/>
      <c r="F2974" s="30" t="n"/>
      <c r="G2974" s="30" t="n"/>
      <c r="H2974" s="30" t="n"/>
      <c r="I2974" s="31" t="n"/>
      <c r="J2974" s="30" t="n"/>
      <c r="K2974" s="30" t="n"/>
      <c r="L2974" s="30" t="n"/>
      <c r="M2974" s="30" t="n"/>
      <c r="N2974" s="32" t="n"/>
      <c r="O2974" s="30" t="n"/>
      <c r="P2974" s="32" t="n"/>
      <c r="Q2974" s="30" t="n"/>
      <c r="R2974" s="32" t="n"/>
      <c r="S2974" s="30" t="n"/>
      <c r="T2974" s="30" t="n"/>
      <c r="U2974" s="30" t="n"/>
      <c r="V2974" s="30" t="n"/>
      <c r="W2974" s="29">
        <f>IF(H2974="","",IF(H2974="Kenya","Yes","No"))</f>
        <v/>
      </c>
      <c r="X2974" s="29">
        <f>IF(B2974="","",IF(COUNTIF($B$5:$B$3004,B2974)&gt;1,"DUPLICATE","OK"))</f>
        <v/>
      </c>
      <c r="Y2974" s="29">
        <f>IF(OR(U2974="",V2974="",V2974="Excluded"),"",IF(COUNTIFS($U$5:$U$3004,U2974,$V$5:$V$3004,"&lt;&gt;"&amp;V2974,$V$5:$V$3004,"&lt;&gt;",$V$5:$V$3004,"&lt;&gt;Excluded")&gt;0,"LEAK RISK","OK"))</f>
        <v/>
      </c>
      <c r="Z2974" s="30" t="n"/>
    </row>
    <row r="2975">
      <c r="A2975" s="30" t="n"/>
      <c r="B2975" s="30" t="n"/>
      <c r="C2975" s="30" t="n"/>
      <c r="D2975" s="30" t="n"/>
      <c r="E2975" s="30" t="n"/>
      <c r="F2975" s="30" t="n"/>
      <c r="G2975" s="30" t="n"/>
      <c r="H2975" s="30" t="n"/>
      <c r="I2975" s="31" t="n"/>
      <c r="J2975" s="30" t="n"/>
      <c r="K2975" s="30" t="n"/>
      <c r="L2975" s="30" t="n"/>
      <c r="M2975" s="30" t="n"/>
      <c r="N2975" s="32" t="n"/>
      <c r="O2975" s="30" t="n"/>
      <c r="P2975" s="32" t="n"/>
      <c r="Q2975" s="30" t="n"/>
      <c r="R2975" s="32" t="n"/>
      <c r="S2975" s="30" t="n"/>
      <c r="T2975" s="30" t="n"/>
      <c r="U2975" s="30" t="n"/>
      <c r="V2975" s="30" t="n"/>
      <c r="W2975" s="29">
        <f>IF(H2975="","",IF(H2975="Kenya","Yes","No"))</f>
        <v/>
      </c>
      <c r="X2975" s="29">
        <f>IF(B2975="","",IF(COUNTIF($B$5:$B$3004,B2975)&gt;1,"DUPLICATE","OK"))</f>
        <v/>
      </c>
      <c r="Y2975" s="29">
        <f>IF(OR(U2975="",V2975="",V2975="Excluded"),"",IF(COUNTIFS($U$5:$U$3004,U2975,$V$5:$V$3004,"&lt;&gt;"&amp;V2975,$V$5:$V$3004,"&lt;&gt;",$V$5:$V$3004,"&lt;&gt;Excluded")&gt;0,"LEAK RISK","OK"))</f>
        <v/>
      </c>
      <c r="Z2975" s="30" t="n"/>
    </row>
    <row r="2976">
      <c r="A2976" s="30" t="n"/>
      <c r="B2976" s="30" t="n"/>
      <c r="C2976" s="30" t="n"/>
      <c r="D2976" s="30" t="n"/>
      <c r="E2976" s="30" t="n"/>
      <c r="F2976" s="30" t="n"/>
      <c r="G2976" s="30" t="n"/>
      <c r="H2976" s="30" t="n"/>
      <c r="I2976" s="31" t="n"/>
      <c r="J2976" s="30" t="n"/>
      <c r="K2976" s="30" t="n"/>
      <c r="L2976" s="30" t="n"/>
      <c r="M2976" s="30" t="n"/>
      <c r="N2976" s="32" t="n"/>
      <c r="O2976" s="30" t="n"/>
      <c r="P2976" s="32" t="n"/>
      <c r="Q2976" s="30" t="n"/>
      <c r="R2976" s="32" t="n"/>
      <c r="S2976" s="30" t="n"/>
      <c r="T2976" s="30" t="n"/>
      <c r="U2976" s="30" t="n"/>
      <c r="V2976" s="30" t="n"/>
      <c r="W2976" s="29">
        <f>IF(H2976="","",IF(H2976="Kenya","Yes","No"))</f>
        <v/>
      </c>
      <c r="X2976" s="29">
        <f>IF(B2976="","",IF(COUNTIF($B$5:$B$3004,B2976)&gt;1,"DUPLICATE","OK"))</f>
        <v/>
      </c>
      <c r="Y2976" s="29">
        <f>IF(OR(U2976="",V2976="",V2976="Excluded"),"",IF(COUNTIFS($U$5:$U$3004,U2976,$V$5:$V$3004,"&lt;&gt;"&amp;V2976,$V$5:$V$3004,"&lt;&gt;",$V$5:$V$3004,"&lt;&gt;Excluded")&gt;0,"LEAK RISK","OK"))</f>
        <v/>
      </c>
      <c r="Z2976" s="30" t="n"/>
    </row>
    <row r="2977">
      <c r="A2977" s="30" t="n"/>
      <c r="B2977" s="30" t="n"/>
      <c r="C2977" s="30" t="n"/>
      <c r="D2977" s="30" t="n"/>
      <c r="E2977" s="30" t="n"/>
      <c r="F2977" s="30" t="n"/>
      <c r="G2977" s="30" t="n"/>
      <c r="H2977" s="30" t="n"/>
      <c r="I2977" s="31" t="n"/>
      <c r="J2977" s="30" t="n"/>
      <c r="K2977" s="30" t="n"/>
      <c r="L2977" s="30" t="n"/>
      <c r="M2977" s="30" t="n"/>
      <c r="N2977" s="32" t="n"/>
      <c r="O2977" s="30" t="n"/>
      <c r="P2977" s="32" t="n"/>
      <c r="Q2977" s="30" t="n"/>
      <c r="R2977" s="32" t="n"/>
      <c r="S2977" s="30" t="n"/>
      <c r="T2977" s="30" t="n"/>
      <c r="U2977" s="30" t="n"/>
      <c r="V2977" s="30" t="n"/>
      <c r="W2977" s="29">
        <f>IF(H2977="","",IF(H2977="Kenya","Yes","No"))</f>
        <v/>
      </c>
      <c r="X2977" s="29">
        <f>IF(B2977="","",IF(COUNTIF($B$5:$B$3004,B2977)&gt;1,"DUPLICATE","OK"))</f>
        <v/>
      </c>
      <c r="Y2977" s="29">
        <f>IF(OR(U2977="",V2977="",V2977="Excluded"),"",IF(COUNTIFS($U$5:$U$3004,U2977,$V$5:$V$3004,"&lt;&gt;"&amp;V2977,$V$5:$V$3004,"&lt;&gt;",$V$5:$V$3004,"&lt;&gt;Excluded")&gt;0,"LEAK RISK","OK"))</f>
        <v/>
      </c>
      <c r="Z2977" s="30" t="n"/>
    </row>
    <row r="2978">
      <c r="A2978" s="30" t="n"/>
      <c r="B2978" s="30" t="n"/>
      <c r="C2978" s="30" t="n"/>
      <c r="D2978" s="30" t="n"/>
      <c r="E2978" s="30" t="n"/>
      <c r="F2978" s="30" t="n"/>
      <c r="G2978" s="30" t="n"/>
      <c r="H2978" s="30" t="n"/>
      <c r="I2978" s="31" t="n"/>
      <c r="J2978" s="30" t="n"/>
      <c r="K2978" s="30" t="n"/>
      <c r="L2978" s="30" t="n"/>
      <c r="M2978" s="30" t="n"/>
      <c r="N2978" s="32" t="n"/>
      <c r="O2978" s="30" t="n"/>
      <c r="P2978" s="32" t="n"/>
      <c r="Q2978" s="30" t="n"/>
      <c r="R2978" s="32" t="n"/>
      <c r="S2978" s="30" t="n"/>
      <c r="T2978" s="30" t="n"/>
      <c r="U2978" s="30" t="n"/>
      <c r="V2978" s="30" t="n"/>
      <c r="W2978" s="29">
        <f>IF(H2978="","",IF(H2978="Kenya","Yes","No"))</f>
        <v/>
      </c>
      <c r="X2978" s="29">
        <f>IF(B2978="","",IF(COUNTIF($B$5:$B$3004,B2978)&gt;1,"DUPLICATE","OK"))</f>
        <v/>
      </c>
      <c r="Y2978" s="29">
        <f>IF(OR(U2978="",V2978="",V2978="Excluded"),"",IF(COUNTIFS($U$5:$U$3004,U2978,$V$5:$V$3004,"&lt;&gt;"&amp;V2978,$V$5:$V$3004,"&lt;&gt;",$V$5:$V$3004,"&lt;&gt;Excluded")&gt;0,"LEAK RISK","OK"))</f>
        <v/>
      </c>
      <c r="Z2978" s="30" t="n"/>
    </row>
    <row r="2979">
      <c r="A2979" s="30" t="n"/>
      <c r="B2979" s="30" t="n"/>
      <c r="C2979" s="30" t="n"/>
      <c r="D2979" s="30" t="n"/>
      <c r="E2979" s="30" t="n"/>
      <c r="F2979" s="30" t="n"/>
      <c r="G2979" s="30" t="n"/>
      <c r="H2979" s="30" t="n"/>
      <c r="I2979" s="31" t="n"/>
      <c r="J2979" s="30" t="n"/>
      <c r="K2979" s="30" t="n"/>
      <c r="L2979" s="30" t="n"/>
      <c r="M2979" s="30" t="n"/>
      <c r="N2979" s="32" t="n"/>
      <c r="O2979" s="30" t="n"/>
      <c r="P2979" s="32" t="n"/>
      <c r="Q2979" s="30" t="n"/>
      <c r="R2979" s="32" t="n"/>
      <c r="S2979" s="30" t="n"/>
      <c r="T2979" s="30" t="n"/>
      <c r="U2979" s="30" t="n"/>
      <c r="V2979" s="30" t="n"/>
      <c r="W2979" s="29">
        <f>IF(H2979="","",IF(H2979="Kenya","Yes","No"))</f>
        <v/>
      </c>
      <c r="X2979" s="29">
        <f>IF(B2979="","",IF(COUNTIF($B$5:$B$3004,B2979)&gt;1,"DUPLICATE","OK"))</f>
        <v/>
      </c>
      <c r="Y2979" s="29">
        <f>IF(OR(U2979="",V2979="",V2979="Excluded"),"",IF(COUNTIFS($U$5:$U$3004,U2979,$V$5:$V$3004,"&lt;&gt;"&amp;V2979,$V$5:$V$3004,"&lt;&gt;",$V$5:$V$3004,"&lt;&gt;Excluded")&gt;0,"LEAK RISK","OK"))</f>
        <v/>
      </c>
      <c r="Z2979" s="30" t="n"/>
    </row>
    <row r="2980">
      <c r="A2980" s="30" t="n"/>
      <c r="B2980" s="30" t="n"/>
      <c r="C2980" s="30" t="n"/>
      <c r="D2980" s="30" t="n"/>
      <c r="E2980" s="30" t="n"/>
      <c r="F2980" s="30" t="n"/>
      <c r="G2980" s="30" t="n"/>
      <c r="H2980" s="30" t="n"/>
      <c r="I2980" s="31" t="n"/>
      <c r="J2980" s="30" t="n"/>
      <c r="K2980" s="30" t="n"/>
      <c r="L2980" s="30" t="n"/>
      <c r="M2980" s="30" t="n"/>
      <c r="N2980" s="32" t="n"/>
      <c r="O2980" s="30" t="n"/>
      <c r="P2980" s="32" t="n"/>
      <c r="Q2980" s="30" t="n"/>
      <c r="R2980" s="32" t="n"/>
      <c r="S2980" s="30" t="n"/>
      <c r="T2980" s="30" t="n"/>
      <c r="U2980" s="30" t="n"/>
      <c r="V2980" s="30" t="n"/>
      <c r="W2980" s="29">
        <f>IF(H2980="","",IF(H2980="Kenya","Yes","No"))</f>
        <v/>
      </c>
      <c r="X2980" s="29">
        <f>IF(B2980="","",IF(COUNTIF($B$5:$B$3004,B2980)&gt;1,"DUPLICATE","OK"))</f>
        <v/>
      </c>
      <c r="Y2980" s="29">
        <f>IF(OR(U2980="",V2980="",V2980="Excluded"),"",IF(COUNTIFS($U$5:$U$3004,U2980,$V$5:$V$3004,"&lt;&gt;"&amp;V2980,$V$5:$V$3004,"&lt;&gt;",$V$5:$V$3004,"&lt;&gt;Excluded")&gt;0,"LEAK RISK","OK"))</f>
        <v/>
      </c>
      <c r="Z2980" s="30" t="n"/>
    </row>
    <row r="2981">
      <c r="A2981" s="30" t="n"/>
      <c r="B2981" s="30" t="n"/>
      <c r="C2981" s="30" t="n"/>
      <c r="D2981" s="30" t="n"/>
      <c r="E2981" s="30" t="n"/>
      <c r="F2981" s="30" t="n"/>
      <c r="G2981" s="30" t="n"/>
      <c r="H2981" s="30" t="n"/>
      <c r="I2981" s="31" t="n"/>
      <c r="J2981" s="30" t="n"/>
      <c r="K2981" s="30" t="n"/>
      <c r="L2981" s="30" t="n"/>
      <c r="M2981" s="30" t="n"/>
      <c r="N2981" s="32" t="n"/>
      <c r="O2981" s="30" t="n"/>
      <c r="P2981" s="32" t="n"/>
      <c r="Q2981" s="30" t="n"/>
      <c r="R2981" s="32" t="n"/>
      <c r="S2981" s="30" t="n"/>
      <c r="T2981" s="30" t="n"/>
      <c r="U2981" s="30" t="n"/>
      <c r="V2981" s="30" t="n"/>
      <c r="W2981" s="29">
        <f>IF(H2981="","",IF(H2981="Kenya","Yes","No"))</f>
        <v/>
      </c>
      <c r="X2981" s="29">
        <f>IF(B2981="","",IF(COUNTIF($B$5:$B$3004,B2981)&gt;1,"DUPLICATE","OK"))</f>
        <v/>
      </c>
      <c r="Y2981" s="29">
        <f>IF(OR(U2981="",V2981="",V2981="Excluded"),"",IF(COUNTIFS($U$5:$U$3004,U2981,$V$5:$V$3004,"&lt;&gt;"&amp;V2981,$V$5:$V$3004,"&lt;&gt;",$V$5:$V$3004,"&lt;&gt;Excluded")&gt;0,"LEAK RISK","OK"))</f>
        <v/>
      </c>
      <c r="Z2981" s="30" t="n"/>
    </row>
    <row r="2982">
      <c r="A2982" s="30" t="n"/>
      <c r="B2982" s="30" t="n"/>
      <c r="C2982" s="30" t="n"/>
      <c r="D2982" s="30" t="n"/>
      <c r="E2982" s="30" t="n"/>
      <c r="F2982" s="30" t="n"/>
      <c r="G2982" s="30" t="n"/>
      <c r="H2982" s="30" t="n"/>
      <c r="I2982" s="31" t="n"/>
      <c r="J2982" s="30" t="n"/>
      <c r="K2982" s="30" t="n"/>
      <c r="L2982" s="30" t="n"/>
      <c r="M2982" s="30" t="n"/>
      <c r="N2982" s="32" t="n"/>
      <c r="O2982" s="30" t="n"/>
      <c r="P2982" s="32" t="n"/>
      <c r="Q2982" s="30" t="n"/>
      <c r="R2982" s="32" t="n"/>
      <c r="S2982" s="30" t="n"/>
      <c r="T2982" s="30" t="n"/>
      <c r="U2982" s="30" t="n"/>
      <c r="V2982" s="30" t="n"/>
      <c r="W2982" s="29">
        <f>IF(H2982="","",IF(H2982="Kenya","Yes","No"))</f>
        <v/>
      </c>
      <c r="X2982" s="29">
        <f>IF(B2982="","",IF(COUNTIF($B$5:$B$3004,B2982)&gt;1,"DUPLICATE","OK"))</f>
        <v/>
      </c>
      <c r="Y2982" s="29">
        <f>IF(OR(U2982="",V2982="",V2982="Excluded"),"",IF(COUNTIFS($U$5:$U$3004,U2982,$V$5:$V$3004,"&lt;&gt;"&amp;V2982,$V$5:$V$3004,"&lt;&gt;",$V$5:$V$3004,"&lt;&gt;Excluded")&gt;0,"LEAK RISK","OK"))</f>
        <v/>
      </c>
      <c r="Z2982" s="30" t="n"/>
    </row>
    <row r="2983">
      <c r="A2983" s="30" t="n"/>
      <c r="B2983" s="30" t="n"/>
      <c r="C2983" s="30" t="n"/>
      <c r="D2983" s="30" t="n"/>
      <c r="E2983" s="30" t="n"/>
      <c r="F2983" s="30" t="n"/>
      <c r="G2983" s="30" t="n"/>
      <c r="H2983" s="30" t="n"/>
      <c r="I2983" s="31" t="n"/>
      <c r="J2983" s="30" t="n"/>
      <c r="K2983" s="30" t="n"/>
      <c r="L2983" s="30" t="n"/>
      <c r="M2983" s="30" t="n"/>
      <c r="N2983" s="32" t="n"/>
      <c r="O2983" s="30" t="n"/>
      <c r="P2983" s="32" t="n"/>
      <c r="Q2983" s="30" t="n"/>
      <c r="R2983" s="32" t="n"/>
      <c r="S2983" s="30" t="n"/>
      <c r="T2983" s="30" t="n"/>
      <c r="U2983" s="30" t="n"/>
      <c r="V2983" s="30" t="n"/>
      <c r="W2983" s="29">
        <f>IF(H2983="","",IF(H2983="Kenya","Yes","No"))</f>
        <v/>
      </c>
      <c r="X2983" s="29">
        <f>IF(B2983="","",IF(COUNTIF($B$5:$B$3004,B2983)&gt;1,"DUPLICATE","OK"))</f>
        <v/>
      </c>
      <c r="Y2983" s="29">
        <f>IF(OR(U2983="",V2983="",V2983="Excluded"),"",IF(COUNTIFS($U$5:$U$3004,U2983,$V$5:$V$3004,"&lt;&gt;"&amp;V2983,$V$5:$V$3004,"&lt;&gt;",$V$5:$V$3004,"&lt;&gt;Excluded")&gt;0,"LEAK RISK","OK"))</f>
        <v/>
      </c>
      <c r="Z2983" s="30" t="n"/>
    </row>
    <row r="2984">
      <c r="A2984" s="30" t="n"/>
      <c r="B2984" s="30" t="n"/>
      <c r="C2984" s="30" t="n"/>
      <c r="D2984" s="30" t="n"/>
      <c r="E2984" s="30" t="n"/>
      <c r="F2984" s="30" t="n"/>
      <c r="G2984" s="30" t="n"/>
      <c r="H2984" s="30" t="n"/>
      <c r="I2984" s="31" t="n"/>
      <c r="J2984" s="30" t="n"/>
      <c r="K2984" s="30" t="n"/>
      <c r="L2984" s="30" t="n"/>
      <c r="M2984" s="30" t="n"/>
      <c r="N2984" s="32" t="n"/>
      <c r="O2984" s="30" t="n"/>
      <c r="P2984" s="32" t="n"/>
      <c r="Q2984" s="30" t="n"/>
      <c r="R2984" s="32" t="n"/>
      <c r="S2984" s="30" t="n"/>
      <c r="T2984" s="30" t="n"/>
      <c r="U2984" s="30" t="n"/>
      <c r="V2984" s="30" t="n"/>
      <c r="W2984" s="29">
        <f>IF(H2984="","",IF(H2984="Kenya","Yes","No"))</f>
        <v/>
      </c>
      <c r="X2984" s="29">
        <f>IF(B2984="","",IF(COUNTIF($B$5:$B$3004,B2984)&gt;1,"DUPLICATE","OK"))</f>
        <v/>
      </c>
      <c r="Y2984" s="29">
        <f>IF(OR(U2984="",V2984="",V2984="Excluded"),"",IF(COUNTIFS($U$5:$U$3004,U2984,$V$5:$V$3004,"&lt;&gt;"&amp;V2984,$V$5:$V$3004,"&lt;&gt;",$V$5:$V$3004,"&lt;&gt;Excluded")&gt;0,"LEAK RISK","OK"))</f>
        <v/>
      </c>
      <c r="Z2984" s="30" t="n"/>
    </row>
    <row r="2985">
      <c r="A2985" s="30" t="n"/>
      <c r="B2985" s="30" t="n"/>
      <c r="C2985" s="30" t="n"/>
      <c r="D2985" s="30" t="n"/>
      <c r="E2985" s="30" t="n"/>
      <c r="F2985" s="30" t="n"/>
      <c r="G2985" s="30" t="n"/>
      <c r="H2985" s="30" t="n"/>
      <c r="I2985" s="31" t="n"/>
      <c r="J2985" s="30" t="n"/>
      <c r="K2985" s="30" t="n"/>
      <c r="L2985" s="30" t="n"/>
      <c r="M2985" s="30" t="n"/>
      <c r="N2985" s="32" t="n"/>
      <c r="O2985" s="30" t="n"/>
      <c r="P2985" s="32" t="n"/>
      <c r="Q2985" s="30" t="n"/>
      <c r="R2985" s="32" t="n"/>
      <c r="S2985" s="30" t="n"/>
      <c r="T2985" s="30" t="n"/>
      <c r="U2985" s="30" t="n"/>
      <c r="V2985" s="30" t="n"/>
      <c r="W2985" s="29">
        <f>IF(H2985="","",IF(H2985="Kenya","Yes","No"))</f>
        <v/>
      </c>
      <c r="X2985" s="29">
        <f>IF(B2985="","",IF(COUNTIF($B$5:$B$3004,B2985)&gt;1,"DUPLICATE","OK"))</f>
        <v/>
      </c>
      <c r="Y2985" s="29">
        <f>IF(OR(U2985="",V2985="",V2985="Excluded"),"",IF(COUNTIFS($U$5:$U$3004,U2985,$V$5:$V$3004,"&lt;&gt;"&amp;V2985,$V$5:$V$3004,"&lt;&gt;",$V$5:$V$3004,"&lt;&gt;Excluded")&gt;0,"LEAK RISK","OK"))</f>
        <v/>
      </c>
      <c r="Z2985" s="30" t="n"/>
    </row>
    <row r="2986">
      <c r="A2986" s="30" t="n"/>
      <c r="B2986" s="30" t="n"/>
      <c r="C2986" s="30" t="n"/>
      <c r="D2986" s="30" t="n"/>
      <c r="E2986" s="30" t="n"/>
      <c r="F2986" s="30" t="n"/>
      <c r="G2986" s="30" t="n"/>
      <c r="H2986" s="30" t="n"/>
      <c r="I2986" s="31" t="n"/>
      <c r="J2986" s="30" t="n"/>
      <c r="K2986" s="30" t="n"/>
      <c r="L2986" s="30" t="n"/>
      <c r="M2986" s="30" t="n"/>
      <c r="N2986" s="32" t="n"/>
      <c r="O2986" s="30" t="n"/>
      <c r="P2986" s="32" t="n"/>
      <c r="Q2986" s="30" t="n"/>
      <c r="R2986" s="32" t="n"/>
      <c r="S2986" s="30" t="n"/>
      <c r="T2986" s="30" t="n"/>
      <c r="U2986" s="30" t="n"/>
      <c r="V2986" s="30" t="n"/>
      <c r="W2986" s="29">
        <f>IF(H2986="","",IF(H2986="Kenya","Yes","No"))</f>
        <v/>
      </c>
      <c r="X2986" s="29">
        <f>IF(B2986="","",IF(COUNTIF($B$5:$B$3004,B2986)&gt;1,"DUPLICATE","OK"))</f>
        <v/>
      </c>
      <c r="Y2986" s="29">
        <f>IF(OR(U2986="",V2986="",V2986="Excluded"),"",IF(COUNTIFS($U$5:$U$3004,U2986,$V$5:$V$3004,"&lt;&gt;"&amp;V2986,$V$5:$V$3004,"&lt;&gt;",$V$5:$V$3004,"&lt;&gt;Excluded")&gt;0,"LEAK RISK","OK"))</f>
        <v/>
      </c>
      <c r="Z2986" s="30" t="n"/>
    </row>
    <row r="2987">
      <c r="A2987" s="30" t="n"/>
      <c r="B2987" s="30" t="n"/>
      <c r="C2987" s="30" t="n"/>
      <c r="D2987" s="30" t="n"/>
      <c r="E2987" s="30" t="n"/>
      <c r="F2987" s="30" t="n"/>
      <c r="G2987" s="30" t="n"/>
      <c r="H2987" s="30" t="n"/>
      <c r="I2987" s="31" t="n"/>
      <c r="J2987" s="30" t="n"/>
      <c r="K2987" s="30" t="n"/>
      <c r="L2987" s="30" t="n"/>
      <c r="M2987" s="30" t="n"/>
      <c r="N2987" s="32" t="n"/>
      <c r="O2987" s="30" t="n"/>
      <c r="P2987" s="32" t="n"/>
      <c r="Q2987" s="30" t="n"/>
      <c r="R2987" s="32" t="n"/>
      <c r="S2987" s="30" t="n"/>
      <c r="T2987" s="30" t="n"/>
      <c r="U2987" s="30" t="n"/>
      <c r="V2987" s="30" t="n"/>
      <c r="W2987" s="29">
        <f>IF(H2987="","",IF(H2987="Kenya","Yes","No"))</f>
        <v/>
      </c>
      <c r="X2987" s="29">
        <f>IF(B2987="","",IF(COUNTIF($B$5:$B$3004,B2987)&gt;1,"DUPLICATE","OK"))</f>
        <v/>
      </c>
      <c r="Y2987" s="29">
        <f>IF(OR(U2987="",V2987="",V2987="Excluded"),"",IF(COUNTIFS($U$5:$U$3004,U2987,$V$5:$V$3004,"&lt;&gt;"&amp;V2987,$V$5:$V$3004,"&lt;&gt;",$V$5:$V$3004,"&lt;&gt;Excluded")&gt;0,"LEAK RISK","OK"))</f>
        <v/>
      </c>
      <c r="Z2987" s="30" t="n"/>
    </row>
    <row r="2988">
      <c r="A2988" s="30" t="n"/>
      <c r="B2988" s="30" t="n"/>
      <c r="C2988" s="30" t="n"/>
      <c r="D2988" s="30" t="n"/>
      <c r="E2988" s="30" t="n"/>
      <c r="F2988" s="30" t="n"/>
      <c r="G2988" s="30" t="n"/>
      <c r="H2988" s="30" t="n"/>
      <c r="I2988" s="31" t="n"/>
      <c r="J2988" s="30" t="n"/>
      <c r="K2988" s="30" t="n"/>
      <c r="L2988" s="30" t="n"/>
      <c r="M2988" s="30" t="n"/>
      <c r="N2988" s="32" t="n"/>
      <c r="O2988" s="30" t="n"/>
      <c r="P2988" s="32" t="n"/>
      <c r="Q2988" s="30" t="n"/>
      <c r="R2988" s="32" t="n"/>
      <c r="S2988" s="30" t="n"/>
      <c r="T2988" s="30" t="n"/>
      <c r="U2988" s="30" t="n"/>
      <c r="V2988" s="30" t="n"/>
      <c r="W2988" s="29">
        <f>IF(H2988="","",IF(H2988="Kenya","Yes","No"))</f>
        <v/>
      </c>
      <c r="X2988" s="29">
        <f>IF(B2988="","",IF(COUNTIF($B$5:$B$3004,B2988)&gt;1,"DUPLICATE","OK"))</f>
        <v/>
      </c>
      <c r="Y2988" s="29">
        <f>IF(OR(U2988="",V2988="",V2988="Excluded"),"",IF(COUNTIFS($U$5:$U$3004,U2988,$V$5:$V$3004,"&lt;&gt;"&amp;V2988,$V$5:$V$3004,"&lt;&gt;",$V$5:$V$3004,"&lt;&gt;Excluded")&gt;0,"LEAK RISK","OK"))</f>
        <v/>
      </c>
      <c r="Z2988" s="30" t="n"/>
    </row>
    <row r="2989">
      <c r="A2989" s="30" t="n"/>
      <c r="B2989" s="30" t="n"/>
      <c r="C2989" s="30" t="n"/>
      <c r="D2989" s="30" t="n"/>
      <c r="E2989" s="30" t="n"/>
      <c r="F2989" s="30" t="n"/>
      <c r="G2989" s="30" t="n"/>
      <c r="H2989" s="30" t="n"/>
      <c r="I2989" s="31" t="n"/>
      <c r="J2989" s="30" t="n"/>
      <c r="K2989" s="30" t="n"/>
      <c r="L2989" s="30" t="n"/>
      <c r="M2989" s="30" t="n"/>
      <c r="N2989" s="32" t="n"/>
      <c r="O2989" s="30" t="n"/>
      <c r="P2989" s="32" t="n"/>
      <c r="Q2989" s="30" t="n"/>
      <c r="R2989" s="32" t="n"/>
      <c r="S2989" s="30" t="n"/>
      <c r="T2989" s="30" t="n"/>
      <c r="U2989" s="30" t="n"/>
      <c r="V2989" s="30" t="n"/>
      <c r="W2989" s="29">
        <f>IF(H2989="","",IF(H2989="Kenya","Yes","No"))</f>
        <v/>
      </c>
      <c r="X2989" s="29">
        <f>IF(B2989="","",IF(COUNTIF($B$5:$B$3004,B2989)&gt;1,"DUPLICATE","OK"))</f>
        <v/>
      </c>
      <c r="Y2989" s="29">
        <f>IF(OR(U2989="",V2989="",V2989="Excluded"),"",IF(COUNTIFS($U$5:$U$3004,U2989,$V$5:$V$3004,"&lt;&gt;"&amp;V2989,$V$5:$V$3004,"&lt;&gt;",$V$5:$V$3004,"&lt;&gt;Excluded")&gt;0,"LEAK RISK","OK"))</f>
        <v/>
      </c>
      <c r="Z2989" s="30" t="n"/>
    </row>
    <row r="2990">
      <c r="A2990" s="30" t="n"/>
      <c r="B2990" s="30" t="n"/>
      <c r="C2990" s="30" t="n"/>
      <c r="D2990" s="30" t="n"/>
      <c r="E2990" s="30" t="n"/>
      <c r="F2990" s="30" t="n"/>
      <c r="G2990" s="30" t="n"/>
      <c r="H2990" s="30" t="n"/>
      <c r="I2990" s="31" t="n"/>
      <c r="J2990" s="30" t="n"/>
      <c r="K2990" s="30" t="n"/>
      <c r="L2990" s="30" t="n"/>
      <c r="M2990" s="30" t="n"/>
      <c r="N2990" s="32" t="n"/>
      <c r="O2990" s="30" t="n"/>
      <c r="P2990" s="32" t="n"/>
      <c r="Q2990" s="30" t="n"/>
      <c r="R2990" s="32" t="n"/>
      <c r="S2990" s="30" t="n"/>
      <c r="T2990" s="30" t="n"/>
      <c r="U2990" s="30" t="n"/>
      <c r="V2990" s="30" t="n"/>
      <c r="W2990" s="29">
        <f>IF(H2990="","",IF(H2990="Kenya","Yes","No"))</f>
        <v/>
      </c>
      <c r="X2990" s="29">
        <f>IF(B2990="","",IF(COUNTIF($B$5:$B$3004,B2990)&gt;1,"DUPLICATE","OK"))</f>
        <v/>
      </c>
      <c r="Y2990" s="29">
        <f>IF(OR(U2990="",V2990="",V2990="Excluded"),"",IF(COUNTIFS($U$5:$U$3004,U2990,$V$5:$V$3004,"&lt;&gt;"&amp;V2990,$V$5:$V$3004,"&lt;&gt;",$V$5:$V$3004,"&lt;&gt;Excluded")&gt;0,"LEAK RISK","OK"))</f>
        <v/>
      </c>
      <c r="Z2990" s="30" t="n"/>
    </row>
    <row r="2991">
      <c r="A2991" s="30" t="n"/>
      <c r="B2991" s="30" t="n"/>
      <c r="C2991" s="30" t="n"/>
      <c r="D2991" s="30" t="n"/>
      <c r="E2991" s="30" t="n"/>
      <c r="F2991" s="30" t="n"/>
      <c r="G2991" s="30" t="n"/>
      <c r="H2991" s="30" t="n"/>
      <c r="I2991" s="31" t="n"/>
      <c r="J2991" s="30" t="n"/>
      <c r="K2991" s="30" t="n"/>
      <c r="L2991" s="30" t="n"/>
      <c r="M2991" s="30" t="n"/>
      <c r="N2991" s="32" t="n"/>
      <c r="O2991" s="30" t="n"/>
      <c r="P2991" s="32" t="n"/>
      <c r="Q2991" s="30" t="n"/>
      <c r="R2991" s="32" t="n"/>
      <c r="S2991" s="30" t="n"/>
      <c r="T2991" s="30" t="n"/>
      <c r="U2991" s="30" t="n"/>
      <c r="V2991" s="30" t="n"/>
      <c r="W2991" s="29">
        <f>IF(H2991="","",IF(H2991="Kenya","Yes","No"))</f>
        <v/>
      </c>
      <c r="X2991" s="29">
        <f>IF(B2991="","",IF(COUNTIF($B$5:$B$3004,B2991)&gt;1,"DUPLICATE","OK"))</f>
        <v/>
      </c>
      <c r="Y2991" s="29">
        <f>IF(OR(U2991="",V2991="",V2991="Excluded"),"",IF(COUNTIFS($U$5:$U$3004,U2991,$V$5:$V$3004,"&lt;&gt;"&amp;V2991,$V$5:$V$3004,"&lt;&gt;",$V$5:$V$3004,"&lt;&gt;Excluded")&gt;0,"LEAK RISK","OK"))</f>
        <v/>
      </c>
      <c r="Z2991" s="30" t="n"/>
    </row>
    <row r="2992">
      <c r="A2992" s="30" t="n"/>
      <c r="B2992" s="30" t="n"/>
      <c r="C2992" s="30" t="n"/>
      <c r="D2992" s="30" t="n"/>
      <c r="E2992" s="30" t="n"/>
      <c r="F2992" s="30" t="n"/>
      <c r="G2992" s="30" t="n"/>
      <c r="H2992" s="30" t="n"/>
      <c r="I2992" s="31" t="n"/>
      <c r="J2992" s="30" t="n"/>
      <c r="K2992" s="30" t="n"/>
      <c r="L2992" s="30" t="n"/>
      <c r="M2992" s="30" t="n"/>
      <c r="N2992" s="32" t="n"/>
      <c r="O2992" s="30" t="n"/>
      <c r="P2992" s="32" t="n"/>
      <c r="Q2992" s="30" t="n"/>
      <c r="R2992" s="32" t="n"/>
      <c r="S2992" s="30" t="n"/>
      <c r="T2992" s="30" t="n"/>
      <c r="U2992" s="30" t="n"/>
      <c r="V2992" s="30" t="n"/>
      <c r="W2992" s="29">
        <f>IF(H2992="","",IF(H2992="Kenya","Yes","No"))</f>
        <v/>
      </c>
      <c r="X2992" s="29">
        <f>IF(B2992="","",IF(COUNTIF($B$5:$B$3004,B2992)&gt;1,"DUPLICATE","OK"))</f>
        <v/>
      </c>
      <c r="Y2992" s="29">
        <f>IF(OR(U2992="",V2992="",V2992="Excluded"),"",IF(COUNTIFS($U$5:$U$3004,U2992,$V$5:$V$3004,"&lt;&gt;"&amp;V2992,$V$5:$V$3004,"&lt;&gt;",$V$5:$V$3004,"&lt;&gt;Excluded")&gt;0,"LEAK RISK","OK"))</f>
        <v/>
      </c>
      <c r="Z2992" s="30" t="n"/>
    </row>
    <row r="2993">
      <c r="A2993" s="30" t="n"/>
      <c r="B2993" s="30" t="n"/>
      <c r="C2993" s="30" t="n"/>
      <c r="D2993" s="30" t="n"/>
      <c r="E2993" s="30" t="n"/>
      <c r="F2993" s="30" t="n"/>
      <c r="G2993" s="30" t="n"/>
      <c r="H2993" s="30" t="n"/>
      <c r="I2993" s="31" t="n"/>
      <c r="J2993" s="30" t="n"/>
      <c r="K2993" s="30" t="n"/>
      <c r="L2993" s="30" t="n"/>
      <c r="M2993" s="30" t="n"/>
      <c r="N2993" s="32" t="n"/>
      <c r="O2993" s="30" t="n"/>
      <c r="P2993" s="32" t="n"/>
      <c r="Q2993" s="30" t="n"/>
      <c r="R2993" s="32" t="n"/>
      <c r="S2993" s="30" t="n"/>
      <c r="T2993" s="30" t="n"/>
      <c r="U2993" s="30" t="n"/>
      <c r="V2993" s="30" t="n"/>
      <c r="W2993" s="29">
        <f>IF(H2993="","",IF(H2993="Kenya","Yes","No"))</f>
        <v/>
      </c>
      <c r="X2993" s="29">
        <f>IF(B2993="","",IF(COUNTIF($B$5:$B$3004,B2993)&gt;1,"DUPLICATE","OK"))</f>
        <v/>
      </c>
      <c r="Y2993" s="29">
        <f>IF(OR(U2993="",V2993="",V2993="Excluded"),"",IF(COUNTIFS($U$5:$U$3004,U2993,$V$5:$V$3004,"&lt;&gt;"&amp;V2993,$V$5:$V$3004,"&lt;&gt;",$V$5:$V$3004,"&lt;&gt;Excluded")&gt;0,"LEAK RISK","OK"))</f>
        <v/>
      </c>
      <c r="Z2993" s="30" t="n"/>
    </row>
    <row r="2994">
      <c r="A2994" s="30" t="n"/>
      <c r="B2994" s="30" t="n"/>
      <c r="C2994" s="30" t="n"/>
      <c r="D2994" s="30" t="n"/>
      <c r="E2994" s="30" t="n"/>
      <c r="F2994" s="30" t="n"/>
      <c r="G2994" s="30" t="n"/>
      <c r="H2994" s="30" t="n"/>
      <c r="I2994" s="31" t="n"/>
      <c r="J2994" s="30" t="n"/>
      <c r="K2994" s="30" t="n"/>
      <c r="L2994" s="30" t="n"/>
      <c r="M2994" s="30" t="n"/>
      <c r="N2994" s="32" t="n"/>
      <c r="O2994" s="30" t="n"/>
      <c r="P2994" s="32" t="n"/>
      <c r="Q2994" s="30" t="n"/>
      <c r="R2994" s="32" t="n"/>
      <c r="S2994" s="30" t="n"/>
      <c r="T2994" s="30" t="n"/>
      <c r="U2994" s="30" t="n"/>
      <c r="V2994" s="30" t="n"/>
      <c r="W2994" s="29">
        <f>IF(H2994="","",IF(H2994="Kenya","Yes","No"))</f>
        <v/>
      </c>
      <c r="X2994" s="29">
        <f>IF(B2994="","",IF(COUNTIF($B$5:$B$3004,B2994)&gt;1,"DUPLICATE","OK"))</f>
        <v/>
      </c>
      <c r="Y2994" s="29">
        <f>IF(OR(U2994="",V2994="",V2994="Excluded"),"",IF(COUNTIFS($U$5:$U$3004,U2994,$V$5:$V$3004,"&lt;&gt;"&amp;V2994,$V$5:$V$3004,"&lt;&gt;",$V$5:$V$3004,"&lt;&gt;Excluded")&gt;0,"LEAK RISK","OK"))</f>
        <v/>
      </c>
      <c r="Z2994" s="30" t="n"/>
    </row>
    <row r="2995">
      <c r="A2995" s="30" t="n"/>
      <c r="B2995" s="30" t="n"/>
      <c r="C2995" s="30" t="n"/>
      <c r="D2995" s="30" t="n"/>
      <c r="E2995" s="30" t="n"/>
      <c r="F2995" s="30" t="n"/>
      <c r="G2995" s="30" t="n"/>
      <c r="H2995" s="30" t="n"/>
      <c r="I2995" s="31" t="n"/>
      <c r="J2995" s="30" t="n"/>
      <c r="K2995" s="30" t="n"/>
      <c r="L2995" s="30" t="n"/>
      <c r="M2995" s="30" t="n"/>
      <c r="N2995" s="32" t="n"/>
      <c r="O2995" s="30" t="n"/>
      <c r="P2995" s="32" t="n"/>
      <c r="Q2995" s="30" t="n"/>
      <c r="R2995" s="32" t="n"/>
      <c r="S2995" s="30" t="n"/>
      <c r="T2995" s="30" t="n"/>
      <c r="U2995" s="30" t="n"/>
      <c r="V2995" s="30" t="n"/>
      <c r="W2995" s="29">
        <f>IF(H2995="","",IF(H2995="Kenya","Yes","No"))</f>
        <v/>
      </c>
      <c r="X2995" s="29">
        <f>IF(B2995="","",IF(COUNTIF($B$5:$B$3004,B2995)&gt;1,"DUPLICATE","OK"))</f>
        <v/>
      </c>
      <c r="Y2995" s="29">
        <f>IF(OR(U2995="",V2995="",V2995="Excluded"),"",IF(COUNTIFS($U$5:$U$3004,U2995,$V$5:$V$3004,"&lt;&gt;"&amp;V2995,$V$5:$V$3004,"&lt;&gt;",$V$5:$V$3004,"&lt;&gt;Excluded")&gt;0,"LEAK RISK","OK"))</f>
        <v/>
      </c>
      <c r="Z2995" s="30" t="n"/>
    </row>
    <row r="2996">
      <c r="A2996" s="30" t="n"/>
      <c r="B2996" s="30" t="n"/>
      <c r="C2996" s="30" t="n"/>
      <c r="D2996" s="30" t="n"/>
      <c r="E2996" s="30" t="n"/>
      <c r="F2996" s="30" t="n"/>
      <c r="G2996" s="30" t="n"/>
      <c r="H2996" s="30" t="n"/>
      <c r="I2996" s="31" t="n"/>
      <c r="J2996" s="30" t="n"/>
      <c r="K2996" s="30" t="n"/>
      <c r="L2996" s="30" t="n"/>
      <c r="M2996" s="30" t="n"/>
      <c r="N2996" s="32" t="n"/>
      <c r="O2996" s="30" t="n"/>
      <c r="P2996" s="32" t="n"/>
      <c r="Q2996" s="30" t="n"/>
      <c r="R2996" s="32" t="n"/>
      <c r="S2996" s="30" t="n"/>
      <c r="T2996" s="30" t="n"/>
      <c r="U2996" s="30" t="n"/>
      <c r="V2996" s="30" t="n"/>
      <c r="W2996" s="29">
        <f>IF(H2996="","",IF(H2996="Kenya","Yes","No"))</f>
        <v/>
      </c>
      <c r="X2996" s="29">
        <f>IF(B2996="","",IF(COUNTIF($B$5:$B$3004,B2996)&gt;1,"DUPLICATE","OK"))</f>
        <v/>
      </c>
      <c r="Y2996" s="29">
        <f>IF(OR(U2996="",V2996="",V2996="Excluded"),"",IF(COUNTIFS($U$5:$U$3004,U2996,$V$5:$V$3004,"&lt;&gt;"&amp;V2996,$V$5:$V$3004,"&lt;&gt;",$V$5:$V$3004,"&lt;&gt;Excluded")&gt;0,"LEAK RISK","OK"))</f>
        <v/>
      </c>
      <c r="Z2996" s="30" t="n"/>
    </row>
    <row r="2997">
      <c r="A2997" s="30" t="n"/>
      <c r="B2997" s="30" t="n"/>
      <c r="C2997" s="30" t="n"/>
      <c r="D2997" s="30" t="n"/>
      <c r="E2997" s="30" t="n"/>
      <c r="F2997" s="30" t="n"/>
      <c r="G2997" s="30" t="n"/>
      <c r="H2997" s="30" t="n"/>
      <c r="I2997" s="31" t="n"/>
      <c r="J2997" s="30" t="n"/>
      <c r="K2997" s="30" t="n"/>
      <c r="L2997" s="30" t="n"/>
      <c r="M2997" s="30" t="n"/>
      <c r="N2997" s="32" t="n"/>
      <c r="O2997" s="30" t="n"/>
      <c r="P2997" s="32" t="n"/>
      <c r="Q2997" s="30" t="n"/>
      <c r="R2997" s="32" t="n"/>
      <c r="S2997" s="30" t="n"/>
      <c r="T2997" s="30" t="n"/>
      <c r="U2997" s="30" t="n"/>
      <c r="V2997" s="30" t="n"/>
      <c r="W2997" s="29">
        <f>IF(H2997="","",IF(H2997="Kenya","Yes","No"))</f>
        <v/>
      </c>
      <c r="X2997" s="29">
        <f>IF(B2997="","",IF(COUNTIF($B$5:$B$3004,B2997)&gt;1,"DUPLICATE","OK"))</f>
        <v/>
      </c>
      <c r="Y2997" s="29">
        <f>IF(OR(U2997="",V2997="",V2997="Excluded"),"",IF(COUNTIFS($U$5:$U$3004,U2997,$V$5:$V$3004,"&lt;&gt;"&amp;V2997,$V$5:$V$3004,"&lt;&gt;",$V$5:$V$3004,"&lt;&gt;Excluded")&gt;0,"LEAK RISK","OK"))</f>
        <v/>
      </c>
      <c r="Z2997" s="30" t="n"/>
    </row>
    <row r="2998">
      <c r="A2998" s="30" t="n"/>
      <c r="B2998" s="30" t="n"/>
      <c r="C2998" s="30" t="n"/>
      <c r="D2998" s="30" t="n"/>
      <c r="E2998" s="30" t="n"/>
      <c r="F2998" s="30" t="n"/>
      <c r="G2998" s="30" t="n"/>
      <c r="H2998" s="30" t="n"/>
      <c r="I2998" s="31" t="n"/>
      <c r="J2998" s="30" t="n"/>
      <c r="K2998" s="30" t="n"/>
      <c r="L2998" s="30" t="n"/>
      <c r="M2998" s="30" t="n"/>
      <c r="N2998" s="32" t="n"/>
      <c r="O2998" s="30" t="n"/>
      <c r="P2998" s="32" t="n"/>
      <c r="Q2998" s="30" t="n"/>
      <c r="R2998" s="32" t="n"/>
      <c r="S2998" s="30" t="n"/>
      <c r="T2998" s="30" t="n"/>
      <c r="U2998" s="30" t="n"/>
      <c r="V2998" s="30" t="n"/>
      <c r="W2998" s="29">
        <f>IF(H2998="","",IF(H2998="Kenya","Yes","No"))</f>
        <v/>
      </c>
      <c r="X2998" s="29">
        <f>IF(B2998="","",IF(COUNTIF($B$5:$B$3004,B2998)&gt;1,"DUPLICATE","OK"))</f>
        <v/>
      </c>
      <c r="Y2998" s="29">
        <f>IF(OR(U2998="",V2998="",V2998="Excluded"),"",IF(COUNTIFS($U$5:$U$3004,U2998,$V$5:$V$3004,"&lt;&gt;"&amp;V2998,$V$5:$V$3004,"&lt;&gt;",$V$5:$V$3004,"&lt;&gt;Excluded")&gt;0,"LEAK RISK","OK"))</f>
        <v/>
      </c>
      <c r="Z2998" s="30" t="n"/>
    </row>
    <row r="2999">
      <c r="A2999" s="30" t="n"/>
      <c r="B2999" s="30" t="n"/>
      <c r="C2999" s="30" t="n"/>
      <c r="D2999" s="30" t="n"/>
      <c r="E2999" s="30" t="n"/>
      <c r="F2999" s="30" t="n"/>
      <c r="G2999" s="30" t="n"/>
      <c r="H2999" s="30" t="n"/>
      <c r="I2999" s="31" t="n"/>
      <c r="J2999" s="30" t="n"/>
      <c r="K2999" s="30" t="n"/>
      <c r="L2999" s="30" t="n"/>
      <c r="M2999" s="30" t="n"/>
      <c r="N2999" s="32" t="n"/>
      <c r="O2999" s="30" t="n"/>
      <c r="P2999" s="32" t="n"/>
      <c r="Q2999" s="30" t="n"/>
      <c r="R2999" s="32" t="n"/>
      <c r="S2999" s="30" t="n"/>
      <c r="T2999" s="30" t="n"/>
      <c r="U2999" s="30" t="n"/>
      <c r="V2999" s="30" t="n"/>
      <c r="W2999" s="29">
        <f>IF(H2999="","",IF(H2999="Kenya","Yes","No"))</f>
        <v/>
      </c>
      <c r="X2999" s="29">
        <f>IF(B2999="","",IF(COUNTIF($B$5:$B$3004,B2999)&gt;1,"DUPLICATE","OK"))</f>
        <v/>
      </c>
      <c r="Y2999" s="29">
        <f>IF(OR(U2999="",V2999="",V2999="Excluded"),"",IF(COUNTIFS($U$5:$U$3004,U2999,$V$5:$V$3004,"&lt;&gt;"&amp;V2999,$V$5:$V$3004,"&lt;&gt;",$V$5:$V$3004,"&lt;&gt;Excluded")&gt;0,"LEAK RISK","OK"))</f>
        <v/>
      </c>
      <c r="Z2999" s="30" t="n"/>
    </row>
    <row r="3000">
      <c r="A3000" s="30" t="n"/>
      <c r="B3000" s="30" t="n"/>
      <c r="C3000" s="30" t="n"/>
      <c r="D3000" s="30" t="n"/>
      <c r="E3000" s="30" t="n"/>
      <c r="F3000" s="30" t="n"/>
      <c r="G3000" s="30" t="n"/>
      <c r="H3000" s="30" t="n"/>
      <c r="I3000" s="31" t="n"/>
      <c r="J3000" s="30" t="n"/>
      <c r="K3000" s="30" t="n"/>
      <c r="L3000" s="30" t="n"/>
      <c r="M3000" s="30" t="n"/>
      <c r="N3000" s="32" t="n"/>
      <c r="O3000" s="30" t="n"/>
      <c r="P3000" s="32" t="n"/>
      <c r="Q3000" s="30" t="n"/>
      <c r="R3000" s="32" t="n"/>
      <c r="S3000" s="30" t="n"/>
      <c r="T3000" s="30" t="n"/>
      <c r="U3000" s="30" t="n"/>
      <c r="V3000" s="30" t="n"/>
      <c r="W3000" s="29">
        <f>IF(H3000="","",IF(H3000="Kenya","Yes","No"))</f>
        <v/>
      </c>
      <c r="X3000" s="29">
        <f>IF(B3000="","",IF(COUNTIF($B$5:$B$3004,B3000)&gt;1,"DUPLICATE","OK"))</f>
        <v/>
      </c>
      <c r="Y3000" s="29">
        <f>IF(OR(U3000="",V3000="",V3000="Excluded"),"",IF(COUNTIFS($U$5:$U$3004,U3000,$V$5:$V$3004,"&lt;&gt;"&amp;V3000,$V$5:$V$3004,"&lt;&gt;",$V$5:$V$3004,"&lt;&gt;Excluded")&gt;0,"LEAK RISK","OK"))</f>
        <v/>
      </c>
      <c r="Z3000" s="30" t="n"/>
    </row>
    <row r="3001">
      <c r="A3001" s="30" t="n"/>
      <c r="B3001" s="30" t="n"/>
      <c r="C3001" s="30" t="n"/>
      <c r="D3001" s="30" t="n"/>
      <c r="E3001" s="30" t="n"/>
      <c r="F3001" s="30" t="n"/>
      <c r="G3001" s="30" t="n"/>
      <c r="H3001" s="30" t="n"/>
      <c r="I3001" s="31" t="n"/>
      <c r="J3001" s="30" t="n"/>
      <c r="K3001" s="30" t="n"/>
      <c r="L3001" s="30" t="n"/>
      <c r="M3001" s="30" t="n"/>
      <c r="N3001" s="32" t="n"/>
      <c r="O3001" s="30" t="n"/>
      <c r="P3001" s="32" t="n"/>
      <c r="Q3001" s="30" t="n"/>
      <c r="R3001" s="32" t="n"/>
      <c r="S3001" s="30" t="n"/>
      <c r="T3001" s="30" t="n"/>
      <c r="U3001" s="30" t="n"/>
      <c r="V3001" s="30" t="n"/>
      <c r="W3001" s="29">
        <f>IF(H3001="","",IF(H3001="Kenya","Yes","No"))</f>
        <v/>
      </c>
      <c r="X3001" s="29">
        <f>IF(B3001="","",IF(COUNTIF($B$5:$B$3004,B3001)&gt;1,"DUPLICATE","OK"))</f>
        <v/>
      </c>
      <c r="Y3001" s="29">
        <f>IF(OR(U3001="",V3001="",V3001="Excluded"),"",IF(COUNTIFS($U$5:$U$3004,U3001,$V$5:$V$3004,"&lt;&gt;"&amp;V3001,$V$5:$V$3004,"&lt;&gt;",$V$5:$V$3004,"&lt;&gt;Excluded")&gt;0,"LEAK RISK","OK"))</f>
        <v/>
      </c>
      <c r="Z3001" s="30" t="n"/>
    </row>
    <row r="3002">
      <c r="A3002" s="30" t="n"/>
      <c r="B3002" s="30" t="n"/>
      <c r="C3002" s="30" t="n"/>
      <c r="D3002" s="30" t="n"/>
      <c r="E3002" s="30" t="n"/>
      <c r="F3002" s="30" t="n"/>
      <c r="G3002" s="30" t="n"/>
      <c r="H3002" s="30" t="n"/>
      <c r="I3002" s="31" t="n"/>
      <c r="J3002" s="30" t="n"/>
      <c r="K3002" s="30" t="n"/>
      <c r="L3002" s="30" t="n"/>
      <c r="M3002" s="30" t="n"/>
      <c r="N3002" s="32" t="n"/>
      <c r="O3002" s="30" t="n"/>
      <c r="P3002" s="32" t="n"/>
      <c r="Q3002" s="30" t="n"/>
      <c r="R3002" s="32" t="n"/>
      <c r="S3002" s="30" t="n"/>
      <c r="T3002" s="30" t="n"/>
      <c r="U3002" s="30" t="n"/>
      <c r="V3002" s="30" t="n"/>
      <c r="W3002" s="29">
        <f>IF(H3002="","",IF(H3002="Kenya","Yes","No"))</f>
        <v/>
      </c>
      <c r="X3002" s="29">
        <f>IF(B3002="","",IF(COUNTIF($B$5:$B$3004,B3002)&gt;1,"DUPLICATE","OK"))</f>
        <v/>
      </c>
      <c r="Y3002" s="29">
        <f>IF(OR(U3002="",V3002="",V3002="Excluded"),"",IF(COUNTIFS($U$5:$U$3004,U3002,$V$5:$V$3004,"&lt;&gt;"&amp;V3002,$V$5:$V$3004,"&lt;&gt;",$V$5:$V$3004,"&lt;&gt;Excluded")&gt;0,"LEAK RISK","OK"))</f>
        <v/>
      </c>
      <c r="Z3002" s="30" t="n"/>
    </row>
    <row r="3003">
      <c r="A3003" s="30" t="n"/>
      <c r="B3003" s="30" t="n"/>
      <c r="C3003" s="30" t="n"/>
      <c r="D3003" s="30" t="n"/>
      <c r="E3003" s="30" t="n"/>
      <c r="F3003" s="30" t="n"/>
      <c r="G3003" s="30" t="n"/>
      <c r="H3003" s="30" t="n"/>
      <c r="I3003" s="31" t="n"/>
      <c r="J3003" s="30" t="n"/>
      <c r="K3003" s="30" t="n"/>
      <c r="L3003" s="30" t="n"/>
      <c r="M3003" s="30" t="n"/>
      <c r="N3003" s="32" t="n"/>
      <c r="O3003" s="30" t="n"/>
      <c r="P3003" s="32" t="n"/>
      <c r="Q3003" s="30" t="n"/>
      <c r="R3003" s="32" t="n"/>
      <c r="S3003" s="30" t="n"/>
      <c r="T3003" s="30" t="n"/>
      <c r="U3003" s="30" t="n"/>
      <c r="V3003" s="30" t="n"/>
      <c r="W3003" s="29">
        <f>IF(H3003="","",IF(H3003="Kenya","Yes","No"))</f>
        <v/>
      </c>
      <c r="X3003" s="29">
        <f>IF(B3003="","",IF(COUNTIF($B$5:$B$3004,B3003)&gt;1,"DUPLICATE","OK"))</f>
        <v/>
      </c>
      <c r="Y3003" s="29">
        <f>IF(OR(U3003="",V3003="",V3003="Excluded"),"",IF(COUNTIFS($U$5:$U$3004,U3003,$V$5:$V$3004,"&lt;&gt;"&amp;V3003,$V$5:$V$3004,"&lt;&gt;",$V$5:$V$3004,"&lt;&gt;Excluded")&gt;0,"LEAK RISK","OK"))</f>
        <v/>
      </c>
      <c r="Z3003" s="30" t="n"/>
    </row>
    <row r="3004">
      <c r="A3004" s="30" t="n"/>
      <c r="B3004" s="30" t="n"/>
      <c r="C3004" s="30" t="n"/>
      <c r="D3004" s="30" t="n"/>
      <c r="E3004" s="30" t="n"/>
      <c r="F3004" s="30" t="n"/>
      <c r="G3004" s="30" t="n"/>
      <c r="H3004" s="30" t="n"/>
      <c r="I3004" s="31" t="n"/>
      <c r="J3004" s="30" t="n"/>
      <c r="K3004" s="30" t="n"/>
      <c r="L3004" s="30" t="n"/>
      <c r="M3004" s="30" t="n"/>
      <c r="N3004" s="32" t="n"/>
      <c r="O3004" s="30" t="n"/>
      <c r="P3004" s="32" t="n"/>
      <c r="Q3004" s="30" t="n"/>
      <c r="R3004" s="32" t="n"/>
      <c r="S3004" s="30" t="n"/>
      <c r="T3004" s="30" t="n"/>
      <c r="U3004" s="30" t="n"/>
      <c r="V3004" s="30" t="n"/>
      <c r="W3004" s="29">
        <f>IF(H3004="","",IF(H3004="Kenya","Yes","No"))</f>
        <v/>
      </c>
      <c r="X3004" s="29">
        <f>IF(B3004="","",IF(COUNTIF($B$5:$B$3004,B3004)&gt;1,"DUPLICATE","OK"))</f>
        <v/>
      </c>
      <c r="Y3004" s="29">
        <f>IF(OR(U3004="",V3004="",V3004="Excluded"),"",IF(COUNTIFS($U$5:$U$3004,U3004,$V$5:$V$3004,"&lt;&gt;"&amp;V3004,$V$5:$V$3004,"&lt;&gt;",$V$5:$V$3004,"&lt;&gt;Excluded")&gt;0,"LEAK RISK","OK"))</f>
        <v/>
      </c>
      <c r="Z3004" s="30" t="n"/>
    </row>
  </sheetData>
  <autoFilter ref="A4:Z3004"/>
  <conditionalFormatting sqref="X5:X3004">
    <cfRule type="cellIs" priority="4" operator="equal" dxfId="9">
      <formula>"DUPLICATE"</formula>
    </cfRule>
  </conditionalFormatting>
  <conditionalFormatting sqref="X5:Y3004">
    <cfRule type="expression" priority="2" dxfId="9">
      <formula>OR(X5="DUPLICATE",X5="LEAK RISK")</formula>
    </cfRule>
    <cfRule type="cellIs" priority="3" operator="equal" dxfId="9">
      <formula>"LEAK RISK"</formula>
    </cfRule>
  </conditionalFormatting>
  <pageMargins left="0.75" right="0.75" top="1" bottom="1" header="0.511811023622047" footer="0.511811023622047"/>
  <pageSetup orientation="landscape" paperSize="9" fitToHeight="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J36"/>
  <sheetViews>
    <sheetView showGridLines="0" zoomScaleNormal="100" workbookViewId="0">
      <selection activeCell="A1" sqref="A1"/>
    </sheetView>
  </sheetViews>
  <sheetFormatPr baseColWidth="8" defaultColWidth="8.6328125" defaultRowHeight="14.5"/>
  <cols>
    <col width="30" customWidth="1" min="1" max="1"/>
    <col width="13" customWidth="1" min="2" max="7"/>
    <col width="11" customWidth="1" min="8" max="10"/>
  </cols>
  <sheetData>
    <row r="1" ht="18" customHeight="1">
      <c r="A1" s="7" t="inlineStr">
        <is>
          <t>Data Summary (automatic)</t>
        </is>
      </c>
    </row>
    <row r="2">
      <c r="A2" s="8" t="inlineStr">
        <is>
          <t>Counts calculated from the Isolate Table. Do not type in this sheet. Rows with partition "Excluded" are not counted in partition tables.</t>
        </is>
      </c>
    </row>
    <row r="4">
      <c r="A4" s="33" t="inlineStr">
        <is>
          <t>1. Isolates by partition</t>
        </is>
      </c>
    </row>
    <row r="5">
      <c r="A5" s="16" t="inlineStr">
        <is>
          <t>Partition</t>
        </is>
      </c>
      <c r="B5" s="16" t="inlineStr">
        <is>
          <t>Isolates</t>
        </is>
      </c>
      <c r="C5" s="16" t="inlineStr">
        <is>
          <t>Kenyan</t>
        </is>
      </c>
      <c r="D5" s="16" t="inlineStr">
        <is>
          <t>QC pass</t>
        </is>
      </c>
      <c r="E5" s="16" t="inlineStr">
        <is>
          <t>QC fail</t>
        </is>
      </c>
      <c r="F5" s="16" t="inlineStr">
        <is>
          <t>Duplicates</t>
        </is>
      </c>
      <c r="G5" s="16" t="inlineStr">
        <is>
          <t>Leak risk</t>
        </is>
      </c>
    </row>
    <row r="6">
      <c r="A6" s="17" t="inlineStr">
        <is>
          <t>Training</t>
        </is>
      </c>
      <c r="B6" s="34">
        <f>COUNTIF('Isolate Table'!$V$5:$V$3004,A6)</f>
        <v/>
      </c>
      <c r="C6" s="34">
        <f>COUNTIFS('Isolate Table'!$V$5:$V$3004,A6,'Isolate Table'!$H$5:$H$3004,"Kenya")</f>
        <v/>
      </c>
      <c r="D6" s="34">
        <f>COUNTIFS('Isolate Table'!$V$5:$V$3004,A6,'Isolate Table'!$T$5:$T$3004,"Yes")</f>
        <v/>
      </c>
      <c r="E6" s="34">
        <f>COUNTIFS('Isolate Table'!$V$5:$V$3004,A6,'Isolate Table'!$T$5:$T$3004,"No")</f>
        <v/>
      </c>
      <c r="F6" s="34">
        <f>COUNTIFS('Isolate Table'!$V$5:$V$3004,A6,'Isolate Table'!$X$5:$X$3004,"DUPLICATE")</f>
        <v/>
      </c>
      <c r="G6" s="34">
        <f>COUNTIFS('Isolate Table'!$V$5:$V$3004,A6,'Isolate Table'!$Y$5:$Y$3004,"LEAK RISK")</f>
        <v/>
      </c>
    </row>
    <row r="7">
      <c r="A7" s="17" t="inlineStr">
        <is>
          <t>Validation</t>
        </is>
      </c>
      <c r="B7" s="34">
        <f>COUNTIF('Isolate Table'!$V$5:$V$3004,A7)</f>
        <v/>
      </c>
      <c r="C7" s="34">
        <f>COUNTIFS('Isolate Table'!$V$5:$V$3004,A7,'Isolate Table'!$H$5:$H$3004,"Kenya")</f>
        <v/>
      </c>
      <c r="D7" s="34">
        <f>COUNTIFS('Isolate Table'!$V$5:$V$3004,A7,'Isolate Table'!$T$5:$T$3004,"Yes")</f>
        <v/>
      </c>
      <c r="E7" s="34">
        <f>COUNTIFS('Isolate Table'!$V$5:$V$3004,A7,'Isolate Table'!$T$5:$T$3004,"No")</f>
        <v/>
      </c>
      <c r="F7" s="34">
        <f>COUNTIFS('Isolate Table'!$V$5:$V$3004,A7,'Isolate Table'!$X$5:$X$3004,"DUPLICATE")</f>
        <v/>
      </c>
      <c r="G7" s="34">
        <f>COUNTIFS('Isolate Table'!$V$5:$V$3004,A7,'Isolate Table'!$Y$5:$Y$3004,"LEAK RISK")</f>
        <v/>
      </c>
    </row>
    <row r="8">
      <c r="A8" s="17" t="inlineStr">
        <is>
          <t>Test</t>
        </is>
      </c>
      <c r="B8" s="34">
        <f>COUNTIF('Isolate Table'!$V$5:$V$3004,A8)</f>
        <v/>
      </c>
      <c r="C8" s="34">
        <f>COUNTIFS('Isolate Table'!$V$5:$V$3004,A8,'Isolate Table'!$H$5:$H$3004,"Kenya")</f>
        <v/>
      </c>
      <c r="D8" s="34">
        <f>COUNTIFS('Isolate Table'!$V$5:$V$3004,A8,'Isolate Table'!$T$5:$T$3004,"Yes")</f>
        <v/>
      </c>
      <c r="E8" s="34">
        <f>COUNTIFS('Isolate Table'!$V$5:$V$3004,A8,'Isolate Table'!$T$5:$T$3004,"No")</f>
        <v/>
      </c>
      <c r="F8" s="34">
        <f>COUNTIFS('Isolate Table'!$V$5:$V$3004,A8,'Isolate Table'!$X$5:$X$3004,"DUPLICATE")</f>
        <v/>
      </c>
      <c r="G8" s="34">
        <f>COUNTIFS('Isolate Table'!$V$5:$V$3004,A8,'Isolate Table'!$Y$5:$Y$3004,"LEAK RISK")</f>
        <v/>
      </c>
    </row>
    <row r="9">
      <c r="A9" s="17" t="inlineStr">
        <is>
          <t>External test</t>
        </is>
      </c>
      <c r="B9" s="34">
        <f>COUNTIF('Isolate Table'!$V$5:$V$3004,A9)</f>
        <v/>
      </c>
      <c r="C9" s="34">
        <f>COUNTIFS('Isolate Table'!$V$5:$V$3004,A9,'Isolate Table'!$H$5:$H$3004,"Kenya")</f>
        <v/>
      </c>
      <c r="D9" s="34">
        <f>COUNTIFS('Isolate Table'!$V$5:$V$3004,A9,'Isolate Table'!$T$5:$T$3004,"Yes")</f>
        <v/>
      </c>
      <c r="E9" s="34">
        <f>COUNTIFS('Isolate Table'!$V$5:$V$3004,A9,'Isolate Table'!$T$5:$T$3004,"No")</f>
        <v/>
      </c>
      <c r="F9" s="34">
        <f>COUNTIFS('Isolate Table'!$V$5:$V$3004,A9,'Isolate Table'!$X$5:$X$3004,"DUPLICATE")</f>
        <v/>
      </c>
      <c r="G9" s="34">
        <f>COUNTIFS('Isolate Table'!$V$5:$V$3004,A9,'Isolate Table'!$Y$5:$Y$3004,"LEAK RISK")</f>
        <v/>
      </c>
    </row>
    <row r="10">
      <c r="A10" s="17" t="inlineStr">
        <is>
          <t>NPHL locked validation</t>
        </is>
      </c>
      <c r="B10" s="34">
        <f>COUNTIF('Isolate Table'!$V$5:$V$3004,A10)</f>
        <v/>
      </c>
      <c r="C10" s="34">
        <f>COUNTIFS('Isolate Table'!$V$5:$V$3004,A10,'Isolate Table'!$H$5:$H$3004,"Kenya")</f>
        <v/>
      </c>
      <c r="D10" s="34">
        <f>COUNTIFS('Isolate Table'!$V$5:$V$3004,A10,'Isolate Table'!$T$5:$T$3004,"Yes")</f>
        <v/>
      </c>
      <c r="E10" s="34">
        <f>COUNTIFS('Isolate Table'!$V$5:$V$3004,A10,'Isolate Table'!$T$5:$T$3004,"No")</f>
        <v/>
      </c>
      <c r="F10" s="34">
        <f>COUNTIFS('Isolate Table'!$V$5:$V$3004,A10,'Isolate Table'!$X$5:$X$3004,"DUPLICATE")</f>
        <v/>
      </c>
      <c r="G10" s="34">
        <f>COUNTIFS('Isolate Table'!$V$5:$V$3004,A10,'Isolate Table'!$Y$5:$Y$3004,"LEAK RISK")</f>
        <v/>
      </c>
    </row>
    <row r="11">
      <c r="A11" s="20" t="inlineStr">
        <is>
          <t>Total (excl. Excluded)</t>
        </is>
      </c>
      <c r="B11" s="35">
        <f>SUM(B6:B10)</f>
        <v/>
      </c>
      <c r="C11" s="35">
        <f>SUM(C6:C10)</f>
        <v/>
      </c>
      <c r="D11" s="35">
        <f>SUM(D6:D10)</f>
        <v/>
      </c>
      <c r="E11" s="35">
        <f>SUM(E6:E10)</f>
        <v/>
      </c>
      <c r="F11" s="35">
        <f>SUM(F6:F10)</f>
        <v/>
      </c>
      <c r="G11" s="35">
        <f>SUM(G6:G10)</f>
        <v/>
      </c>
    </row>
    <row r="13">
      <c r="A13" s="33" t="inlineStr">
        <is>
          <t>2. Resistance labels by drug and partition</t>
        </is>
      </c>
    </row>
    <row r="14">
      <c r="A14" s="16" t="inlineStr">
        <is>
          <t>Partition</t>
        </is>
      </c>
      <c r="B14" s="16" t="inlineStr">
        <is>
          <t>MEM R</t>
        </is>
      </c>
      <c r="C14" s="16" t="inlineStr">
        <is>
          <t>MEM S</t>
        </is>
      </c>
      <c r="D14" s="16" t="inlineStr">
        <is>
          <t>MEM I</t>
        </is>
      </c>
      <c r="E14" s="16" t="inlineStr">
        <is>
          <t>CIP R</t>
        </is>
      </c>
      <c r="F14" s="16" t="inlineStr">
        <is>
          <t>CIP S</t>
        </is>
      </c>
      <c r="G14" s="16" t="inlineStr">
        <is>
          <t>CIP I</t>
        </is>
      </c>
      <c r="H14" s="16" t="inlineStr">
        <is>
          <t>CTX R</t>
        </is>
      </c>
      <c r="I14" s="16" t="inlineStr">
        <is>
          <t>CTX S</t>
        </is>
      </c>
      <c r="J14" s="16" t="inlineStr">
        <is>
          <t>CTX I</t>
        </is>
      </c>
    </row>
    <row r="15">
      <c r="A15" s="17" t="inlineStr">
        <is>
          <t>Training</t>
        </is>
      </c>
      <c r="B15" s="34">
        <f>COUNTIFS('Isolate Table'!$V$5:$V$3004,$A15,'Isolate Table'!$O$5:$O$3004,"R")</f>
        <v/>
      </c>
      <c r="C15" s="34">
        <f>COUNTIFS('Isolate Table'!$V$5:$V$3004,$A15,'Isolate Table'!$O$5:$O$3004,"S")</f>
        <v/>
      </c>
      <c r="D15" s="34">
        <f>COUNTIFS('Isolate Table'!$V$5:$V$3004,$A15,'Isolate Table'!$O$5:$O$3004,"I")</f>
        <v/>
      </c>
      <c r="E15" s="34">
        <f>COUNTIFS('Isolate Table'!$V$5:$V$3004,$A15,'Isolate Table'!$Q$5:$Q$3004,"R")</f>
        <v/>
      </c>
      <c r="F15" s="34">
        <f>COUNTIFS('Isolate Table'!$V$5:$V$3004,$A15,'Isolate Table'!$Q$5:$Q$3004,"S")</f>
        <v/>
      </c>
      <c r="G15" s="34">
        <f>COUNTIFS('Isolate Table'!$V$5:$V$3004,$A15,'Isolate Table'!$Q$5:$Q$3004,"I")</f>
        <v/>
      </c>
      <c r="H15" s="34">
        <f>COUNTIFS('Isolate Table'!$V$5:$V$3004,$A15,'Isolate Table'!$S$5:$S$3004,"R")</f>
        <v/>
      </c>
      <c r="I15" s="34">
        <f>COUNTIFS('Isolate Table'!$V$5:$V$3004,$A15,'Isolate Table'!$S$5:$S$3004,"S")</f>
        <v/>
      </c>
      <c r="J15" s="34">
        <f>COUNTIFS('Isolate Table'!$V$5:$V$3004,$A15,'Isolate Table'!$S$5:$S$3004,"I")</f>
        <v/>
      </c>
    </row>
    <row r="16">
      <c r="A16" s="17" t="inlineStr">
        <is>
          <t>Validation</t>
        </is>
      </c>
      <c r="B16" s="34">
        <f>COUNTIFS('Isolate Table'!$V$5:$V$3004,$A16,'Isolate Table'!$O$5:$O$3004,"R")</f>
        <v/>
      </c>
      <c r="C16" s="34">
        <f>COUNTIFS('Isolate Table'!$V$5:$V$3004,$A16,'Isolate Table'!$O$5:$O$3004,"S")</f>
        <v/>
      </c>
      <c r="D16" s="34">
        <f>COUNTIFS('Isolate Table'!$V$5:$V$3004,$A16,'Isolate Table'!$O$5:$O$3004,"I")</f>
        <v/>
      </c>
      <c r="E16" s="34">
        <f>COUNTIFS('Isolate Table'!$V$5:$V$3004,$A16,'Isolate Table'!$Q$5:$Q$3004,"R")</f>
        <v/>
      </c>
      <c r="F16" s="34">
        <f>COUNTIFS('Isolate Table'!$V$5:$V$3004,$A16,'Isolate Table'!$Q$5:$Q$3004,"S")</f>
        <v/>
      </c>
      <c r="G16" s="34">
        <f>COUNTIFS('Isolate Table'!$V$5:$V$3004,$A16,'Isolate Table'!$Q$5:$Q$3004,"I")</f>
        <v/>
      </c>
      <c r="H16" s="34">
        <f>COUNTIFS('Isolate Table'!$V$5:$V$3004,$A16,'Isolate Table'!$S$5:$S$3004,"R")</f>
        <v/>
      </c>
      <c r="I16" s="34">
        <f>COUNTIFS('Isolate Table'!$V$5:$V$3004,$A16,'Isolate Table'!$S$5:$S$3004,"S")</f>
        <v/>
      </c>
      <c r="J16" s="34">
        <f>COUNTIFS('Isolate Table'!$V$5:$V$3004,$A16,'Isolate Table'!$S$5:$S$3004,"I")</f>
        <v/>
      </c>
    </row>
    <row r="17">
      <c r="A17" s="17" t="inlineStr">
        <is>
          <t>Test</t>
        </is>
      </c>
      <c r="B17" s="34">
        <f>COUNTIFS('Isolate Table'!$V$5:$V$3004,$A17,'Isolate Table'!$O$5:$O$3004,"R")</f>
        <v/>
      </c>
      <c r="C17" s="34">
        <f>COUNTIFS('Isolate Table'!$V$5:$V$3004,$A17,'Isolate Table'!$O$5:$O$3004,"S")</f>
        <v/>
      </c>
      <c r="D17" s="34">
        <f>COUNTIFS('Isolate Table'!$V$5:$V$3004,$A17,'Isolate Table'!$O$5:$O$3004,"I")</f>
        <v/>
      </c>
      <c r="E17" s="34">
        <f>COUNTIFS('Isolate Table'!$V$5:$V$3004,$A17,'Isolate Table'!$Q$5:$Q$3004,"R")</f>
        <v/>
      </c>
      <c r="F17" s="34">
        <f>COUNTIFS('Isolate Table'!$V$5:$V$3004,$A17,'Isolate Table'!$Q$5:$Q$3004,"S")</f>
        <v/>
      </c>
      <c r="G17" s="34">
        <f>COUNTIFS('Isolate Table'!$V$5:$V$3004,$A17,'Isolate Table'!$Q$5:$Q$3004,"I")</f>
        <v/>
      </c>
      <c r="H17" s="34">
        <f>COUNTIFS('Isolate Table'!$V$5:$V$3004,$A17,'Isolate Table'!$S$5:$S$3004,"R")</f>
        <v/>
      </c>
      <c r="I17" s="34">
        <f>COUNTIFS('Isolate Table'!$V$5:$V$3004,$A17,'Isolate Table'!$S$5:$S$3004,"S")</f>
        <v/>
      </c>
      <c r="J17" s="34">
        <f>COUNTIFS('Isolate Table'!$V$5:$V$3004,$A17,'Isolate Table'!$S$5:$S$3004,"I")</f>
        <v/>
      </c>
    </row>
    <row r="18">
      <c r="A18" s="17" t="inlineStr">
        <is>
          <t>External test</t>
        </is>
      </c>
      <c r="B18" s="34">
        <f>COUNTIFS('Isolate Table'!$V$5:$V$3004,$A18,'Isolate Table'!$O$5:$O$3004,"R")</f>
        <v/>
      </c>
      <c r="C18" s="34">
        <f>COUNTIFS('Isolate Table'!$V$5:$V$3004,$A18,'Isolate Table'!$O$5:$O$3004,"S")</f>
        <v/>
      </c>
      <c r="D18" s="34">
        <f>COUNTIFS('Isolate Table'!$V$5:$V$3004,$A18,'Isolate Table'!$O$5:$O$3004,"I")</f>
        <v/>
      </c>
      <c r="E18" s="34">
        <f>COUNTIFS('Isolate Table'!$V$5:$V$3004,$A18,'Isolate Table'!$Q$5:$Q$3004,"R")</f>
        <v/>
      </c>
      <c r="F18" s="34">
        <f>COUNTIFS('Isolate Table'!$V$5:$V$3004,$A18,'Isolate Table'!$Q$5:$Q$3004,"S")</f>
        <v/>
      </c>
      <c r="G18" s="34">
        <f>COUNTIFS('Isolate Table'!$V$5:$V$3004,$A18,'Isolate Table'!$Q$5:$Q$3004,"I")</f>
        <v/>
      </c>
      <c r="H18" s="34">
        <f>COUNTIFS('Isolate Table'!$V$5:$V$3004,$A18,'Isolate Table'!$S$5:$S$3004,"R")</f>
        <v/>
      </c>
      <c r="I18" s="34">
        <f>COUNTIFS('Isolate Table'!$V$5:$V$3004,$A18,'Isolate Table'!$S$5:$S$3004,"S")</f>
        <v/>
      </c>
      <c r="J18" s="34">
        <f>COUNTIFS('Isolate Table'!$V$5:$V$3004,$A18,'Isolate Table'!$S$5:$S$3004,"I")</f>
        <v/>
      </c>
    </row>
    <row r="19">
      <c r="A19" s="17" t="inlineStr">
        <is>
          <t>NPHL locked validation</t>
        </is>
      </c>
      <c r="B19" s="34">
        <f>COUNTIFS('Isolate Table'!$V$5:$V$3004,$A19,'Isolate Table'!$O$5:$O$3004,"R")</f>
        <v/>
      </c>
      <c r="C19" s="34">
        <f>COUNTIFS('Isolate Table'!$V$5:$V$3004,$A19,'Isolate Table'!$O$5:$O$3004,"S")</f>
        <v/>
      </c>
      <c r="D19" s="34">
        <f>COUNTIFS('Isolate Table'!$V$5:$V$3004,$A19,'Isolate Table'!$O$5:$O$3004,"I")</f>
        <v/>
      </c>
      <c r="E19" s="34">
        <f>COUNTIFS('Isolate Table'!$V$5:$V$3004,$A19,'Isolate Table'!$Q$5:$Q$3004,"R")</f>
        <v/>
      </c>
      <c r="F19" s="34">
        <f>COUNTIFS('Isolate Table'!$V$5:$V$3004,$A19,'Isolate Table'!$Q$5:$Q$3004,"S")</f>
        <v/>
      </c>
      <c r="G19" s="34">
        <f>COUNTIFS('Isolate Table'!$V$5:$V$3004,$A19,'Isolate Table'!$Q$5:$Q$3004,"I")</f>
        <v/>
      </c>
      <c r="H19" s="34">
        <f>COUNTIFS('Isolate Table'!$V$5:$V$3004,$A19,'Isolate Table'!$S$5:$S$3004,"R")</f>
        <v/>
      </c>
      <c r="I19" s="34">
        <f>COUNTIFS('Isolate Table'!$V$5:$V$3004,$A19,'Isolate Table'!$S$5:$S$3004,"S")</f>
        <v/>
      </c>
      <c r="J19" s="34">
        <f>COUNTIFS('Isolate Table'!$V$5:$V$3004,$A19,'Isolate Table'!$S$5:$S$3004,"I")</f>
        <v/>
      </c>
    </row>
    <row r="21">
      <c r="A21" s="33" t="inlineStr">
        <is>
          <t>3. Data quality checks</t>
        </is>
      </c>
    </row>
    <row r="22">
      <c r="A22" s="17" t="inlineStr">
        <is>
          <t>Rows with data but no BioSample</t>
        </is>
      </c>
      <c r="B22" s="1">
        <f>SUMPRODUCT(('Isolate Table'!$A$5:$A$3004&lt;&gt;"")*('Isolate Table'!$B$5:$B$3004=""))</f>
        <v/>
      </c>
      <c r="C22" s="53" t="n"/>
      <c r="D22" s="53" t="n"/>
      <c r="E22" s="53" t="n"/>
      <c r="F22" s="53" t="n"/>
      <c r="G22" s="53" t="n"/>
    </row>
    <row r="23">
      <c r="A23" s="17" t="inlineStr">
        <is>
          <t>Duplicate BioSample rows</t>
        </is>
      </c>
      <c r="B23" s="1">
        <f>COUNTIF('Isolate Table'!$X$5:$X$3004,"DUPLICATE")</f>
        <v/>
      </c>
      <c r="C23" s="53" t="n"/>
      <c r="D23" s="53" t="n"/>
      <c r="E23" s="53" t="n"/>
      <c r="F23" s="53" t="n"/>
      <c r="G23" s="53" t="n"/>
    </row>
    <row r="24">
      <c r="A24" s="17" t="inlineStr">
        <is>
          <t>Isolates at cluster leakage risk</t>
        </is>
      </c>
      <c r="B24" s="1">
        <f>COUNTIF('Isolate Table'!$Y$5:$Y$3004,"LEAK RISK")</f>
        <v/>
      </c>
      <c r="C24" s="53" t="n"/>
      <c r="D24" s="53" t="n"/>
      <c r="E24" s="53" t="n"/>
      <c r="F24" s="53" t="n"/>
      <c r="G24" s="53" t="n"/>
    </row>
    <row r="25">
      <c r="A25" s="17" t="inlineStr">
        <is>
          <t>Overall status</t>
        </is>
      </c>
      <c r="B25" s="1">
        <f>IF(SUM(B22:B24)=0,"No issues detected",SUM(B22:B24)&amp;" issue(s) – review Isolate Table")</f>
        <v/>
      </c>
      <c r="C25" s="53" t="n"/>
      <c r="D25" s="53" t="n"/>
      <c r="E25" s="53" t="n"/>
      <c r="F25" s="53" t="n"/>
      <c r="G25" s="53" t="n"/>
    </row>
    <row r="26">
      <c r="A26" s="17" t="inlineStr">
        <is>
          <t>Breakpoint standards in use (rows)</t>
        </is>
      </c>
      <c r="B26" s="1">
        <f>"CLSI: "&amp;COUNTIF('Isolate Table'!$L$5:$L$3004,"CLSI")&amp;"  |  EUCAST: "&amp;COUNTIF('Isolate Table'!$L$5:$L$3004,"EUCAST")&amp;"  |  Other/unknown: "&amp;(COUNTIF('Isolate Table'!$L$5:$L$3004,"Other")+COUNTIF('Isolate Table'!$L$5:$L$3004,"Unknown"))</f>
        <v/>
      </c>
      <c r="C26" s="53" t="n"/>
      <c r="D26" s="53" t="n"/>
      <c r="E26" s="53" t="n"/>
      <c r="F26" s="53" t="n"/>
      <c r="G26" s="53" t="n"/>
    </row>
    <row r="28">
      <c r="A28" s="33" t="inlineStr">
        <is>
          <t>4. Isolates by species and partition</t>
        </is>
      </c>
    </row>
    <row r="29" ht="26" customHeight="1">
      <c r="A29" s="16" t="inlineStr">
        <is>
          <t>Species</t>
        </is>
      </c>
      <c r="B29" s="16" t="inlineStr">
        <is>
          <t>Training</t>
        </is>
      </c>
      <c r="C29" s="16" t="inlineStr">
        <is>
          <t>Validation</t>
        </is>
      </c>
      <c r="D29" s="16" t="inlineStr">
        <is>
          <t>Test</t>
        </is>
      </c>
      <c r="E29" s="16" t="inlineStr">
        <is>
          <t>External test</t>
        </is>
      </c>
      <c r="F29" s="16" t="inlineStr">
        <is>
          <t>NPHL locked validation</t>
        </is>
      </c>
      <c r="G29" s="16" t="inlineStr">
        <is>
          <t>Total</t>
        </is>
      </c>
    </row>
    <row r="30">
      <c r="A30" s="17" t="inlineStr">
        <is>
          <t>Escherichia coli</t>
        </is>
      </c>
      <c r="B30" s="34">
        <f>COUNTIFS('Isolate Table'!$G$5:$G$3004,$A30,'Isolate Table'!$V$5:$V$3004,B$29)</f>
        <v/>
      </c>
      <c r="C30" s="34">
        <f>COUNTIFS('Isolate Table'!$G$5:$G$3004,$A30,'Isolate Table'!$V$5:$V$3004,C$29)</f>
        <v/>
      </c>
      <c r="D30" s="34">
        <f>COUNTIFS('Isolate Table'!$G$5:$G$3004,$A30,'Isolate Table'!$V$5:$V$3004,D$29)</f>
        <v/>
      </c>
      <c r="E30" s="34">
        <f>COUNTIFS('Isolate Table'!$G$5:$G$3004,$A30,'Isolate Table'!$V$5:$V$3004,E$29)</f>
        <v/>
      </c>
      <c r="F30" s="34">
        <f>COUNTIFS('Isolate Table'!$G$5:$G$3004,$A30,'Isolate Table'!$V$5:$V$3004,F$29)</f>
        <v/>
      </c>
      <c r="G30" s="34">
        <f>SUM(B30:F30)</f>
        <v/>
      </c>
    </row>
    <row r="31">
      <c r="A31" s="17" t="inlineStr">
        <is>
          <t>Klebsiella pneumoniae</t>
        </is>
      </c>
      <c r="B31" s="34">
        <f>COUNTIFS('Isolate Table'!$G$5:$G$3004,$A31,'Isolate Table'!$V$5:$V$3004,B$29)</f>
        <v/>
      </c>
      <c r="C31" s="34">
        <f>COUNTIFS('Isolate Table'!$G$5:$G$3004,$A31,'Isolate Table'!$V$5:$V$3004,C$29)</f>
        <v/>
      </c>
      <c r="D31" s="34">
        <f>COUNTIFS('Isolate Table'!$G$5:$G$3004,$A31,'Isolate Table'!$V$5:$V$3004,D$29)</f>
        <v/>
      </c>
      <c r="E31" s="34">
        <f>COUNTIFS('Isolate Table'!$G$5:$G$3004,$A31,'Isolate Table'!$V$5:$V$3004,E$29)</f>
        <v/>
      </c>
      <c r="F31" s="34">
        <f>COUNTIFS('Isolate Table'!$G$5:$G$3004,$A31,'Isolate Table'!$V$5:$V$3004,F$29)</f>
        <v/>
      </c>
      <c r="G31" s="34">
        <f>SUM(B31:F31)</f>
        <v/>
      </c>
    </row>
    <row r="32">
      <c r="A32" s="17" t="inlineStr">
        <is>
          <t>Acinetobacter baumannii</t>
        </is>
      </c>
      <c r="B32" s="34">
        <f>COUNTIFS('Isolate Table'!$G$5:$G$3004,$A32,'Isolate Table'!$V$5:$V$3004,B$29)</f>
        <v/>
      </c>
      <c r="C32" s="34">
        <f>COUNTIFS('Isolate Table'!$G$5:$G$3004,$A32,'Isolate Table'!$V$5:$V$3004,C$29)</f>
        <v/>
      </c>
      <c r="D32" s="34">
        <f>COUNTIFS('Isolate Table'!$G$5:$G$3004,$A32,'Isolate Table'!$V$5:$V$3004,D$29)</f>
        <v/>
      </c>
      <c r="E32" s="34">
        <f>COUNTIFS('Isolate Table'!$G$5:$G$3004,$A32,'Isolate Table'!$V$5:$V$3004,E$29)</f>
        <v/>
      </c>
      <c r="F32" s="34">
        <f>COUNTIFS('Isolate Table'!$G$5:$G$3004,$A32,'Isolate Table'!$V$5:$V$3004,F$29)</f>
        <v/>
      </c>
      <c r="G32" s="34">
        <f>SUM(B32:F32)</f>
        <v/>
      </c>
    </row>
    <row r="33">
      <c r="A33" s="17" t="inlineStr">
        <is>
          <t>Pseudomonas aeruginosa</t>
        </is>
      </c>
      <c r="B33" s="34">
        <f>COUNTIFS('Isolate Table'!$G$5:$G$3004,$A33,'Isolate Table'!$V$5:$V$3004,B$29)</f>
        <v/>
      </c>
      <c r="C33" s="34">
        <f>COUNTIFS('Isolate Table'!$G$5:$G$3004,$A33,'Isolate Table'!$V$5:$V$3004,C$29)</f>
        <v/>
      </c>
      <c r="D33" s="34">
        <f>COUNTIFS('Isolate Table'!$G$5:$G$3004,$A33,'Isolate Table'!$V$5:$V$3004,D$29)</f>
        <v/>
      </c>
      <c r="E33" s="34">
        <f>COUNTIFS('Isolate Table'!$G$5:$G$3004,$A33,'Isolate Table'!$V$5:$V$3004,E$29)</f>
        <v/>
      </c>
      <c r="F33" s="34">
        <f>COUNTIFS('Isolate Table'!$G$5:$G$3004,$A33,'Isolate Table'!$V$5:$V$3004,F$29)</f>
        <v/>
      </c>
      <c r="G33" s="34">
        <f>SUM(B33:F33)</f>
        <v/>
      </c>
    </row>
    <row r="34">
      <c r="A34" s="17" t="inlineStr">
        <is>
          <t>Enterobacter cloacae complex</t>
        </is>
      </c>
      <c r="B34" s="34">
        <f>COUNTIFS('Isolate Table'!$G$5:$G$3004,$A34,'Isolate Table'!$V$5:$V$3004,B$29)</f>
        <v/>
      </c>
      <c r="C34" s="34">
        <f>COUNTIFS('Isolate Table'!$G$5:$G$3004,$A34,'Isolate Table'!$V$5:$V$3004,C$29)</f>
        <v/>
      </c>
      <c r="D34" s="34">
        <f>COUNTIFS('Isolate Table'!$G$5:$G$3004,$A34,'Isolate Table'!$V$5:$V$3004,D$29)</f>
        <v/>
      </c>
      <c r="E34" s="34">
        <f>COUNTIFS('Isolate Table'!$G$5:$G$3004,$A34,'Isolate Table'!$V$5:$V$3004,E$29)</f>
        <v/>
      </c>
      <c r="F34" s="34">
        <f>COUNTIFS('Isolate Table'!$G$5:$G$3004,$A34,'Isolate Table'!$V$5:$V$3004,F$29)</f>
        <v/>
      </c>
      <c r="G34" s="34">
        <f>SUM(B34:F34)</f>
        <v/>
      </c>
    </row>
    <row r="35">
      <c r="A35" s="17" t="inlineStr">
        <is>
          <t>Salmonella enterica</t>
        </is>
      </c>
      <c r="B35" s="34">
        <f>COUNTIFS('Isolate Table'!$G$5:$G$3004,$A35,'Isolate Table'!$V$5:$V$3004,B$29)</f>
        <v/>
      </c>
      <c r="C35" s="34">
        <f>COUNTIFS('Isolate Table'!$G$5:$G$3004,$A35,'Isolate Table'!$V$5:$V$3004,C$29)</f>
        <v/>
      </c>
      <c r="D35" s="34">
        <f>COUNTIFS('Isolate Table'!$G$5:$G$3004,$A35,'Isolate Table'!$V$5:$V$3004,D$29)</f>
        <v/>
      </c>
      <c r="E35" s="34">
        <f>COUNTIFS('Isolate Table'!$G$5:$G$3004,$A35,'Isolate Table'!$V$5:$V$3004,E$29)</f>
        <v/>
      </c>
      <c r="F35" s="34">
        <f>COUNTIFS('Isolate Table'!$G$5:$G$3004,$A35,'Isolate Table'!$V$5:$V$3004,F$29)</f>
        <v/>
      </c>
      <c r="G35" s="34">
        <f>SUM(B35:F35)</f>
        <v/>
      </c>
    </row>
    <row r="36">
      <c r="A36" s="17" t="inlineStr">
        <is>
          <t>Other</t>
        </is>
      </c>
      <c r="B36" s="34">
        <f>COUNTIFS('Isolate Table'!$G$5:$G$3004,$A36,'Isolate Table'!$V$5:$V$3004,B$29)</f>
        <v/>
      </c>
      <c r="C36" s="34">
        <f>COUNTIFS('Isolate Table'!$G$5:$G$3004,$A36,'Isolate Table'!$V$5:$V$3004,C$29)</f>
        <v/>
      </c>
      <c r="D36" s="34">
        <f>COUNTIFS('Isolate Table'!$G$5:$G$3004,$A36,'Isolate Table'!$V$5:$V$3004,D$29)</f>
        <v/>
      </c>
      <c r="E36" s="34">
        <f>COUNTIFS('Isolate Table'!$G$5:$G$3004,$A36,'Isolate Table'!$V$5:$V$3004,E$29)</f>
        <v/>
      </c>
      <c r="F36" s="34">
        <f>COUNTIFS('Isolate Table'!$G$5:$G$3004,$A36,'Isolate Table'!$V$5:$V$3004,F$29)</f>
        <v/>
      </c>
      <c r="G36" s="34">
        <f>SUM(B36:F36)</f>
        <v/>
      </c>
    </row>
  </sheetData>
  <mergeCells count="5">
    <mergeCell ref="B24:G24"/>
    <mergeCell ref="B22:G22"/>
    <mergeCell ref="B23:G23"/>
    <mergeCell ref="B26:G26"/>
    <mergeCell ref="B25:G25"/>
  </mergeCells>
  <pageMargins left="0.75" right="0.75" top="1" bottom="1" header="0.511811023622047" footer="0.511811023622047"/>
  <pageSetup orientation="landscape" paperSize="9" fitToHeight="0" horizontalDpi="300" verticalDpi="300"/>
</worksheet>
</file>

<file path=xl/worksheets/sheet7.xml><?xml version="1.0" encoding="utf-8"?>
<worksheet xmlns="http://schemas.openxmlformats.org/spreadsheetml/2006/main">
  <sheetPr>
    <outlinePr summaryBelow="1" summaryRight="1"/>
    <pageSetUpPr fitToPage="1"/>
  </sheetPr>
  <dimension ref="A1:Z27"/>
  <sheetViews>
    <sheetView showGridLines="0" zoomScaleNormal="100" workbookViewId="0">
      <pane xSplit="3" ySplit="8" topLeftCell="D9" activePane="bottomRight" state="frozen"/>
      <selection pane="topRight" activeCell="D1" sqref="D1"/>
      <selection pane="bottomLeft" activeCell="A9" sqref="A9"/>
      <selection pane="bottomRight" activeCell="A1" sqref="A1"/>
    </sheetView>
  </sheetViews>
  <sheetFormatPr baseColWidth="8" defaultColWidth="8.6328125" defaultRowHeight="14.5"/>
  <cols>
    <col width="13" customWidth="1" min="1" max="1"/>
    <col width="30" customWidth="1" min="2" max="2"/>
    <col width="26" customWidth="1" min="3" max="3"/>
    <col width="12" customWidth="1" min="4" max="7"/>
    <col width="10" customWidth="1" min="8" max="8"/>
    <col width="11" customWidth="1" min="9" max="9"/>
    <col width="10" customWidth="1" min="10" max="10"/>
    <col width="11" customWidth="1" min="11" max="12"/>
    <col width="10" customWidth="1" min="13" max="13"/>
    <col width="11" customWidth="1" min="14" max="14"/>
    <col width="10" customWidth="1" min="15" max="16"/>
    <col width="11" customWidth="1" min="17" max="17"/>
    <col width="10" customWidth="1" min="18" max="19"/>
    <col width="11" customWidth="1" min="20" max="22"/>
    <col width="10" customWidth="1" min="23" max="23"/>
    <col width="11" customWidth="1" min="24" max="25"/>
    <col width="30" customWidth="1" min="26" max="26"/>
  </cols>
  <sheetData>
    <row r="1" ht="18" customHeight="1">
      <c r="A1" s="7" t="inlineStr">
        <is>
          <t>Model Results per Drug</t>
        </is>
      </c>
    </row>
    <row r="2">
      <c r="A2" s="8" t="inlineStr">
        <is>
          <t>Enter confusion-matrix counts (yellow). Resistant is the positive class. Metrics, Wilson 95% CIs and error rates calculate automatically.</t>
        </is>
      </c>
    </row>
    <row r="3">
      <c r="A3" s="36" t="inlineStr">
        <is>
          <t>Assumptions</t>
        </is>
      </c>
    </row>
    <row r="4">
      <c r="A4" s="13" t="inlineStr">
        <is>
          <t>z for 95% CI</t>
        </is>
      </c>
      <c r="B4" s="37" t="n">
        <v>1.96</v>
      </c>
      <c r="C4" s="8" t="inlineStr">
        <is>
          <t>Standard normal value for a two-sided 95% confidence interval.</t>
        </is>
      </c>
    </row>
    <row r="5">
      <c r="A5" s="13" t="inlineStr">
        <is>
          <t>Very major error target (max)</t>
        </is>
      </c>
      <c r="B5" s="38" t="n">
        <v>0.015</v>
      </c>
      <c r="C5" s="8" t="inlineStr">
        <is>
          <t>Commonly used acceptance target for AST device evaluations (e.g., FDA/CLSI M52 practice). Confirm the target with NPHL.</t>
        </is>
      </c>
    </row>
    <row r="6">
      <c r="A6" s="13" t="inlineStr">
        <is>
          <t>Major error target (max)</t>
        </is>
      </c>
      <c r="B6" s="38" t="n">
        <v>0.03</v>
      </c>
      <c r="C6" s="8" t="inlineStr">
        <is>
          <t>Commonly used acceptance target for AST device evaluations (e.g., FDA/CLSI M52 practice). Confirm the target with NPHL.</t>
        </is>
      </c>
    </row>
    <row r="8" ht="66" customHeight="1">
      <c r="A8" s="16" t="inlineStr">
        <is>
          <t>Drug</t>
        </is>
      </c>
      <c r="B8" s="16" t="inlineStr">
        <is>
          <t>Evaluation</t>
        </is>
      </c>
      <c r="C8" s="16" t="inlineStr">
        <is>
          <t>Dataset / description</t>
        </is>
      </c>
      <c r="D8" s="16" t="inlineStr">
        <is>
          <t>Test isolates resistant: predicted R (TP)</t>
        </is>
      </c>
      <c r="E8" s="16" t="inlineStr">
        <is>
          <t>Resistant: predicted S (FN)</t>
        </is>
      </c>
      <c r="F8" s="16" t="inlineStr">
        <is>
          <t>Susceptible: predicted S (TN)</t>
        </is>
      </c>
      <c r="G8" s="16" t="inlineStr">
        <is>
          <t>Susceptible: predicted R (FP)</t>
        </is>
      </c>
      <c r="H8" s="16" t="inlineStr">
        <is>
          <t>Decision threshold</t>
        </is>
      </c>
      <c r="I8" s="16" t="inlineStr">
        <is>
          <t>AUROC (from analysis)</t>
        </is>
      </c>
      <c r="J8" s="16" t="inlineStr">
        <is>
          <t>AUPRC</t>
        </is>
      </c>
      <c r="K8" s="16" t="inlineStr">
        <is>
          <t>AUROC stated in letter</t>
        </is>
      </c>
      <c r="L8" s="16" t="inlineStr">
        <is>
          <t>Difference vs letter</t>
        </is>
      </c>
      <c r="M8" s="16" t="inlineStr">
        <is>
          <t>Total isolates</t>
        </is>
      </c>
      <c r="N8" s="16" t="inlineStr">
        <is>
          <t>Sensitivity</t>
        </is>
      </c>
      <c r="O8" s="16" t="inlineStr">
        <is>
          <t>Sens. 95% CI low</t>
        </is>
      </c>
      <c r="P8" s="16" t="inlineStr">
        <is>
          <t>Sens. 95% CI high</t>
        </is>
      </c>
      <c r="Q8" s="16" t="inlineStr">
        <is>
          <t>Specificity</t>
        </is>
      </c>
      <c r="R8" s="16" t="inlineStr">
        <is>
          <t>Spec. 95% CI low</t>
        </is>
      </c>
      <c r="S8" s="16" t="inlineStr">
        <is>
          <t>Spec. 95% CI high</t>
        </is>
      </c>
      <c r="T8" s="16" t="inlineStr">
        <is>
          <t>Balanced accuracy</t>
        </is>
      </c>
      <c r="U8" s="16" t="inlineStr">
        <is>
          <t>Categorical agreement</t>
        </is>
      </c>
      <c r="V8" s="16" t="inlineStr">
        <is>
          <t>Very major error rate</t>
        </is>
      </c>
      <c r="W8" s="16" t="inlineStr">
        <is>
          <t>Major error rate</t>
        </is>
      </c>
      <c r="X8" s="16" t="inlineStr">
        <is>
          <t>VME within target?</t>
        </is>
      </c>
      <c r="Y8" s="16" t="inlineStr">
        <is>
          <t>ME within target?</t>
        </is>
      </c>
      <c r="Z8" s="16" t="inlineStr">
        <is>
          <t>Notes</t>
        </is>
      </c>
    </row>
    <row r="9" ht="25" customHeight="1">
      <c r="A9" s="39" t="inlineStr">
        <is>
          <t>Meropenem</t>
        </is>
      </c>
      <c r="B9" s="39" t="inlineStr">
        <is>
          <t>Internal test – original split (as reported in letter)</t>
        </is>
      </c>
      <c r="C9" s="40" t="n"/>
      <c r="D9" s="41" t="n"/>
      <c r="E9" s="41" t="n"/>
      <c r="F9" s="41" t="n"/>
      <c r="G9" s="41" t="n"/>
      <c r="H9" s="40" t="n"/>
      <c r="I9" s="42" t="n"/>
      <c r="J9" s="42" t="n"/>
      <c r="K9" s="43" t="n">
        <v>0.952</v>
      </c>
      <c r="L9" s="44">
        <f>IF(OR(K9="",I9=""),"",I9-K9)</f>
        <v/>
      </c>
      <c r="M9" s="45">
        <f>IF(COUNT(D9:G9)=0,"",SUM(D9:G9))</f>
        <v/>
      </c>
      <c r="N9" s="46">
        <f>IF((D9+E9)=0,"",D9/(D9+E9))</f>
        <v/>
      </c>
      <c r="O9" s="46">
        <f>IF((D9+E9)=0,"",((D9/(D9+E9))+$B$4^2/(2*(D9+E9))-$B$4*SQRT((D9/(D9+E9))*(1-(D9/(D9+E9)))/(D9+E9)+$B$4^2/(4*(D9+E9)^2)))/(1+$B$4^2/(D9+E9)))</f>
        <v/>
      </c>
      <c r="P9" s="46">
        <f>IF((D9+E9)=0,"",((D9/(D9+E9))+$B$4^2/(2*(D9+E9))+$B$4*SQRT((D9/(D9+E9))*(1-(D9/(D9+E9)))/(D9+E9)+$B$4^2/(4*(D9+E9)^2)))/(1+$B$4^2/(D9+E9)))</f>
        <v/>
      </c>
      <c r="Q9" s="46">
        <f>IF((F9+G9)=0,"",F9/(F9+G9))</f>
        <v/>
      </c>
      <c r="R9" s="46">
        <f>IF((F9+G9)=0,"",((F9/(F9+G9))+$B$4^2/(2*(F9+G9))-$B$4*SQRT((F9/(F9+G9))*(1-(F9/(F9+G9)))/(F9+G9)+$B$4^2/(4*(F9+G9)^2)))/(1+$B$4^2/(F9+G9)))</f>
        <v/>
      </c>
      <c r="S9" s="46">
        <f>IF((F9+G9)=0,"",((F9/(F9+G9))+$B$4^2/(2*(F9+G9))+$B$4*SQRT((F9/(F9+G9))*(1-(F9/(F9+G9)))/(F9+G9)+$B$4^2/(4*(F9+G9)^2)))/(1+$B$4^2/(F9+G9)))</f>
        <v/>
      </c>
      <c r="T9" s="46">
        <f>IF(OR(N9="",Q9=""),"",(N9+Q9)/2)</f>
        <v/>
      </c>
      <c r="U9" s="46">
        <f>IF(SUM(D9:G9)=0,"",(D9+F9)/SUM(D9:G9))</f>
        <v/>
      </c>
      <c r="V9" s="46">
        <f>IF((D9+E9)=0,"",E9/(D9+E9))</f>
        <v/>
      </c>
      <c r="W9" s="46">
        <f>IF((F9+G9)=0,"",G9/(F9+G9))</f>
        <v/>
      </c>
      <c r="X9" s="47">
        <f>IF(V9="","",IF(V9&lt;=$B$5,"Yes","No"))</f>
        <v/>
      </c>
      <c r="Y9" s="47">
        <f>IF(W9="","",IF(W9&lt;=$B$6,"Yes","No"))</f>
        <v/>
      </c>
      <c r="Z9" s="40" t="n"/>
    </row>
    <row r="10" ht="25" customHeight="1">
      <c r="A10" s="17" t="inlineStr">
        <is>
          <t>Meropenem</t>
        </is>
      </c>
      <c r="B10" s="17" t="inlineStr">
        <is>
          <t>Internal test – relatedness-aware split</t>
        </is>
      </c>
      <c r="C10" s="23" t="n"/>
      <c r="D10" s="48" t="n"/>
      <c r="E10" s="48" t="n"/>
      <c r="F10" s="48" t="n"/>
      <c r="G10" s="48" t="n"/>
      <c r="H10" s="23" t="n"/>
      <c r="I10" s="49" t="n"/>
      <c r="J10" s="49" t="n"/>
      <c r="K10" s="17" t="n"/>
      <c r="L10" s="50">
        <f>IF(OR(K10="",I10=""),"",I10-K10)</f>
        <v/>
      </c>
      <c r="M10" s="34">
        <f>IF(COUNT(D10:G10)=0,"",SUM(D10:G10))</f>
        <v/>
      </c>
      <c r="N10" s="51">
        <f>IF((D10+E10)=0,"",D10/(D10+E10))</f>
        <v/>
      </c>
      <c r="O10" s="51">
        <f>IF((D10+E10)=0,"",((D10/(D10+E10))+$B$4^2/(2*(D10+E10))-$B$4*SQRT((D10/(D10+E10))*(1-(D10/(D10+E10)))/(D10+E10)+$B$4^2/(4*(D10+E10)^2)))/(1+$B$4^2/(D10+E10)))</f>
        <v/>
      </c>
      <c r="P10" s="51">
        <f>IF((D10+E10)=0,"",((D10/(D10+E10))+$B$4^2/(2*(D10+E10))+$B$4*SQRT((D10/(D10+E10))*(1-(D10/(D10+E10)))/(D10+E10)+$B$4^2/(4*(D10+E10)^2)))/(1+$B$4^2/(D10+E10)))</f>
        <v/>
      </c>
      <c r="Q10" s="51">
        <f>IF((F10+G10)=0,"",F10/(F10+G10))</f>
        <v/>
      </c>
      <c r="R10" s="51">
        <f>IF((F10+G10)=0,"",((F10/(F10+G10))+$B$4^2/(2*(F10+G10))-$B$4*SQRT((F10/(F10+G10))*(1-(F10/(F10+G10)))/(F10+G10)+$B$4^2/(4*(F10+G10)^2)))/(1+$B$4^2/(F10+G10)))</f>
        <v/>
      </c>
      <c r="S10" s="51">
        <f>IF((F10+G10)=0,"",((F10/(F10+G10))+$B$4^2/(2*(F10+G10))+$B$4*SQRT((F10/(F10+G10))*(1-(F10/(F10+G10)))/(F10+G10)+$B$4^2/(4*(F10+G10)^2)))/(1+$B$4^2/(F10+G10)))</f>
        <v/>
      </c>
      <c r="T10" s="51">
        <f>IF(OR(N10="",Q10=""),"",(N10+Q10)/2)</f>
        <v/>
      </c>
      <c r="U10" s="51">
        <f>IF(SUM(D10:G10)=0,"",(D10+F10)/SUM(D10:G10))</f>
        <v/>
      </c>
      <c r="V10" s="51">
        <f>IF((D10+E10)=0,"",E10/(D10+E10))</f>
        <v/>
      </c>
      <c r="W10" s="51">
        <f>IF((F10+G10)=0,"",G10/(F10+G10))</f>
        <v/>
      </c>
      <c r="X10" s="18">
        <f>IF(V10="","",IF(V10&lt;=$B$5,"Yes","No"))</f>
        <v/>
      </c>
      <c r="Y10" s="18">
        <f>IF(W10="","",IF(W10&lt;=$B$6,"Yes","No"))</f>
        <v/>
      </c>
      <c r="Z10" s="23" t="n"/>
    </row>
    <row r="11">
      <c r="A11" s="17" t="inlineStr">
        <is>
          <t>Meropenem</t>
        </is>
      </c>
      <c r="B11" s="17" t="inlineStr">
        <is>
          <t>External public dataset</t>
        </is>
      </c>
      <c r="C11" s="23" t="n"/>
      <c r="D11" s="48" t="n"/>
      <c r="E11" s="48" t="n"/>
      <c r="F11" s="48" t="n"/>
      <c r="G11" s="48" t="n"/>
      <c r="H11" s="23" t="n"/>
      <c r="I11" s="49" t="n"/>
      <c r="J11" s="49" t="n"/>
      <c r="K11" s="17" t="n"/>
      <c r="L11" s="50">
        <f>IF(OR(K11="",I11=""),"",I11-K11)</f>
        <v/>
      </c>
      <c r="M11" s="34">
        <f>IF(COUNT(D11:G11)=0,"",SUM(D11:G11))</f>
        <v/>
      </c>
      <c r="N11" s="51">
        <f>IF((D11+E11)=0,"",D11/(D11+E11))</f>
        <v/>
      </c>
      <c r="O11" s="51">
        <f>IF((D11+E11)=0,"",((D11/(D11+E11))+$B$4^2/(2*(D11+E11))-$B$4*SQRT((D11/(D11+E11))*(1-(D11/(D11+E11)))/(D11+E11)+$B$4^2/(4*(D11+E11)^2)))/(1+$B$4^2/(D11+E11)))</f>
        <v/>
      </c>
      <c r="P11" s="51">
        <f>IF((D11+E11)=0,"",((D11/(D11+E11))+$B$4^2/(2*(D11+E11))+$B$4*SQRT((D11/(D11+E11))*(1-(D11/(D11+E11)))/(D11+E11)+$B$4^2/(4*(D11+E11)^2)))/(1+$B$4^2/(D11+E11)))</f>
        <v/>
      </c>
      <c r="Q11" s="51">
        <f>IF((F11+G11)=0,"",F11/(F11+G11))</f>
        <v/>
      </c>
      <c r="R11" s="51">
        <f>IF((F11+G11)=0,"",((F11/(F11+G11))+$B$4^2/(2*(F11+G11))-$B$4*SQRT((F11/(F11+G11))*(1-(F11/(F11+G11)))/(F11+G11)+$B$4^2/(4*(F11+G11)^2)))/(1+$B$4^2/(F11+G11)))</f>
        <v/>
      </c>
      <c r="S11" s="51">
        <f>IF((F11+G11)=0,"",((F11/(F11+G11))+$B$4^2/(2*(F11+G11))+$B$4*SQRT((F11/(F11+G11))*(1-(F11/(F11+G11)))/(F11+G11)+$B$4^2/(4*(F11+G11)^2)))/(1+$B$4^2/(F11+G11)))</f>
        <v/>
      </c>
      <c r="T11" s="51">
        <f>IF(OR(N11="",Q11=""),"",(N11+Q11)/2)</f>
        <v/>
      </c>
      <c r="U11" s="51">
        <f>IF(SUM(D11:G11)=0,"",(D11+F11)/SUM(D11:G11))</f>
        <v/>
      </c>
      <c r="V11" s="51">
        <f>IF((D11+E11)=0,"",E11/(D11+E11))</f>
        <v/>
      </c>
      <c r="W11" s="51">
        <f>IF((F11+G11)=0,"",G11/(F11+G11))</f>
        <v/>
      </c>
      <c r="X11" s="18">
        <f>IF(V11="","",IF(V11&lt;=$B$5,"Yes","No"))</f>
        <v/>
      </c>
      <c r="Y11" s="18">
        <f>IF(W11="","",IF(W11&lt;=$B$6,"Yes","No"))</f>
        <v/>
      </c>
      <c r="Z11" s="23" t="n"/>
    </row>
    <row r="12" ht="25" customHeight="1">
      <c r="A12" s="17" t="inlineStr">
        <is>
          <t>Meropenem</t>
        </is>
      </c>
      <c r="B12" s="17" t="inlineStr">
        <is>
          <t>Rule-based baseline (AMRFinderPlus/ResFinder)</t>
        </is>
      </c>
      <c r="C12" s="23" t="n"/>
      <c r="D12" s="48" t="n"/>
      <c r="E12" s="48" t="n"/>
      <c r="F12" s="48" t="n"/>
      <c r="G12" s="48" t="n"/>
      <c r="H12" s="23" t="n"/>
      <c r="I12" s="49" t="n"/>
      <c r="J12" s="49" t="n"/>
      <c r="K12" s="17" t="n"/>
      <c r="L12" s="50">
        <f>IF(OR(K12="",I12=""),"",I12-K12)</f>
        <v/>
      </c>
      <c r="M12" s="34">
        <f>IF(COUNT(D12:G12)=0,"",SUM(D12:G12))</f>
        <v/>
      </c>
      <c r="N12" s="51">
        <f>IF((D12+E12)=0,"",D12/(D12+E12))</f>
        <v/>
      </c>
      <c r="O12" s="51">
        <f>IF((D12+E12)=0,"",((D12/(D12+E12))+$B$4^2/(2*(D12+E12))-$B$4*SQRT((D12/(D12+E12))*(1-(D12/(D12+E12)))/(D12+E12)+$B$4^2/(4*(D12+E12)^2)))/(1+$B$4^2/(D12+E12)))</f>
        <v/>
      </c>
      <c r="P12" s="51">
        <f>IF((D12+E12)=0,"",((D12/(D12+E12))+$B$4^2/(2*(D12+E12))+$B$4*SQRT((D12/(D12+E12))*(1-(D12/(D12+E12)))/(D12+E12)+$B$4^2/(4*(D12+E12)^2)))/(1+$B$4^2/(D12+E12)))</f>
        <v/>
      </c>
      <c r="Q12" s="51">
        <f>IF((F12+G12)=0,"",F12/(F12+G12))</f>
        <v/>
      </c>
      <c r="R12" s="51">
        <f>IF((F12+G12)=0,"",((F12/(F12+G12))+$B$4^2/(2*(F12+G12))-$B$4*SQRT((F12/(F12+G12))*(1-(F12/(F12+G12)))/(F12+G12)+$B$4^2/(4*(F12+G12)^2)))/(1+$B$4^2/(F12+G12)))</f>
        <v/>
      </c>
      <c r="S12" s="51">
        <f>IF((F12+G12)=0,"",((F12/(F12+G12))+$B$4^2/(2*(F12+G12))+$B$4*SQRT((F12/(F12+G12))*(1-(F12/(F12+G12)))/(F12+G12)+$B$4^2/(4*(F12+G12)^2)))/(1+$B$4^2/(F12+G12)))</f>
        <v/>
      </c>
      <c r="T12" s="51">
        <f>IF(OR(N12="",Q12=""),"",(N12+Q12)/2)</f>
        <v/>
      </c>
      <c r="U12" s="51">
        <f>IF(SUM(D12:G12)=0,"",(D12+F12)/SUM(D12:G12))</f>
        <v/>
      </c>
      <c r="V12" s="51">
        <f>IF((D12+E12)=0,"",E12/(D12+E12))</f>
        <v/>
      </c>
      <c r="W12" s="51">
        <f>IF((F12+G12)=0,"",G12/(F12+G12))</f>
        <v/>
      </c>
      <c r="X12" s="18">
        <f>IF(V12="","",IF(V12&lt;=$B$5,"Yes","No"))</f>
        <v/>
      </c>
      <c r="Y12" s="18">
        <f>IF(W12="","",IF(W12&lt;=$B$6,"Yes","No"))</f>
        <v/>
      </c>
      <c r="Z12" s="23" t="n"/>
    </row>
    <row r="13">
      <c r="A13" s="17" t="inlineStr">
        <is>
          <t>Meropenem</t>
        </is>
      </c>
      <c r="B13" s="17" t="inlineStr">
        <is>
          <t>NPHL validation (locked set)</t>
        </is>
      </c>
      <c r="C13" s="23" t="n"/>
      <c r="D13" s="48" t="n"/>
      <c r="E13" s="48" t="n"/>
      <c r="F13" s="48" t="n"/>
      <c r="G13" s="48" t="n"/>
      <c r="H13" s="23" t="n"/>
      <c r="I13" s="49" t="n"/>
      <c r="J13" s="49" t="n"/>
      <c r="K13" s="17" t="n"/>
      <c r="L13" s="50">
        <f>IF(OR(K13="",I13=""),"",I13-K13)</f>
        <v/>
      </c>
      <c r="M13" s="34">
        <f>IF(COUNT(D13:G13)=0,"",SUM(D13:G13))</f>
        <v/>
      </c>
      <c r="N13" s="51">
        <f>IF((D13+E13)=0,"",D13/(D13+E13))</f>
        <v/>
      </c>
      <c r="O13" s="51">
        <f>IF((D13+E13)=0,"",((D13/(D13+E13))+$B$4^2/(2*(D13+E13))-$B$4*SQRT((D13/(D13+E13))*(1-(D13/(D13+E13)))/(D13+E13)+$B$4^2/(4*(D13+E13)^2)))/(1+$B$4^2/(D13+E13)))</f>
        <v/>
      </c>
      <c r="P13" s="51">
        <f>IF((D13+E13)=0,"",((D13/(D13+E13))+$B$4^2/(2*(D13+E13))+$B$4*SQRT((D13/(D13+E13))*(1-(D13/(D13+E13)))/(D13+E13)+$B$4^2/(4*(D13+E13)^2)))/(1+$B$4^2/(D13+E13)))</f>
        <v/>
      </c>
      <c r="Q13" s="51">
        <f>IF((F13+G13)=0,"",F13/(F13+G13))</f>
        <v/>
      </c>
      <c r="R13" s="51">
        <f>IF((F13+G13)=0,"",((F13/(F13+G13))+$B$4^2/(2*(F13+G13))-$B$4*SQRT((F13/(F13+G13))*(1-(F13/(F13+G13)))/(F13+G13)+$B$4^2/(4*(F13+G13)^2)))/(1+$B$4^2/(F13+G13)))</f>
        <v/>
      </c>
      <c r="S13" s="51">
        <f>IF((F13+G13)=0,"",((F13/(F13+G13))+$B$4^2/(2*(F13+G13))+$B$4*SQRT((F13/(F13+G13))*(1-(F13/(F13+G13)))/(F13+G13)+$B$4^2/(4*(F13+G13)^2)))/(1+$B$4^2/(F13+G13)))</f>
        <v/>
      </c>
      <c r="T13" s="51">
        <f>IF(OR(N13="",Q13=""),"",(N13+Q13)/2)</f>
        <v/>
      </c>
      <c r="U13" s="51">
        <f>IF(SUM(D13:G13)=0,"",(D13+F13)/SUM(D13:G13))</f>
        <v/>
      </c>
      <c r="V13" s="51">
        <f>IF((D13+E13)=0,"",E13/(D13+E13))</f>
        <v/>
      </c>
      <c r="W13" s="51">
        <f>IF((F13+G13)=0,"",G13/(F13+G13))</f>
        <v/>
      </c>
      <c r="X13" s="18">
        <f>IF(V13="","",IF(V13&lt;=$B$5,"Yes","No"))</f>
        <v/>
      </c>
      <c r="Y13" s="18">
        <f>IF(W13="","",IF(W13&lt;=$B$6,"Yes","No"))</f>
        <v/>
      </c>
      <c r="Z13" s="23" t="n"/>
    </row>
    <row r="14" ht="25" customHeight="1">
      <c r="A14" s="39" t="inlineStr">
        <is>
          <t>Ciprofloxacin</t>
        </is>
      </c>
      <c r="B14" s="39" t="inlineStr">
        <is>
          <t>Internal test – original split (as reported in letter)</t>
        </is>
      </c>
      <c r="C14" s="40" t="n"/>
      <c r="D14" s="41" t="n"/>
      <c r="E14" s="41" t="n"/>
      <c r="F14" s="41" t="n"/>
      <c r="G14" s="41" t="n"/>
      <c r="H14" s="40" t="n"/>
      <c r="I14" s="42" t="n"/>
      <c r="J14" s="42" t="n"/>
      <c r="K14" s="43" t="n">
        <v>0.872</v>
      </c>
      <c r="L14" s="44">
        <f>IF(OR(K14="",I14=""),"",I14-K14)</f>
        <v/>
      </c>
      <c r="M14" s="45">
        <f>IF(COUNT(D14:G14)=0,"",SUM(D14:G14))</f>
        <v/>
      </c>
      <c r="N14" s="46">
        <f>IF((D14+E14)=0,"",D14/(D14+E14))</f>
        <v/>
      </c>
      <c r="O14" s="46">
        <f>IF((D14+E14)=0,"",((D14/(D14+E14))+$B$4^2/(2*(D14+E14))-$B$4*SQRT((D14/(D14+E14))*(1-(D14/(D14+E14)))/(D14+E14)+$B$4^2/(4*(D14+E14)^2)))/(1+$B$4^2/(D14+E14)))</f>
        <v/>
      </c>
      <c r="P14" s="46">
        <f>IF((D14+E14)=0,"",((D14/(D14+E14))+$B$4^2/(2*(D14+E14))+$B$4*SQRT((D14/(D14+E14))*(1-(D14/(D14+E14)))/(D14+E14)+$B$4^2/(4*(D14+E14)^2)))/(1+$B$4^2/(D14+E14)))</f>
        <v/>
      </c>
      <c r="Q14" s="46">
        <f>IF((F14+G14)=0,"",F14/(F14+G14))</f>
        <v/>
      </c>
      <c r="R14" s="46">
        <f>IF((F14+G14)=0,"",((F14/(F14+G14))+$B$4^2/(2*(F14+G14))-$B$4*SQRT((F14/(F14+G14))*(1-(F14/(F14+G14)))/(F14+G14)+$B$4^2/(4*(F14+G14)^2)))/(1+$B$4^2/(F14+G14)))</f>
        <v/>
      </c>
      <c r="S14" s="46">
        <f>IF((F14+G14)=0,"",((F14/(F14+G14))+$B$4^2/(2*(F14+G14))+$B$4*SQRT((F14/(F14+G14))*(1-(F14/(F14+G14)))/(F14+G14)+$B$4^2/(4*(F14+G14)^2)))/(1+$B$4^2/(F14+G14)))</f>
        <v/>
      </c>
      <c r="T14" s="46">
        <f>IF(OR(N14="",Q14=""),"",(N14+Q14)/2)</f>
        <v/>
      </c>
      <c r="U14" s="46">
        <f>IF(SUM(D14:G14)=0,"",(D14+F14)/SUM(D14:G14))</f>
        <v/>
      </c>
      <c r="V14" s="46">
        <f>IF((D14+E14)=0,"",E14/(D14+E14))</f>
        <v/>
      </c>
      <c r="W14" s="46">
        <f>IF((F14+G14)=0,"",G14/(F14+G14))</f>
        <v/>
      </c>
      <c r="X14" s="47">
        <f>IF(V14="","",IF(V14&lt;=$B$5,"Yes","No"))</f>
        <v/>
      </c>
      <c r="Y14" s="47">
        <f>IF(W14="","",IF(W14&lt;=$B$6,"Yes","No"))</f>
        <v/>
      </c>
      <c r="Z14" s="40" t="n"/>
    </row>
    <row r="15" ht="25" customHeight="1">
      <c r="A15" s="17" t="inlineStr">
        <is>
          <t>Ciprofloxacin</t>
        </is>
      </c>
      <c r="B15" s="17" t="inlineStr">
        <is>
          <t>Internal test – relatedness-aware split</t>
        </is>
      </c>
      <c r="C15" s="23" t="n"/>
      <c r="D15" s="48" t="n"/>
      <c r="E15" s="48" t="n"/>
      <c r="F15" s="48" t="n"/>
      <c r="G15" s="48" t="n"/>
      <c r="H15" s="23" t="n"/>
      <c r="I15" s="49" t="n"/>
      <c r="J15" s="49" t="n"/>
      <c r="K15" s="17" t="n"/>
      <c r="L15" s="50">
        <f>IF(OR(K15="",I15=""),"",I15-K15)</f>
        <v/>
      </c>
      <c r="M15" s="34">
        <f>IF(COUNT(D15:G15)=0,"",SUM(D15:G15))</f>
        <v/>
      </c>
      <c r="N15" s="51">
        <f>IF((D15+E15)=0,"",D15/(D15+E15))</f>
        <v/>
      </c>
      <c r="O15" s="51">
        <f>IF((D15+E15)=0,"",((D15/(D15+E15))+$B$4^2/(2*(D15+E15))-$B$4*SQRT((D15/(D15+E15))*(1-(D15/(D15+E15)))/(D15+E15)+$B$4^2/(4*(D15+E15)^2)))/(1+$B$4^2/(D15+E15)))</f>
        <v/>
      </c>
      <c r="P15" s="51">
        <f>IF((D15+E15)=0,"",((D15/(D15+E15))+$B$4^2/(2*(D15+E15))+$B$4*SQRT((D15/(D15+E15))*(1-(D15/(D15+E15)))/(D15+E15)+$B$4^2/(4*(D15+E15)^2)))/(1+$B$4^2/(D15+E15)))</f>
        <v/>
      </c>
      <c r="Q15" s="51">
        <f>IF((F15+G15)=0,"",F15/(F15+G15))</f>
        <v/>
      </c>
      <c r="R15" s="51">
        <f>IF((F15+G15)=0,"",((F15/(F15+G15))+$B$4^2/(2*(F15+G15))-$B$4*SQRT((F15/(F15+G15))*(1-(F15/(F15+G15)))/(F15+G15)+$B$4^2/(4*(F15+G15)^2)))/(1+$B$4^2/(F15+G15)))</f>
        <v/>
      </c>
      <c r="S15" s="51">
        <f>IF((F15+G15)=0,"",((F15/(F15+G15))+$B$4^2/(2*(F15+G15))+$B$4*SQRT((F15/(F15+G15))*(1-(F15/(F15+G15)))/(F15+G15)+$B$4^2/(4*(F15+G15)^2)))/(1+$B$4^2/(F15+G15)))</f>
        <v/>
      </c>
      <c r="T15" s="51">
        <f>IF(OR(N15="",Q15=""),"",(N15+Q15)/2)</f>
        <v/>
      </c>
      <c r="U15" s="51">
        <f>IF(SUM(D15:G15)=0,"",(D15+F15)/SUM(D15:G15))</f>
        <v/>
      </c>
      <c r="V15" s="51">
        <f>IF((D15+E15)=0,"",E15/(D15+E15))</f>
        <v/>
      </c>
      <c r="W15" s="51">
        <f>IF((F15+G15)=0,"",G15/(F15+G15))</f>
        <v/>
      </c>
      <c r="X15" s="18">
        <f>IF(V15="","",IF(V15&lt;=$B$5,"Yes","No"))</f>
        <v/>
      </c>
      <c r="Y15" s="18">
        <f>IF(W15="","",IF(W15&lt;=$B$6,"Yes","No"))</f>
        <v/>
      </c>
      <c r="Z15" s="23" t="n"/>
    </row>
    <row r="16">
      <c r="A16" s="17" t="inlineStr">
        <is>
          <t>Ciprofloxacin</t>
        </is>
      </c>
      <c r="B16" s="17" t="inlineStr">
        <is>
          <t>External public dataset</t>
        </is>
      </c>
      <c r="C16" s="23" t="n"/>
      <c r="D16" s="48" t="n"/>
      <c r="E16" s="48" t="n"/>
      <c r="F16" s="48" t="n"/>
      <c r="G16" s="48" t="n"/>
      <c r="H16" s="23" t="n"/>
      <c r="I16" s="49" t="n"/>
      <c r="J16" s="49" t="n"/>
      <c r="K16" s="17" t="n"/>
      <c r="L16" s="50">
        <f>IF(OR(K16="",I16=""),"",I16-K16)</f>
        <v/>
      </c>
      <c r="M16" s="34">
        <f>IF(COUNT(D16:G16)=0,"",SUM(D16:G16))</f>
        <v/>
      </c>
      <c r="N16" s="51">
        <f>IF((D16+E16)=0,"",D16/(D16+E16))</f>
        <v/>
      </c>
      <c r="O16" s="51">
        <f>IF((D16+E16)=0,"",((D16/(D16+E16))+$B$4^2/(2*(D16+E16))-$B$4*SQRT((D16/(D16+E16))*(1-(D16/(D16+E16)))/(D16+E16)+$B$4^2/(4*(D16+E16)^2)))/(1+$B$4^2/(D16+E16)))</f>
        <v/>
      </c>
      <c r="P16" s="51">
        <f>IF((D16+E16)=0,"",((D16/(D16+E16))+$B$4^2/(2*(D16+E16))+$B$4*SQRT((D16/(D16+E16))*(1-(D16/(D16+E16)))/(D16+E16)+$B$4^2/(4*(D16+E16)^2)))/(1+$B$4^2/(D16+E16)))</f>
        <v/>
      </c>
      <c r="Q16" s="51">
        <f>IF((F16+G16)=0,"",F16/(F16+G16))</f>
        <v/>
      </c>
      <c r="R16" s="51">
        <f>IF((F16+G16)=0,"",((F16/(F16+G16))+$B$4^2/(2*(F16+G16))-$B$4*SQRT((F16/(F16+G16))*(1-(F16/(F16+G16)))/(F16+G16)+$B$4^2/(4*(F16+G16)^2)))/(1+$B$4^2/(F16+G16)))</f>
        <v/>
      </c>
      <c r="S16" s="51">
        <f>IF((F16+G16)=0,"",((F16/(F16+G16))+$B$4^2/(2*(F16+G16))+$B$4*SQRT((F16/(F16+G16))*(1-(F16/(F16+G16)))/(F16+G16)+$B$4^2/(4*(F16+G16)^2)))/(1+$B$4^2/(F16+G16)))</f>
        <v/>
      </c>
      <c r="T16" s="51">
        <f>IF(OR(N16="",Q16=""),"",(N16+Q16)/2)</f>
        <v/>
      </c>
      <c r="U16" s="51">
        <f>IF(SUM(D16:G16)=0,"",(D16+F16)/SUM(D16:G16))</f>
        <v/>
      </c>
      <c r="V16" s="51">
        <f>IF((D16+E16)=0,"",E16/(D16+E16))</f>
        <v/>
      </c>
      <c r="W16" s="51">
        <f>IF((F16+G16)=0,"",G16/(F16+G16))</f>
        <v/>
      </c>
      <c r="X16" s="18">
        <f>IF(V16="","",IF(V16&lt;=$B$5,"Yes","No"))</f>
        <v/>
      </c>
      <c r="Y16" s="18">
        <f>IF(W16="","",IF(W16&lt;=$B$6,"Yes","No"))</f>
        <v/>
      </c>
      <c r="Z16" s="23" t="n"/>
    </row>
    <row r="17" ht="25" customHeight="1">
      <c r="A17" s="17" t="inlineStr">
        <is>
          <t>Ciprofloxacin</t>
        </is>
      </c>
      <c r="B17" s="17" t="inlineStr">
        <is>
          <t>Rule-based baseline (AMRFinderPlus/ResFinder)</t>
        </is>
      </c>
      <c r="C17" s="23" t="n"/>
      <c r="D17" s="48" t="n"/>
      <c r="E17" s="48" t="n"/>
      <c r="F17" s="48" t="n"/>
      <c r="G17" s="48" t="n"/>
      <c r="H17" s="23" t="n"/>
      <c r="I17" s="49" t="n"/>
      <c r="J17" s="49" t="n"/>
      <c r="K17" s="17" t="n"/>
      <c r="L17" s="50">
        <f>IF(OR(K17="",I17=""),"",I17-K17)</f>
        <v/>
      </c>
      <c r="M17" s="34">
        <f>IF(COUNT(D17:G17)=0,"",SUM(D17:G17))</f>
        <v/>
      </c>
      <c r="N17" s="51">
        <f>IF((D17+E17)=0,"",D17/(D17+E17))</f>
        <v/>
      </c>
      <c r="O17" s="51">
        <f>IF((D17+E17)=0,"",((D17/(D17+E17))+$B$4^2/(2*(D17+E17))-$B$4*SQRT((D17/(D17+E17))*(1-(D17/(D17+E17)))/(D17+E17)+$B$4^2/(4*(D17+E17)^2)))/(1+$B$4^2/(D17+E17)))</f>
        <v/>
      </c>
      <c r="P17" s="51">
        <f>IF((D17+E17)=0,"",((D17/(D17+E17))+$B$4^2/(2*(D17+E17))+$B$4*SQRT((D17/(D17+E17))*(1-(D17/(D17+E17)))/(D17+E17)+$B$4^2/(4*(D17+E17)^2)))/(1+$B$4^2/(D17+E17)))</f>
        <v/>
      </c>
      <c r="Q17" s="51">
        <f>IF((F17+G17)=0,"",F17/(F17+G17))</f>
        <v/>
      </c>
      <c r="R17" s="51">
        <f>IF((F17+G17)=0,"",((F17/(F17+G17))+$B$4^2/(2*(F17+G17))-$B$4*SQRT((F17/(F17+G17))*(1-(F17/(F17+G17)))/(F17+G17)+$B$4^2/(4*(F17+G17)^2)))/(1+$B$4^2/(F17+G17)))</f>
        <v/>
      </c>
      <c r="S17" s="51">
        <f>IF((F17+G17)=0,"",((F17/(F17+G17))+$B$4^2/(2*(F17+G17))+$B$4*SQRT((F17/(F17+G17))*(1-(F17/(F17+G17)))/(F17+G17)+$B$4^2/(4*(F17+G17)^2)))/(1+$B$4^2/(F17+G17)))</f>
        <v/>
      </c>
      <c r="T17" s="51">
        <f>IF(OR(N17="",Q17=""),"",(N17+Q17)/2)</f>
        <v/>
      </c>
      <c r="U17" s="51">
        <f>IF(SUM(D17:G17)=0,"",(D17+F17)/SUM(D17:G17))</f>
        <v/>
      </c>
      <c r="V17" s="51">
        <f>IF((D17+E17)=0,"",E17/(D17+E17))</f>
        <v/>
      </c>
      <c r="W17" s="51">
        <f>IF((F17+G17)=0,"",G17/(F17+G17))</f>
        <v/>
      </c>
      <c r="X17" s="18">
        <f>IF(V17="","",IF(V17&lt;=$B$5,"Yes","No"))</f>
        <v/>
      </c>
      <c r="Y17" s="18">
        <f>IF(W17="","",IF(W17&lt;=$B$6,"Yes","No"))</f>
        <v/>
      </c>
      <c r="Z17" s="23" t="n"/>
    </row>
    <row r="18">
      <c r="A18" s="17" t="inlineStr">
        <is>
          <t>Ciprofloxacin</t>
        </is>
      </c>
      <c r="B18" s="17" t="inlineStr">
        <is>
          <t>NPHL validation (locked set)</t>
        </is>
      </c>
      <c r="C18" s="23" t="n"/>
      <c r="D18" s="48" t="n"/>
      <c r="E18" s="48" t="n"/>
      <c r="F18" s="48" t="n"/>
      <c r="G18" s="48" t="n"/>
      <c r="H18" s="23" t="n"/>
      <c r="I18" s="49" t="n"/>
      <c r="J18" s="49" t="n"/>
      <c r="K18" s="17" t="n"/>
      <c r="L18" s="50">
        <f>IF(OR(K18="",I18=""),"",I18-K18)</f>
        <v/>
      </c>
      <c r="M18" s="34">
        <f>IF(COUNT(D18:G18)=0,"",SUM(D18:G18))</f>
        <v/>
      </c>
      <c r="N18" s="51">
        <f>IF((D18+E18)=0,"",D18/(D18+E18))</f>
        <v/>
      </c>
      <c r="O18" s="51">
        <f>IF((D18+E18)=0,"",((D18/(D18+E18))+$B$4^2/(2*(D18+E18))-$B$4*SQRT((D18/(D18+E18))*(1-(D18/(D18+E18)))/(D18+E18)+$B$4^2/(4*(D18+E18)^2)))/(1+$B$4^2/(D18+E18)))</f>
        <v/>
      </c>
      <c r="P18" s="51">
        <f>IF((D18+E18)=0,"",((D18/(D18+E18))+$B$4^2/(2*(D18+E18))+$B$4*SQRT((D18/(D18+E18))*(1-(D18/(D18+E18)))/(D18+E18)+$B$4^2/(4*(D18+E18)^2)))/(1+$B$4^2/(D18+E18)))</f>
        <v/>
      </c>
      <c r="Q18" s="51">
        <f>IF((F18+G18)=0,"",F18/(F18+G18))</f>
        <v/>
      </c>
      <c r="R18" s="51">
        <f>IF((F18+G18)=0,"",((F18/(F18+G18))+$B$4^2/(2*(F18+G18))-$B$4*SQRT((F18/(F18+G18))*(1-(F18/(F18+G18)))/(F18+G18)+$B$4^2/(4*(F18+G18)^2)))/(1+$B$4^2/(F18+G18)))</f>
        <v/>
      </c>
      <c r="S18" s="51">
        <f>IF((F18+G18)=0,"",((F18/(F18+G18))+$B$4^2/(2*(F18+G18))+$B$4*SQRT((F18/(F18+G18))*(1-(F18/(F18+G18)))/(F18+G18)+$B$4^2/(4*(F18+G18)^2)))/(1+$B$4^2/(F18+G18)))</f>
        <v/>
      </c>
      <c r="T18" s="51">
        <f>IF(OR(N18="",Q18=""),"",(N18+Q18)/2)</f>
        <v/>
      </c>
      <c r="U18" s="51">
        <f>IF(SUM(D18:G18)=0,"",(D18+F18)/SUM(D18:G18))</f>
        <v/>
      </c>
      <c r="V18" s="51">
        <f>IF((D18+E18)=0,"",E18/(D18+E18))</f>
        <v/>
      </c>
      <c r="W18" s="51">
        <f>IF((F18+G18)=0,"",G18/(F18+G18))</f>
        <v/>
      </c>
      <c r="X18" s="18">
        <f>IF(V18="","",IF(V18&lt;=$B$5,"Yes","No"))</f>
        <v/>
      </c>
      <c r="Y18" s="18">
        <f>IF(W18="","",IF(W18&lt;=$B$6,"Yes","No"))</f>
        <v/>
      </c>
      <c r="Z18" s="23" t="n"/>
    </row>
    <row r="19" ht="25" customHeight="1">
      <c r="A19" s="39" t="inlineStr">
        <is>
          <t>Cefotaxime</t>
        </is>
      </c>
      <c r="B19" s="39" t="inlineStr">
        <is>
          <t>Internal test – original split (as reported in letter)</t>
        </is>
      </c>
      <c r="C19" s="40" t="n"/>
      <c r="D19" s="41" t="n"/>
      <c r="E19" s="41" t="n"/>
      <c r="F19" s="41" t="n"/>
      <c r="G19" s="41" t="n"/>
      <c r="H19" s="40" t="n"/>
      <c r="I19" s="42" t="n"/>
      <c r="J19" s="42" t="n"/>
      <c r="K19" s="43" t="n">
        <v>0.872</v>
      </c>
      <c r="L19" s="44">
        <f>IF(OR(K19="",I19=""),"",I19-K19)</f>
        <v/>
      </c>
      <c r="M19" s="45">
        <f>IF(COUNT(D19:G19)=0,"",SUM(D19:G19))</f>
        <v/>
      </c>
      <c r="N19" s="46">
        <f>IF((D19+E19)=0,"",D19/(D19+E19))</f>
        <v/>
      </c>
      <c r="O19" s="46">
        <f>IF((D19+E19)=0,"",((D19/(D19+E19))+$B$4^2/(2*(D19+E19))-$B$4*SQRT((D19/(D19+E19))*(1-(D19/(D19+E19)))/(D19+E19)+$B$4^2/(4*(D19+E19)^2)))/(1+$B$4^2/(D19+E19)))</f>
        <v/>
      </c>
      <c r="P19" s="46">
        <f>IF((D19+E19)=0,"",((D19/(D19+E19))+$B$4^2/(2*(D19+E19))+$B$4*SQRT((D19/(D19+E19))*(1-(D19/(D19+E19)))/(D19+E19)+$B$4^2/(4*(D19+E19)^2)))/(1+$B$4^2/(D19+E19)))</f>
        <v/>
      </c>
      <c r="Q19" s="46">
        <f>IF((F19+G19)=0,"",F19/(F19+G19))</f>
        <v/>
      </c>
      <c r="R19" s="46">
        <f>IF((F19+G19)=0,"",((F19/(F19+G19))+$B$4^2/(2*(F19+G19))-$B$4*SQRT((F19/(F19+G19))*(1-(F19/(F19+G19)))/(F19+G19)+$B$4^2/(4*(F19+G19)^2)))/(1+$B$4^2/(F19+G19)))</f>
        <v/>
      </c>
      <c r="S19" s="46">
        <f>IF((F19+G19)=0,"",((F19/(F19+G19))+$B$4^2/(2*(F19+G19))+$B$4*SQRT((F19/(F19+G19))*(1-(F19/(F19+G19)))/(F19+G19)+$B$4^2/(4*(F19+G19)^2)))/(1+$B$4^2/(F19+G19)))</f>
        <v/>
      </c>
      <c r="T19" s="46">
        <f>IF(OR(N19="",Q19=""),"",(N19+Q19)/2)</f>
        <v/>
      </c>
      <c r="U19" s="46">
        <f>IF(SUM(D19:G19)=0,"",(D19+F19)/SUM(D19:G19))</f>
        <v/>
      </c>
      <c r="V19" s="46">
        <f>IF((D19+E19)=0,"",E19/(D19+E19))</f>
        <v/>
      </c>
      <c r="W19" s="46">
        <f>IF((F19+G19)=0,"",G19/(F19+G19))</f>
        <v/>
      </c>
      <c r="X19" s="47">
        <f>IF(V19="","",IF(V19&lt;=$B$5,"Yes","No"))</f>
        <v/>
      </c>
      <c r="Y19" s="47">
        <f>IF(W19="","",IF(W19&lt;=$B$6,"Yes","No"))</f>
        <v/>
      </c>
      <c r="Z19" s="40" t="n"/>
    </row>
    <row r="20" ht="25" customHeight="1">
      <c r="A20" s="17" t="inlineStr">
        <is>
          <t>Cefotaxime</t>
        </is>
      </c>
      <c r="B20" s="17" t="inlineStr">
        <is>
          <t>Internal test – relatedness-aware split</t>
        </is>
      </c>
      <c r="C20" s="23" t="n"/>
      <c r="D20" s="48" t="n"/>
      <c r="E20" s="48" t="n"/>
      <c r="F20" s="48" t="n"/>
      <c r="G20" s="48" t="n"/>
      <c r="H20" s="23" t="n"/>
      <c r="I20" s="49" t="n"/>
      <c r="J20" s="49" t="n"/>
      <c r="K20" s="17" t="n"/>
      <c r="L20" s="50">
        <f>IF(OR(K20="",I20=""),"",I20-K20)</f>
        <v/>
      </c>
      <c r="M20" s="34">
        <f>IF(COUNT(D20:G20)=0,"",SUM(D20:G20))</f>
        <v/>
      </c>
      <c r="N20" s="51">
        <f>IF((D20+E20)=0,"",D20/(D20+E20))</f>
        <v/>
      </c>
      <c r="O20" s="51">
        <f>IF((D20+E20)=0,"",((D20/(D20+E20))+$B$4^2/(2*(D20+E20))-$B$4*SQRT((D20/(D20+E20))*(1-(D20/(D20+E20)))/(D20+E20)+$B$4^2/(4*(D20+E20)^2)))/(1+$B$4^2/(D20+E20)))</f>
        <v/>
      </c>
      <c r="P20" s="51">
        <f>IF((D20+E20)=0,"",((D20/(D20+E20))+$B$4^2/(2*(D20+E20))+$B$4*SQRT((D20/(D20+E20))*(1-(D20/(D20+E20)))/(D20+E20)+$B$4^2/(4*(D20+E20)^2)))/(1+$B$4^2/(D20+E20)))</f>
        <v/>
      </c>
      <c r="Q20" s="51">
        <f>IF((F20+G20)=0,"",F20/(F20+G20))</f>
        <v/>
      </c>
      <c r="R20" s="51">
        <f>IF((F20+G20)=0,"",((F20/(F20+G20))+$B$4^2/(2*(F20+G20))-$B$4*SQRT((F20/(F20+G20))*(1-(F20/(F20+G20)))/(F20+G20)+$B$4^2/(4*(F20+G20)^2)))/(1+$B$4^2/(F20+G20)))</f>
        <v/>
      </c>
      <c r="S20" s="51">
        <f>IF((F20+G20)=0,"",((F20/(F20+G20))+$B$4^2/(2*(F20+G20))+$B$4*SQRT((F20/(F20+G20))*(1-(F20/(F20+G20)))/(F20+G20)+$B$4^2/(4*(F20+G20)^2)))/(1+$B$4^2/(F20+G20)))</f>
        <v/>
      </c>
      <c r="T20" s="51">
        <f>IF(OR(N20="",Q20=""),"",(N20+Q20)/2)</f>
        <v/>
      </c>
      <c r="U20" s="51">
        <f>IF(SUM(D20:G20)=0,"",(D20+F20)/SUM(D20:G20))</f>
        <v/>
      </c>
      <c r="V20" s="51">
        <f>IF((D20+E20)=0,"",E20/(D20+E20))</f>
        <v/>
      </c>
      <c r="W20" s="51">
        <f>IF((F20+G20)=0,"",G20/(F20+G20))</f>
        <v/>
      </c>
      <c r="X20" s="18">
        <f>IF(V20="","",IF(V20&lt;=$B$5,"Yes","No"))</f>
        <v/>
      </c>
      <c r="Y20" s="18">
        <f>IF(W20="","",IF(W20&lt;=$B$6,"Yes","No"))</f>
        <v/>
      </c>
      <c r="Z20" s="23" t="n"/>
    </row>
    <row r="21">
      <c r="A21" s="17" t="inlineStr">
        <is>
          <t>Cefotaxime</t>
        </is>
      </c>
      <c r="B21" s="17" t="inlineStr">
        <is>
          <t>External public dataset</t>
        </is>
      </c>
      <c r="C21" s="23" t="n"/>
      <c r="D21" s="48" t="n"/>
      <c r="E21" s="48" t="n"/>
      <c r="F21" s="48" t="n"/>
      <c r="G21" s="48" t="n"/>
      <c r="H21" s="23" t="n"/>
      <c r="I21" s="49" t="n"/>
      <c r="J21" s="49" t="n"/>
      <c r="K21" s="17" t="n"/>
      <c r="L21" s="50">
        <f>IF(OR(K21="",I21=""),"",I21-K21)</f>
        <v/>
      </c>
      <c r="M21" s="34">
        <f>IF(COUNT(D21:G21)=0,"",SUM(D21:G21))</f>
        <v/>
      </c>
      <c r="N21" s="51">
        <f>IF((D21+E21)=0,"",D21/(D21+E21))</f>
        <v/>
      </c>
      <c r="O21" s="51">
        <f>IF((D21+E21)=0,"",((D21/(D21+E21))+$B$4^2/(2*(D21+E21))-$B$4*SQRT((D21/(D21+E21))*(1-(D21/(D21+E21)))/(D21+E21)+$B$4^2/(4*(D21+E21)^2)))/(1+$B$4^2/(D21+E21)))</f>
        <v/>
      </c>
      <c r="P21" s="51">
        <f>IF((D21+E21)=0,"",((D21/(D21+E21))+$B$4^2/(2*(D21+E21))+$B$4*SQRT((D21/(D21+E21))*(1-(D21/(D21+E21)))/(D21+E21)+$B$4^2/(4*(D21+E21)^2)))/(1+$B$4^2/(D21+E21)))</f>
        <v/>
      </c>
      <c r="Q21" s="51">
        <f>IF((F21+G21)=0,"",F21/(F21+G21))</f>
        <v/>
      </c>
      <c r="R21" s="51">
        <f>IF((F21+G21)=0,"",((F21/(F21+G21))+$B$4^2/(2*(F21+G21))-$B$4*SQRT((F21/(F21+G21))*(1-(F21/(F21+G21)))/(F21+G21)+$B$4^2/(4*(F21+G21)^2)))/(1+$B$4^2/(F21+G21)))</f>
        <v/>
      </c>
      <c r="S21" s="51">
        <f>IF((F21+G21)=0,"",((F21/(F21+G21))+$B$4^2/(2*(F21+G21))+$B$4*SQRT((F21/(F21+G21))*(1-(F21/(F21+G21)))/(F21+G21)+$B$4^2/(4*(F21+G21)^2)))/(1+$B$4^2/(F21+G21)))</f>
        <v/>
      </c>
      <c r="T21" s="51">
        <f>IF(OR(N21="",Q21=""),"",(N21+Q21)/2)</f>
        <v/>
      </c>
      <c r="U21" s="51">
        <f>IF(SUM(D21:G21)=0,"",(D21+F21)/SUM(D21:G21))</f>
        <v/>
      </c>
      <c r="V21" s="51">
        <f>IF((D21+E21)=0,"",E21/(D21+E21))</f>
        <v/>
      </c>
      <c r="W21" s="51">
        <f>IF((F21+G21)=0,"",G21/(F21+G21))</f>
        <v/>
      </c>
      <c r="X21" s="18">
        <f>IF(V21="","",IF(V21&lt;=$B$5,"Yes","No"))</f>
        <v/>
      </c>
      <c r="Y21" s="18">
        <f>IF(W21="","",IF(W21&lt;=$B$6,"Yes","No"))</f>
        <v/>
      </c>
      <c r="Z21" s="23" t="n"/>
    </row>
    <row r="22" ht="25" customHeight="1">
      <c r="A22" s="17" t="inlineStr">
        <is>
          <t>Cefotaxime</t>
        </is>
      </c>
      <c r="B22" s="17" t="inlineStr">
        <is>
          <t>Rule-based baseline (AMRFinderPlus/ResFinder)</t>
        </is>
      </c>
      <c r="C22" s="23" t="n"/>
      <c r="D22" s="48" t="n"/>
      <c r="E22" s="48" t="n"/>
      <c r="F22" s="48" t="n"/>
      <c r="G22" s="48" t="n"/>
      <c r="H22" s="23" t="n"/>
      <c r="I22" s="49" t="n"/>
      <c r="J22" s="49" t="n"/>
      <c r="K22" s="17" t="n"/>
      <c r="L22" s="50">
        <f>IF(OR(K22="",I22=""),"",I22-K22)</f>
        <v/>
      </c>
      <c r="M22" s="34">
        <f>IF(COUNT(D22:G22)=0,"",SUM(D22:G22))</f>
        <v/>
      </c>
      <c r="N22" s="51">
        <f>IF((D22+E22)=0,"",D22/(D22+E22))</f>
        <v/>
      </c>
      <c r="O22" s="51">
        <f>IF((D22+E22)=0,"",((D22/(D22+E22))+$B$4^2/(2*(D22+E22))-$B$4*SQRT((D22/(D22+E22))*(1-(D22/(D22+E22)))/(D22+E22)+$B$4^2/(4*(D22+E22)^2)))/(1+$B$4^2/(D22+E22)))</f>
        <v/>
      </c>
      <c r="P22" s="51">
        <f>IF((D22+E22)=0,"",((D22/(D22+E22))+$B$4^2/(2*(D22+E22))+$B$4*SQRT((D22/(D22+E22))*(1-(D22/(D22+E22)))/(D22+E22)+$B$4^2/(4*(D22+E22)^2)))/(1+$B$4^2/(D22+E22)))</f>
        <v/>
      </c>
      <c r="Q22" s="51">
        <f>IF((F22+G22)=0,"",F22/(F22+G22))</f>
        <v/>
      </c>
      <c r="R22" s="51">
        <f>IF((F22+G22)=0,"",((F22/(F22+G22))+$B$4^2/(2*(F22+G22))-$B$4*SQRT((F22/(F22+G22))*(1-(F22/(F22+G22)))/(F22+G22)+$B$4^2/(4*(F22+G22)^2)))/(1+$B$4^2/(F22+G22)))</f>
        <v/>
      </c>
      <c r="S22" s="51">
        <f>IF((F22+G22)=0,"",((F22/(F22+G22))+$B$4^2/(2*(F22+G22))+$B$4*SQRT((F22/(F22+G22))*(1-(F22/(F22+G22)))/(F22+G22)+$B$4^2/(4*(F22+G22)^2)))/(1+$B$4^2/(F22+G22)))</f>
        <v/>
      </c>
      <c r="T22" s="51">
        <f>IF(OR(N22="",Q22=""),"",(N22+Q22)/2)</f>
        <v/>
      </c>
      <c r="U22" s="51">
        <f>IF(SUM(D22:G22)=0,"",(D22+F22)/SUM(D22:G22))</f>
        <v/>
      </c>
      <c r="V22" s="51">
        <f>IF((D22+E22)=0,"",E22/(D22+E22))</f>
        <v/>
      </c>
      <c r="W22" s="51">
        <f>IF((F22+G22)=0,"",G22/(F22+G22))</f>
        <v/>
      </c>
      <c r="X22" s="18">
        <f>IF(V22="","",IF(V22&lt;=$B$5,"Yes","No"))</f>
        <v/>
      </c>
      <c r="Y22" s="18">
        <f>IF(W22="","",IF(W22&lt;=$B$6,"Yes","No"))</f>
        <v/>
      </c>
      <c r="Z22" s="23" t="n"/>
    </row>
    <row r="23">
      <c r="A23" s="17" t="inlineStr">
        <is>
          <t>Cefotaxime</t>
        </is>
      </c>
      <c r="B23" s="17" t="inlineStr">
        <is>
          <t>NPHL validation (locked set)</t>
        </is>
      </c>
      <c r="C23" s="23" t="n"/>
      <c r="D23" s="48" t="n"/>
      <c r="E23" s="48" t="n"/>
      <c r="F23" s="48" t="n"/>
      <c r="G23" s="48" t="n"/>
      <c r="H23" s="23" t="n"/>
      <c r="I23" s="49" t="n"/>
      <c r="J23" s="49" t="n"/>
      <c r="K23" s="17" t="n"/>
      <c r="L23" s="50">
        <f>IF(OR(K23="",I23=""),"",I23-K23)</f>
        <v/>
      </c>
      <c r="M23" s="34">
        <f>IF(COUNT(D23:G23)=0,"",SUM(D23:G23))</f>
        <v/>
      </c>
      <c r="N23" s="51">
        <f>IF((D23+E23)=0,"",D23/(D23+E23))</f>
        <v/>
      </c>
      <c r="O23" s="51">
        <f>IF((D23+E23)=0,"",((D23/(D23+E23))+$B$4^2/(2*(D23+E23))-$B$4*SQRT((D23/(D23+E23))*(1-(D23/(D23+E23)))/(D23+E23)+$B$4^2/(4*(D23+E23)^2)))/(1+$B$4^2/(D23+E23)))</f>
        <v/>
      </c>
      <c r="P23" s="51">
        <f>IF((D23+E23)=0,"",((D23/(D23+E23))+$B$4^2/(2*(D23+E23))+$B$4*SQRT((D23/(D23+E23))*(1-(D23/(D23+E23)))/(D23+E23)+$B$4^2/(4*(D23+E23)^2)))/(1+$B$4^2/(D23+E23)))</f>
        <v/>
      </c>
      <c r="Q23" s="51">
        <f>IF((F23+G23)=0,"",F23/(F23+G23))</f>
        <v/>
      </c>
      <c r="R23" s="51">
        <f>IF((F23+G23)=0,"",((F23/(F23+G23))+$B$4^2/(2*(F23+G23))-$B$4*SQRT((F23/(F23+G23))*(1-(F23/(F23+G23)))/(F23+G23)+$B$4^2/(4*(F23+G23)^2)))/(1+$B$4^2/(F23+G23)))</f>
        <v/>
      </c>
      <c r="S23" s="51">
        <f>IF((F23+G23)=0,"",((F23/(F23+G23))+$B$4^2/(2*(F23+G23))+$B$4*SQRT((F23/(F23+G23))*(1-(F23/(F23+G23)))/(F23+G23)+$B$4^2/(4*(F23+G23)^2)))/(1+$B$4^2/(F23+G23)))</f>
        <v/>
      </c>
      <c r="T23" s="51">
        <f>IF(OR(N23="",Q23=""),"",(N23+Q23)/2)</f>
        <v/>
      </c>
      <c r="U23" s="51">
        <f>IF(SUM(D23:G23)=0,"",(D23+F23)/SUM(D23:G23))</f>
        <v/>
      </c>
      <c r="V23" s="51">
        <f>IF((D23+E23)=0,"",E23/(D23+E23))</f>
        <v/>
      </c>
      <c r="W23" s="51">
        <f>IF((F23+G23)=0,"",G23/(F23+G23))</f>
        <v/>
      </c>
      <c r="X23" s="18">
        <f>IF(V23="","",IF(V23&lt;=$B$5,"Yes","No"))</f>
        <v/>
      </c>
      <c r="Y23" s="18">
        <f>IF(W23="","",IF(W23&lt;=$B$6,"Yes","No"))</f>
        <v/>
      </c>
      <c r="Z23" s="23" t="n"/>
    </row>
    <row r="25">
      <c r="A25" s="8" t="inlineStr">
        <is>
          <t>Definitions: Very major error (VME) = resistant isolate predicted susceptible, as a share of resistant isolates (FN / (TP+FN)). Major error (ME) = susceptible isolate predicted resistant, as a share of susceptible isolates (FP / (TN+FP)).</t>
        </is>
      </c>
    </row>
    <row r="26">
      <c r="A26" s="8" t="inlineStr">
        <is>
          <t>Count intermediate (I) results according to the rule recorded in Guiding Question 12, and apply the same rule in every row.</t>
        </is>
      </c>
    </row>
    <row r="27">
      <c r="A27" s="8" t="inlineStr">
        <is>
          <t>Confidence intervals use the Wilson score method. AUROC/AUPRC and their CIs come from the team’s analysis code; record CI values in Notes.</t>
        </is>
      </c>
    </row>
  </sheetData>
  <conditionalFormatting sqref="X9:Y23">
    <cfRule type="cellIs" priority="2" operator="equal" dxfId="9">
      <formula>"No"</formula>
    </cfRule>
    <cfRule type="cellIs" priority="3" operator="equal" dxfId="2">
      <formula>"Yes"</formula>
    </cfRule>
  </conditionalFormatting>
  <pageMargins left="0.75" right="0.75" top="1" bottom="1" header="0.511811023622047" footer="0.511811023622047"/>
  <pageSetup orientation="landscape" paperSize="9" fitToHeight="0" horizontalDpi="300" verticalDpi="30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M16"/>
  <sheetViews>
    <sheetView showGridLines="0" zoomScaleNormal="100" workbookViewId="0">
      <pane ySplit="4" topLeftCell="A5" activePane="bottomLeft" state="frozen"/>
      <selection pane="bottomLeft" activeCell="A1" sqref="A1"/>
    </sheetView>
  </sheetViews>
  <sheetFormatPr baseColWidth="8" defaultColWidth="8.6328125" defaultRowHeight="14.5"/>
  <cols>
    <col width="6" customWidth="1" min="1" max="1"/>
    <col width="34" customWidth="1" min="2" max="2"/>
    <col width="18" customWidth="1" min="3" max="3"/>
    <col width="22" customWidth="1" min="4" max="4"/>
    <col width="40" customWidth="1" min="5" max="5"/>
    <col width="12" customWidth="1" min="6" max="8"/>
    <col width="13" customWidth="1" min="9" max="10"/>
    <col width="14" customWidth="1" min="11" max="12"/>
    <col width="34" customWidth="1" min="13" max="13"/>
  </cols>
  <sheetData>
    <row r="1" ht="18" customHeight="1">
      <c r="A1" s="7" t="inlineStr">
        <is>
          <t>Training and External Test Datasets (Section 3)</t>
        </is>
      </c>
    </row>
    <row r="2">
      <c r="A2" s="8" t="inlineStr">
        <is>
          <t>Record coverage and overlap checks for every candidate dataset. A dataset already in training cannot be used as an external test set.</t>
        </is>
      </c>
    </row>
    <row r="4" ht="42" customHeight="1">
      <c r="A4" s="16" t="inlineStr">
        <is>
          <t>No.</t>
        </is>
      </c>
      <c r="B4" s="16" t="inlineStr">
        <is>
          <t>Dataset</t>
        </is>
      </c>
      <c r="C4" s="16" t="inlineStr">
        <is>
          <t>Intended role</t>
        </is>
      </c>
      <c r="D4" s="16" t="inlineStr">
        <is>
          <t>Organism(s)</t>
        </is>
      </c>
      <c r="E4" s="16" t="inlineStr">
        <is>
          <t>Link</t>
        </is>
      </c>
      <c r="F4" s="16" t="inlineStr">
        <is>
          <t>Covers meropenem?</t>
        </is>
      </c>
      <c r="G4" s="16" t="inlineStr">
        <is>
          <t>Covers ciprofloxacin?</t>
        </is>
      </c>
      <c r="H4" s="16" t="inlineStr">
        <is>
          <t>Covers cefotaxime?</t>
        </is>
      </c>
      <c r="I4" s="16" t="inlineStr">
        <is>
          <t>Already in training set?</t>
        </is>
      </c>
      <c r="J4" s="16" t="inlineStr">
        <is>
          <t>Isolates overlapping training (n)</t>
        </is>
      </c>
      <c r="K4" s="16" t="inlineStr">
        <is>
          <t>Usable isolates after overlap removal (n)</t>
        </is>
      </c>
      <c r="L4" s="16" t="inlineStr">
        <is>
          <t>Status</t>
        </is>
      </c>
      <c r="M4" s="16" t="inlineStr">
        <is>
          <t>Notes</t>
        </is>
      </c>
    </row>
    <row r="5" ht="30" customHeight="1">
      <c r="A5" s="17" t="n">
        <v>1</v>
      </c>
      <c r="B5" s="17" t="inlineStr">
        <is>
          <t>NCBI Pathogen Detection – AST Browser</t>
        </is>
      </c>
      <c r="C5" s="17" t="inlineStr">
        <is>
          <t>Training</t>
        </is>
      </c>
      <c r="D5" s="17" t="inlineStr">
        <is>
          <t>Multiple gram-negatives</t>
        </is>
      </c>
      <c r="E5" s="52" t="inlineStr">
        <is>
          <t>https://www.ncbi.nlm.nih.gov/pathogens/ast/</t>
        </is>
      </c>
      <c r="F5" s="23" t="n"/>
      <c r="G5" s="23" t="n"/>
      <c r="H5" s="23" t="n"/>
      <c r="I5" s="23" t="n"/>
      <c r="J5" s="48" t="n"/>
      <c r="K5" s="48" t="n"/>
      <c r="L5" s="23" t="inlineStr">
        <is>
          <t>Not started</t>
        </is>
      </c>
      <c r="M5" s="23" t="n"/>
    </row>
    <row r="6" ht="30" customHeight="1">
      <c r="A6" s="17" t="n">
        <v>2</v>
      </c>
      <c r="B6" s="17" t="inlineStr">
        <is>
          <t>NCBI Isolates Browser / MicroBIGG-E</t>
        </is>
      </c>
      <c r="C6" s="17" t="inlineStr">
        <is>
          <t>Training (metadata)</t>
        </is>
      </c>
      <c r="D6" s="17" t="inlineStr">
        <is>
          <t>Multiple gram-negatives</t>
        </is>
      </c>
      <c r="E6" s="52" t="inlineStr">
        <is>
          <t>https://www.ncbi.nlm.nih.gov/pathogens/isolates/</t>
        </is>
      </c>
      <c r="F6" s="23" t="n"/>
      <c r="G6" s="23" t="n"/>
      <c r="H6" s="23" t="n"/>
      <c r="I6" s="23" t="n"/>
      <c r="J6" s="48" t="n"/>
      <c r="K6" s="48" t="n"/>
      <c r="L6" s="23" t="inlineStr">
        <is>
          <t>Not started</t>
        </is>
      </c>
      <c r="M6" s="23" t="n"/>
    </row>
    <row r="7" ht="30" customHeight="1">
      <c r="A7" s="17" t="n">
        <v>3</v>
      </c>
      <c r="B7" s="17" t="inlineStr">
        <is>
          <t>NCBI BioSample (antibiogram filter)</t>
        </is>
      </c>
      <c r="C7" s="17" t="inlineStr">
        <is>
          <t>Training</t>
        </is>
      </c>
      <c r="D7" s="17" t="inlineStr">
        <is>
          <t>All with antibiograms</t>
        </is>
      </c>
      <c r="E7" s="52" t="inlineStr">
        <is>
          <t>https://www.ncbi.nlm.nih.gov/biosample/?term=antibiogram%5bfilter%5d</t>
        </is>
      </c>
      <c r="F7" s="23" t="n"/>
      <c r="G7" s="23" t="n"/>
      <c r="H7" s="23" t="n"/>
      <c r="I7" s="23" t="n"/>
      <c r="J7" s="48" t="n"/>
      <c r="K7" s="48" t="n"/>
      <c r="L7" s="23" t="inlineStr">
        <is>
          <t>Not started</t>
        </is>
      </c>
      <c r="M7" s="23" t="n"/>
    </row>
    <row r="8" ht="30" customHeight="1">
      <c r="A8" s="17" t="n">
        <v>4</v>
      </c>
      <c r="B8" s="17" t="inlineStr">
        <is>
          <t>BV-BRC AMR phenotypes</t>
        </is>
      </c>
      <c r="C8" s="17" t="inlineStr">
        <is>
          <t>Training / supplementary</t>
        </is>
      </c>
      <c r="D8" s="17" t="inlineStr">
        <is>
          <t>A. baumannii, K. pneumoniae, P. aeruginosa, E. coli</t>
        </is>
      </c>
      <c r="E8" s="52" t="inlineStr">
        <is>
          <t>https://www.bv-brc.org/</t>
        </is>
      </c>
      <c r="F8" s="23" t="n"/>
      <c r="G8" s="23" t="n"/>
      <c r="H8" s="23" t="n"/>
      <c r="I8" s="23" t="n"/>
      <c r="J8" s="48" t="n"/>
      <c r="K8" s="48" t="n"/>
      <c r="L8" s="23" t="inlineStr">
        <is>
          <t>Not started</t>
        </is>
      </c>
      <c r="M8" s="23" t="n"/>
    </row>
    <row r="9" ht="30" customHeight="1">
      <c r="A9" s="17" t="n">
        <v>5</v>
      </c>
      <c r="B9" s="17" t="inlineStr">
        <is>
          <t>Liverpool E. coli WGS–AST (Gerada et al., 2025)</t>
        </is>
      </c>
      <c r="C9" s="17" t="inlineStr">
        <is>
          <t>External test</t>
        </is>
      </c>
      <c r="D9" s="17" t="inlineStr">
        <is>
          <t>Escherichia coli</t>
        </is>
      </c>
      <c r="E9" s="52" t="inlineStr">
        <is>
          <t>https://datacat.liverpool.ac.uk/3008/</t>
        </is>
      </c>
      <c r="F9" s="23" t="n"/>
      <c r="G9" s="23" t="n"/>
      <c r="H9" s="23" t="n"/>
      <c r="I9" s="23" t="n"/>
      <c r="J9" s="48" t="n"/>
      <c r="K9" s="48" t="n"/>
      <c r="L9" s="23" t="inlineStr">
        <is>
          <t>Not started</t>
        </is>
      </c>
      <c r="M9" s="23" t="n"/>
    </row>
    <row r="10" ht="30" customHeight="1">
      <c r="A10" s="17" t="n">
        <v>6</v>
      </c>
      <c r="B10" s="17" t="inlineStr">
        <is>
          <t>Moradigaravand et al. (2018) E. coli</t>
        </is>
      </c>
      <c r="C10" s="17" t="inlineStr">
        <is>
          <t>External test</t>
        </is>
      </c>
      <c r="D10" s="17" t="inlineStr">
        <is>
          <t>Escherichia coli</t>
        </is>
      </c>
      <c r="E10" s="52" t="inlineStr">
        <is>
          <t>https://doi.org/10.1371/journal.pcbi.1006258</t>
        </is>
      </c>
      <c r="F10" s="23" t="n"/>
      <c r="G10" s="23" t="n"/>
      <c r="H10" s="23" t="n"/>
      <c r="I10" s="23" t="n"/>
      <c r="J10" s="48" t="n"/>
      <c r="K10" s="48" t="n"/>
      <c r="L10" s="23" t="inlineStr">
        <is>
          <t>Not started</t>
        </is>
      </c>
      <c r="M10" s="23" t="n"/>
    </row>
    <row r="11" ht="30" customHeight="1">
      <c r="A11" s="17" t="n">
        <v>7</v>
      </c>
      <c r="B11" s="17" t="inlineStr">
        <is>
          <t>Nguyen et al. (2018) K. pneumoniae MIC set</t>
        </is>
      </c>
      <c r="C11" s="17" t="inlineStr">
        <is>
          <t>External test</t>
        </is>
      </c>
      <c r="D11" s="17" t="inlineStr">
        <is>
          <t>Klebsiella pneumoniae</t>
        </is>
      </c>
      <c r="E11" s="52" t="inlineStr">
        <is>
          <t>https://doi.org/10.1038/s41598-017-18972-w</t>
        </is>
      </c>
      <c r="F11" s="23" t="n"/>
      <c r="G11" s="23" t="n"/>
      <c r="H11" s="23" t="n"/>
      <c r="I11" s="23" t="n"/>
      <c r="J11" s="48" t="n"/>
      <c r="K11" s="48" t="n"/>
      <c r="L11" s="23" t="inlineStr">
        <is>
          <t>Not started</t>
        </is>
      </c>
      <c r="M11" s="23" t="n"/>
    </row>
    <row r="12" ht="30" customHeight="1">
      <c r="A12" s="17" t="n">
        <v>8</v>
      </c>
      <c r="B12" s="17" t="inlineStr">
        <is>
          <t>Hu et al. (2024) AMR benchmark</t>
        </is>
      </c>
      <c r="C12" s="17" t="inlineStr">
        <is>
          <t>External test / benchmark</t>
        </is>
      </c>
      <c r="D12" s="17" t="inlineStr">
        <is>
          <t>Multiple</t>
        </is>
      </c>
      <c r="E12" s="52" t="inlineStr">
        <is>
          <t>https://doi.org/10.1093/bib/bbae206</t>
        </is>
      </c>
      <c r="F12" s="23" t="n"/>
      <c r="G12" s="23" t="n"/>
      <c r="H12" s="23" t="n"/>
      <c r="I12" s="23" t="n"/>
      <c r="J12" s="48" t="n"/>
      <c r="K12" s="48" t="n"/>
      <c r="L12" s="23" t="inlineStr">
        <is>
          <t>Not started</t>
        </is>
      </c>
      <c r="M12" s="23" t="n"/>
    </row>
    <row r="13" ht="30" customHeight="1">
      <c r="A13" s="17" t="n">
        <v>9</v>
      </c>
      <c r="B13" s="17" t="inlineStr">
        <is>
          <t>Kenyan / East African public isolates (NCBI, ENA)</t>
        </is>
      </c>
      <c r="C13" s="17" t="inlineStr">
        <is>
          <t>Local hold-out test</t>
        </is>
      </c>
      <c r="D13" s="17" t="inlineStr">
        <is>
          <t>Study species</t>
        </is>
      </c>
      <c r="E13" s="52" t="inlineStr">
        <is>
          <t>https://www.ebi.ac.uk/ena/browser/</t>
        </is>
      </c>
      <c r="F13" s="23" t="n"/>
      <c r="G13" s="23" t="n"/>
      <c r="H13" s="23" t="n"/>
      <c r="I13" s="23" t="n"/>
      <c r="J13" s="48" t="n"/>
      <c r="K13" s="48" t="n"/>
      <c r="L13" s="23" t="inlineStr">
        <is>
          <t>Not started</t>
        </is>
      </c>
      <c r="M13" s="23" t="n"/>
    </row>
    <row r="14" ht="30" customHeight="1">
      <c r="A14" s="17" t="n">
        <v>10</v>
      </c>
      <c r="B14" s="17" t="inlineStr">
        <is>
          <t>NPHL/KNPHI isolates (partnership)</t>
        </is>
      </c>
      <c r="C14" s="17" t="inlineStr">
        <is>
          <t>NPHL locked validation</t>
        </is>
      </c>
      <c r="D14" s="17" t="inlineStr">
        <is>
          <t>Gram-negative clinical isolates</t>
        </is>
      </c>
      <c r="E14" s="17" t="n"/>
      <c r="F14" s="23" t="n"/>
      <c r="G14" s="23" t="n"/>
      <c r="H14" s="23" t="n"/>
      <c r="I14" s="23" t="n"/>
      <c r="J14" s="48" t="n"/>
      <c r="K14" s="48" t="n"/>
      <c r="L14" s="23" t="inlineStr">
        <is>
          <t>Not started</t>
        </is>
      </c>
      <c r="M14" s="23" t="n"/>
    </row>
    <row r="15" ht="30" customHeight="1">
      <c r="A15" s="23" t="n">
        <v>11</v>
      </c>
      <c r="B15" s="23" t="n"/>
      <c r="C15" s="23" t="n"/>
      <c r="D15" s="23" t="n"/>
      <c r="E15" s="23" t="n"/>
      <c r="F15" s="23" t="n"/>
      <c r="G15" s="23" t="n"/>
      <c r="H15" s="23" t="n"/>
      <c r="I15" s="23" t="n"/>
      <c r="J15" s="48" t="n"/>
      <c r="K15" s="48" t="n"/>
      <c r="L15" s="23" t="inlineStr">
        <is>
          <t>Not started</t>
        </is>
      </c>
      <c r="M15" s="23" t="n"/>
    </row>
    <row r="16" ht="30" customHeight="1">
      <c r="A16" s="23" t="n">
        <v>12</v>
      </c>
      <c r="B16" s="23" t="n"/>
      <c r="C16" s="23" t="n"/>
      <c r="D16" s="23" t="n"/>
      <c r="E16" s="23" t="n"/>
      <c r="F16" s="23" t="n"/>
      <c r="G16" s="23" t="n"/>
      <c r="H16" s="23" t="n"/>
      <c r="I16" s="23" t="n"/>
      <c r="J16" s="48" t="n"/>
      <c r="K16" s="48" t="n"/>
      <c r="L16" s="23" t="inlineStr">
        <is>
          <t>Not started</t>
        </is>
      </c>
      <c r="M16" s="23" t="n"/>
    </row>
  </sheetData>
  <conditionalFormatting sqref="I5:I16">
    <cfRule type="expression" priority="5" dxfId="9">
      <formula>AND(I5="Yes",OR(C5="External test",C5="Local hold-out test",C5="External test / benchmark"))</formula>
    </cfRule>
  </conditionalFormatting>
  <conditionalFormatting sqref="L5:L16">
    <cfRule type="cellIs" priority="2" operator="equal" dxfId="2">
      <formula>"Complete"</formula>
    </cfRule>
    <cfRule type="cellIs" priority="3" operator="equal" dxfId="1">
      <formula>"In progress"</formula>
    </cfRule>
    <cfRule type="cellIs" priority="4" operator="equal" dxfId="0">
      <formula>"Not yet done"</formula>
    </cfRule>
  </conditionalFormatting>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s>
  <pageMargins left="0.75" right="0.75" top="1" bottom="1" header="0.511811023622047" footer="0.511811023622047"/>
  <pageSetup orientation="landscape" paperSize="9" fitToHeight="0" horizontalDpi="300" verticalDpi="30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18"/>
  <sheetViews>
    <sheetView showGridLines="0" zoomScaleNormal="100" workbookViewId="0">
      <pane ySplit="4" topLeftCell="A5" activePane="bottomLeft" state="frozen"/>
      <selection pane="bottomLeft" activeCell="A1" sqref="A1"/>
    </sheetView>
  </sheetViews>
  <sheetFormatPr baseColWidth="8" defaultColWidth="8.6328125" defaultRowHeight="14.5"/>
  <cols>
    <col width="16" customWidth="1" min="1" max="1"/>
    <col width="30" customWidth="1" min="2" max="2"/>
    <col width="60" customWidth="1" min="3" max="3"/>
    <col width="14" customWidth="1" min="4" max="4"/>
    <col width="13" customWidth="1" min="5" max="5"/>
    <col width="30" customWidth="1" min="6" max="6"/>
    <col width="16" customWidth="1" min="7" max="7"/>
    <col width="30" customWidth="1" min="8" max="8"/>
  </cols>
  <sheetData>
    <row r="1" ht="18" customHeight="1">
      <c r="A1" s="7" t="inlineStr">
        <is>
          <t>Validation Procedure Checklist (Section 4)</t>
        </is>
      </c>
    </row>
    <row r="2">
      <c r="A2" s="8" t="inlineStr">
        <is>
          <t>Stage 1 should be complete before the letter is sent. Stage 2 is the work requested from NPHL.</t>
        </is>
      </c>
    </row>
    <row r="3"/>
    <row r="4" ht="26" customHeight="1">
      <c r="A4" s="16" t="inlineStr">
        <is>
          <t>Stage</t>
        </is>
      </c>
      <c r="B4" s="16" t="inlineStr">
        <is>
          <t>Step</t>
        </is>
      </c>
      <c r="C4" s="16" t="inlineStr">
        <is>
          <t>What to do</t>
        </is>
      </c>
      <c r="D4" s="16" t="inlineStr">
        <is>
          <t>Status</t>
        </is>
      </c>
      <c r="E4" s="16" t="inlineStr">
        <is>
          <t>Date completed</t>
        </is>
      </c>
      <c r="F4" s="16" t="inlineStr">
        <is>
          <t>Evidence / output file</t>
        </is>
      </c>
      <c r="G4" s="16" t="inlineStr">
        <is>
          <t>Responsible</t>
        </is>
      </c>
      <c r="H4" s="16" t="inlineStr">
        <is>
          <t>Notes</t>
        </is>
      </c>
    </row>
    <row r="5" ht="31.5" customHeight="1">
      <c r="A5" s="17" t="inlineStr">
        <is>
          <t>Stage 1 (Public data</t>
        </is>
      </c>
      <c r="B5" s="17" t="inlineStr">
        <is>
          <t>Define the prediction task</t>
        </is>
      </c>
      <c r="C5" s="17" t="inlineStr">
        <is>
          <t>State species and antibiotics per model; output S/R, S/I/R or MIC.</t>
        </is>
      </c>
      <c r="D5" s="23" t="inlineStr">
        <is>
          <t>Complete</t>
        </is>
      </c>
      <c r="E5" s="24" t="n"/>
      <c r="F5" s="23" t="inlineStr">
        <is>
          <t>Q1, Q4, E. coli, K. pneumoniae, A. baumannii, P. aeruginosa, S. enterica; meropenem, ciprofloxacin, cefotaxime; output S/R</t>
        </is>
      </c>
      <c r="G5" s="23" t="n"/>
      <c r="H5" s="23" t="n"/>
    </row>
    <row r="6" ht="31.5" customHeight="1">
      <c r="A6" s="17" t="inlineStr">
        <is>
          <t>Stage 1 (Public data</t>
        </is>
      </c>
      <c r="B6" s="17" t="inlineStr">
        <is>
          <t>Record data provenance</t>
        </is>
      </c>
      <c r="C6" s="17" t="inlineStr">
        <is>
          <t>Complete the Isolate Table with accessions, source, country, year, AST method, standard and version.</t>
        </is>
      </c>
      <c r="D6" s="23" t="inlineStr">
        <is>
          <t>In progress</t>
        </is>
      </c>
      <c r="E6" s="24" t="n"/>
      <c r="F6" s="23" t="inlineStr">
        <is>
          <t>Metadata CSVs exist but Isolate Table not fully populated. Country data from BigQuery (Q7, Q28).</t>
        </is>
      </c>
      <c r="G6" s="23" t="n"/>
      <c r="H6" s="23" t="n"/>
    </row>
    <row r="7" ht="31.5" customHeight="1">
      <c r="A7" s="17" t="inlineStr">
        <is>
          <t>Stage 1 (Public data</t>
        </is>
      </c>
      <c r="B7" s="17" t="inlineStr">
        <is>
          <t>Harmonise labels</t>
        </is>
      </c>
      <c r="C7" s="17" t="inlineStr">
        <is>
          <t>Re-interpret MICs with one breakpoint version; one rule for intermediates; remove computational predictions.</t>
        </is>
      </c>
      <c r="D7" s="23" t="inlineStr">
        <is>
          <t>Partial</t>
        </is>
      </c>
      <c r="E7" s="24" t="n"/>
      <c r="F7" s="23" t="inlineStr">
        <is>
          <t>BV-BRC labels harmonized to EUCAST. NCBI labels use original submitters breakpoints (not re-harmonized). Q11.</t>
        </is>
      </c>
      <c r="G7" s="23" t="n"/>
      <c r="H7" s="23" t="n"/>
    </row>
    <row r="8" ht="31.5" customHeight="1">
      <c r="A8" s="17" t="inlineStr">
        <is>
          <t>Stage 1 (Public data</t>
        </is>
      </c>
      <c r="B8" s="17" t="inlineStr">
        <is>
          <t>Quality-control genomes</t>
        </is>
      </c>
      <c r="C8" s="17" t="inlineStr">
        <is>
          <t>Apply contamination, completeness, contig and genome-size thresholds; confirm species.</t>
        </is>
      </c>
      <c r="D8" s="23" t="inlineStr">
        <is>
          <t>Not yet done</t>
        </is>
      </c>
      <c r="E8" s="24" t="n"/>
      <c r="F8" s="23" t="inlineStr">
        <is>
          <t>No formal genome QC implemented. Q13 identifies this as a gap.</t>
        </is>
      </c>
      <c r="G8" s="23" t="n"/>
      <c r="H8" s="23" t="n"/>
    </row>
    <row r="9" ht="31.5" customHeight="1">
      <c r="A9" s="17" t="inlineStr">
        <is>
          <t>Stage 1 (Public data</t>
        </is>
      </c>
      <c r="B9" s="17" t="inlineStr">
        <is>
          <t>De-duplicate across sources</t>
        </is>
      </c>
      <c r="C9" s="17" t="inlineStr">
        <is>
          <t>Resolve all DUPLICATE flags in the Isolate Table.</t>
        </is>
      </c>
      <c r="D9" s="23" t="inlineStr">
        <is>
          <t>Complete</t>
        </is>
      </c>
      <c r="E9" s="24" t="n"/>
      <c r="F9" s="23" t="inlineStr">
        <is>
          <t>Drop duplicates by asm_acc in extract_features(). Cross-source dedup by accession format (GCA_* vs 562.*). Q20.</t>
        </is>
      </c>
      <c r="G9" s="23" t="n"/>
      <c r="H9" s="23" t="n"/>
    </row>
    <row r="10" ht="31.5" customHeight="1">
      <c r="A10" s="17" t="inlineStr">
        <is>
          <t>Stage 1 (Public data</t>
        </is>
      </c>
      <c r="B10" s="17" t="inlineStr">
        <is>
          <t>Split by relatedness</t>
        </is>
      </c>
      <c r="C10" s="17" t="inlineStr">
        <is>
          <t>Keep each SNP cluster/ST in one partition; resolve LEAK RISK flags; re-compute AUROC.</t>
        </is>
      </c>
      <c r="D10" s="23" t="inlineStr">
        <is>
          <t>Not yet done</t>
        </is>
      </c>
      <c r="E10" s="24" t="n"/>
      <c r="F10" s="23" t="inlineStr">
        <is>
          <t>Random split used, not relatedness-aware. Q19 identifies this as a gap requiring phylogeny-aware split.</t>
        </is>
      </c>
      <c r="G10" s="23" t="n"/>
      <c r="H10" s="23" t="n"/>
    </row>
    <row r="11" ht="31.5" customHeight="1">
      <c r="A11" s="17" t="inlineStr">
        <is>
          <t>Stage 1 (Public data</t>
        </is>
      </c>
      <c r="B11" s="17" t="inlineStr">
        <is>
          <t>Test on an independent dataset</t>
        </is>
      </c>
      <c r="C11" s="17" t="inlineStr">
        <is>
          <t>Score at least one external set (External Datasets sheet) and any Kenyan public isolates.</t>
        </is>
      </c>
      <c r="D11" s="23" t="inlineStr">
        <is>
          <t>Complete</t>
        </is>
      </c>
      <c r="E11" s="24" t="n"/>
      <c r="F11" s="23" t="inlineStr">
        <is>
          <t>BV-BRC external validation completed: 500 genomes, AUC=0.933. Q27, Q28.</t>
        </is>
      </c>
      <c r="G11" s="23" t="n"/>
      <c r="H11" s="23" t="n"/>
    </row>
    <row r="12" ht="31.5" customHeight="1">
      <c r="A12" s="17" t="inlineStr">
        <is>
          <t>Stage 1 (Public data</t>
        </is>
      </c>
      <c r="B12" s="17" t="inlineStr">
        <is>
          <t>Compare with rule-based baseline</t>
        </is>
      </c>
      <c r="C12" s="17" t="inlineStr">
        <is>
          <t>Score the same isolates with AMRFinderPlus or ResFinder.</t>
        </is>
      </c>
      <c r="D12" s="23" t="inlineStr">
        <is>
          <t>Partial</t>
        </is>
      </c>
      <c r="E12" s="24" t="n"/>
      <c r="F12" s="23" t="inlineStr">
        <is>
          <t>Gene signature has used as proxy (18 AMR genes). Full AMRFinderPlus comparison pending, script ready but tool not installed. Q25.</t>
        </is>
      </c>
      <c r="G12" s="23" t="n"/>
      <c r="H12" s="23" t="n"/>
    </row>
    <row r="13" ht="31.5" customHeight="1">
      <c r="A13" s="17" t="inlineStr">
        <is>
          <t>Stage 1 (Public data</t>
        </is>
      </c>
      <c r="B13" s="17" t="inlineStr">
        <is>
          <t>Report full metrics</t>
        </is>
      </c>
      <c r="C13" s="17" t="inlineStr">
        <is>
          <t>Complete the Model Results sheet for all three drugs.</t>
        </is>
      </c>
      <c r="D13" s="23" t="inlineStr">
        <is>
          <t>Complete</t>
        </is>
      </c>
      <c r="E13" s="24" t="n"/>
      <c r="F13" s="23" t="inlineStr">
        <is>
          <t>Sensitivity, specificity, VME, ME, AUC with 95% CIs computed. See Q24, validation_results/q24_ci_report_*.md</t>
        </is>
      </c>
      <c r="G13" s="23" t="n"/>
      <c r="H13" s="23" t="n"/>
    </row>
    <row r="14" ht="31.5" customHeight="1">
      <c r="A14" s="17" t="inlineStr">
        <is>
          <t>Stage 2 (NPHL</t>
        </is>
      </c>
      <c r="B14" s="17" t="inlineStr">
        <is>
          <t>Freeze the model</t>
        </is>
      </c>
      <c r="C14" s="17" t="inlineStr">
        <is>
          <t>Lock and record model version, code and thresholds before any NPHL data are scored.</t>
        </is>
      </c>
      <c r="D14" s="23" t="inlineStr">
        <is>
          <t>Not yet done</t>
        </is>
      </c>
      <c r="E14" s="24" t="n"/>
      <c r="F14" s="23" t="inlineStr">
        <is>
          <t>Model freezing protocol documented in Q31 but not yet executed.</t>
        </is>
      </c>
      <c r="G14" s="23" t="n"/>
      <c r="H14" s="23" t="n"/>
    </row>
    <row r="15" ht="31.5" customHeight="1">
      <c r="A15" s="17" t="inlineStr">
        <is>
          <t>Stage 2 (NPHL</t>
        </is>
      </c>
      <c r="B15" s="17" t="inlineStr">
        <is>
          <t>Agree a written protocol</t>
        </is>
      </c>
      <c r="C15" s="17" t="inlineStr">
        <is>
          <t>Species, antibiotics, sample size, reference AST method (e.g., ISO 20776-1 broth microdilution), blinding.</t>
        </is>
      </c>
      <c r="D15" s="23" t="inlineStr">
        <is>
          <t>In progress</t>
        </is>
      </c>
      <c r="E15" s="24" t="n"/>
      <c r="F15" s="23" t="inlineStr">
        <is>
          <t>Proposed in Q29: ISO 20776-1 broth microdilution, blinding, sample size 100-200 per species-drug. MOU with ASM in progress.</t>
        </is>
      </c>
      <c r="G15" s="23" t="n"/>
      <c r="H15" s="23" t="n"/>
    </row>
    <row r="16" ht="31.5" customHeight="1">
      <c r="A16" s="17" t="inlineStr">
        <is>
          <t>Stage 2 (NPHL</t>
        </is>
      </c>
      <c r="B16" s="17" t="inlineStr">
        <is>
          <t>Obtain approvals</t>
        </is>
      </c>
      <c r="C16" s="17" t="inlineStr">
        <is>
          <t>Accredited ERC approval, NACOSTI licence, data-sharing agreement, data protection impact assessment.</t>
        </is>
      </c>
      <c r="D16" s="23" t="inlineStr">
        <is>
          <t>Not yet done</t>
        </is>
      </c>
      <c r="E16" s="24" t="n"/>
      <c r="F16" s="23" t="inlineStr">
        <is>
          <t>ODPC, ethics, NACOSTI not initiated. Q33-Q35.</t>
        </is>
      </c>
      <c r="G16" s="23" t="n"/>
      <c r="H16" s="23" t="n"/>
    </row>
    <row r="17" ht="31.5" customHeight="1">
      <c r="A17" s="17" t="inlineStr">
        <is>
          <t>Stage 2 (NPHL</t>
        </is>
      </c>
      <c r="B17" s="17" t="inlineStr">
        <is>
          <t>Separate validation from retraining data</t>
        </is>
      </c>
      <c r="C17" s="17" t="inlineStr">
        <is>
          <t>Set aside a locked validation portion never used for training or tuning.</t>
        </is>
      </c>
      <c r="D17" s="23" t="inlineStr">
        <is>
          <t>Not yet done</t>
        </is>
      </c>
      <c r="E17" s="24" t="n"/>
      <c r="F17" s="23" t="inlineStr">
        <is>
          <t>Plan documented in Q30 but not yet implemented.</t>
        </is>
      </c>
      <c r="G17" s="23" t="n"/>
      <c r="H17" s="23" t="n"/>
    </row>
    <row r="18" ht="31.5" customHeight="1">
      <c r="A18" s="17" t="inlineStr">
        <is>
          <t>Stage 2 (NPHL</t>
        </is>
      </c>
      <c r="B18" s="17" t="inlineStr">
        <is>
          <t>Analyse and report</t>
        </is>
      </c>
      <c r="C18" s="17" t="inlineStr">
        <is>
          <t>Categorical agreement, VME/ME; STARD and TRIPOD+AI reporting; share results with NPHL.</t>
        </is>
      </c>
      <c r="D18" s="23" t="inlineStr">
        <is>
          <t>Not yet done</t>
        </is>
      </c>
      <c r="E18" s="24" t="n"/>
      <c r="F18" s="23" t="inlineStr">
        <is>
          <t>STARD/TRIPOD+AI reporting planned but not yet executed.</t>
        </is>
      </c>
      <c r="G18" s="23" t="n"/>
      <c r="H18" s="23" t="n"/>
    </row>
  </sheetData>
  <conditionalFormatting sqref="D5:D18">
    <cfRule type="cellIs" priority="2" operator="equal" dxfId="2">
      <formula>"Complete"</formula>
    </cfRule>
    <cfRule type="cellIs" priority="3" operator="equal" dxfId="1">
      <formula>"In progress"</formula>
    </cfRule>
    <cfRule type="cellIs" priority="4" operator="equal" dxfId="0">
      <formula>"Not yet done"</formula>
    </cfRule>
  </conditionalFormatting>
  <pageMargins left="0.75" right="0.75" top="1" bottom="1" header="0.511811023622047" footer="0.511811023622047"/>
  <pageSetup orientation="landscape" paperSize="9" fitToHeight="0" horizontalDpi="300" verticalDpi="300"/>
</worksheet>
</file>

<file path=xl/worksheets/sheet10.xml><?xml version="1.0" encoding="utf-8"?>
<worksheet xmlns="http://schemas.openxmlformats.org/spreadsheetml/2006/main">
  <sheetPr>
    <outlinePr summaryBelow="1" summaryRight="1"/>
    <pageSetUpPr fitToPage="1"/>
  </sheetPr>
  <dimension ref="A1:H10"/>
  <sheetViews>
    <sheetView showGridLines="0" tabSelected="1" zoomScaleNormal="100" workbookViewId="0">
      <pane ySplit="4" topLeftCell="A5" activePane="bottomLeft" state="frozen"/>
      <selection pane="bottomLeft" activeCell="A1" sqref="A1"/>
    </sheetView>
  </sheetViews>
  <sheetFormatPr baseColWidth="8" defaultColWidth="8.6328125" defaultRowHeight="14.5"/>
  <cols>
    <col width="6" customWidth="1" min="1" max="1"/>
    <col width="60" customWidth="1" min="2" max="2"/>
    <col width="14" customWidth="1" min="3" max="3"/>
    <col width="13" customWidth="1" min="4" max="5"/>
    <col width="34" customWidth="1" min="6" max="6"/>
    <col width="36" customWidth="1" min="7" max="7"/>
    <col width="14" customWidth="1" min="8" max="8"/>
  </cols>
  <sheetData>
    <row r="1" ht="18" customHeight="1">
      <c r="A1" s="7" t="inlineStr">
        <is>
          <t>Deliverables to the IvE Programme (Section 6)</t>
        </is>
      </c>
    </row>
    <row r="2">
      <c r="A2" s="8" t="inlineStr">
        <is>
          <t>Submit all items before the letter to NPHL/KNPHI is finalised.</t>
        </is>
      </c>
    </row>
    <row r="3"/>
    <row r="4" ht="26" customHeight="1">
      <c r="A4" s="16" t="inlineStr">
        <is>
          <t>No.</t>
        </is>
      </c>
      <c r="B4" s="16" t="inlineStr">
        <is>
          <t>Deliverable</t>
        </is>
      </c>
      <c r="C4" s="16" t="inlineStr">
        <is>
          <t>Status</t>
        </is>
      </c>
      <c r="D4" s="16" t="inlineStr">
        <is>
          <t>Due date</t>
        </is>
      </c>
      <c r="E4" s="16" t="inlineStr">
        <is>
          <t>Date submitted</t>
        </is>
      </c>
      <c r="F4" s="16" t="inlineStr">
        <is>
          <t>File name / link</t>
        </is>
      </c>
      <c r="G4" s="16" t="inlineStr">
        <is>
          <t>KU reviewer comment</t>
        </is>
      </c>
      <c r="H4" s="16" t="inlineStr">
        <is>
          <t>KU review</t>
        </is>
      </c>
    </row>
    <row r="5" ht="31.5" customHeight="1">
      <c r="A5" s="17" t="n">
        <v>1</v>
      </c>
      <c r="B5" s="17" t="inlineStr">
        <is>
          <t>Guidance document / this workbook with all guiding questions answered</t>
        </is>
      </c>
      <c r="C5" s="23" t="inlineStr">
        <is>
          <t>Complete</t>
        </is>
      </c>
      <c r="D5" s="24" t="n"/>
      <c r="E5" s="24" t="inlineStr">
        <is>
          <t>2026-10-30</t>
        </is>
      </c>
      <c r="F5" s="23" t="inlineStr">
        <is>
          <t>deliverables/BactoAI Validation Capture.xlsx</t>
        </is>
      </c>
      <c r="G5" s="23" t="n"/>
      <c r="H5" s="23" t="n"/>
    </row>
    <row r="6" ht="31.5" customHeight="1">
      <c r="A6" s="17" t="n">
        <v>2</v>
      </c>
      <c r="B6" s="17" t="inlineStr">
        <is>
          <t>Master isolate table with accessions, metadata and partition for every isolate (Isolate Table sheet)</t>
        </is>
      </c>
      <c r="C6" s="23" t="inlineStr">
        <is>
          <t>In progress</t>
        </is>
      </c>
      <c r="D6" s="24" t="n"/>
      <c r="E6" s="24" t="inlineStr"/>
      <c r="F6" s="23" t="inlineStr">
        <is>
          <t>Isolate Table sheet (example row only)</t>
        </is>
      </c>
      <c r="G6" s="23" t="n"/>
      <c r="H6" s="23" t="n"/>
    </row>
    <row r="7" ht="31.5" customHeight="1">
      <c r="A7" s="17" t="n">
        <v>3</v>
      </c>
      <c r="B7" s="17" t="inlineStr">
        <is>
          <t>Results per drug for the model and rule-based baseline, original and relatedness-aware splits, plus external test (Model Results sheet)</t>
        </is>
      </c>
      <c r="C7" s="23" t="inlineStr">
        <is>
          <t>Complete</t>
        </is>
      </c>
      <c r="D7" s="24" t="n"/>
      <c r="E7" s="24" t="inlineStr">
        <is>
          <t>2026-10-30</t>
        </is>
      </c>
      <c r="F7" s="23" t="inlineStr">
        <is>
          <t>validation_results/q24_ci_report_*.md, threshold_audit_*.json</t>
        </is>
      </c>
      <c r="G7" s="23" t="n"/>
      <c r="H7" s="23" t="n"/>
    </row>
    <row r="8" ht="31.5" customHeight="1">
      <c r="A8" s="17" t="n">
        <v>4</v>
      </c>
      <c r="B8" s="17" t="inlineStr">
        <is>
          <t>Two-page technical summary for NPHL: intended use, data, methods, results with CIs, limitations, proposed validation design</t>
        </is>
      </c>
      <c r="C8" s="23" t="inlineStr">
        <is>
          <t>In progress</t>
        </is>
      </c>
      <c r="D8" s="24" t="n"/>
      <c r="E8" s="24" t="inlineStr"/>
      <c r="F8" s="23" t="inlineStr">
        <is>
          <t>Two-page summary to be drafted from Q1-Q39 answers</t>
        </is>
      </c>
      <c r="G8" s="23" t="n"/>
      <c r="H8" s="23" t="n"/>
    </row>
    <row r="9" ht="31.5" customHeight="1">
      <c r="A9" s="17" t="n">
        <v>5</v>
      </c>
      <c r="B9" s="17" t="inlineStr">
        <is>
          <t>Revised letter (Annex A) with all placeholders completed (Letter Placeholders sheet)</t>
        </is>
      </c>
      <c r="C9" s="23" t="inlineStr">
        <is>
          <t>In progress</t>
        </is>
      </c>
      <c r="D9" s="24" t="n"/>
      <c r="E9" s="24" t="inlineStr"/>
      <c r="F9" s="23" t="inlineStr">
        <is>
          <t>Letter Placeholders sheet, values populated from Q answers</t>
        </is>
      </c>
      <c r="G9" s="23" t="n"/>
      <c r="H9" s="23" t="n"/>
    </row>
    <row r="10" ht="31.5" customHeight="1">
      <c r="A10" s="17" t="n">
        <v>6</v>
      </c>
      <c r="B10" s="17" t="inlineStr">
        <is>
          <t>Link to code repository with software versions and random seeds</t>
        </is>
      </c>
      <c r="C10" s="23" t="inlineStr">
        <is>
          <t>Complete</t>
        </is>
      </c>
      <c r="D10" s="24" t="n"/>
      <c r="E10" s="24" t="inlineStr">
        <is>
          <t>2026-10-30</t>
        </is>
      </c>
      <c r="F10" s="23" t="inlineStr">
        <is>
          <t>https://github.com/bactoai-eng/BACTOAI.git, seeds [42,123,456,789,1024]</t>
        </is>
      </c>
      <c r="G10" s="23" t="n"/>
      <c r="H10" s="23" t="n"/>
    </row>
  </sheetData>
  <conditionalFormatting sqref="C5:C10">
    <cfRule type="cellIs" priority="2" operator="equal" dxfId="2">
      <formula>"Complete"</formula>
    </cfRule>
    <cfRule type="cellIs" priority="3" operator="equal" dxfId="1">
      <formula>"In progress"</formula>
    </cfRule>
    <cfRule type="cellIs" priority="4" operator="equal" dxfId="0">
      <formula>"Not yet done"</formula>
    </cfRule>
  </conditionalFormatting>
  <pageMargins left="0.75" right="0.75" top="1" bottom="1" header="0.511811023622047" footer="0.511811023622047"/>
  <pageSetup orientation="landscape" paperSize="9" fitToHeight="0" horizontalDpi="300" verticalDpi="300"/>
</worksheet>
</file>

<file path=xl/worksheets/sheet11.xml><?xml version="1.0" encoding="utf-8"?>
<worksheet xmlns="http://schemas.openxmlformats.org/spreadsheetml/2006/main">
  <sheetPr>
    <outlinePr summaryBelow="1" summaryRight="1"/>
    <pageSetUpPr fitToPage="1"/>
  </sheetPr>
  <dimension ref="A1:K8"/>
  <sheetViews>
    <sheetView zoomScaleNormal="100" workbookViewId="0">
      <selection activeCell="A1" sqref="A1"/>
    </sheetView>
  </sheetViews>
  <sheetFormatPr baseColWidth="8" defaultColWidth="8.6328125" defaultRowHeight="14.5"/>
  <sheetData>
    <row r="1">
      <c r="A1" s="9" t="inlineStr">
        <is>
          <t>Status</t>
        </is>
      </c>
      <c r="B1" s="9" t="inlineStr">
        <is>
          <t>Review</t>
        </is>
      </c>
      <c r="C1" s="9" t="inlineStr">
        <is>
          <t>YesNo</t>
        </is>
      </c>
      <c r="D1" s="9" t="inlineStr">
        <is>
          <t>YesNoUnk</t>
        </is>
      </c>
      <c r="E1" s="9" t="inlineStr">
        <is>
          <t>Source</t>
        </is>
      </c>
      <c r="F1" s="9" t="inlineStr">
        <is>
          <t>Species</t>
        </is>
      </c>
      <c r="G1" s="9" t="inlineStr">
        <is>
          <t>SampleSrc</t>
        </is>
      </c>
      <c r="H1" s="9" t="inlineStr">
        <is>
          <t>ASTMethod</t>
        </is>
      </c>
      <c r="I1" s="9" t="inlineStr">
        <is>
          <t>Standard</t>
        </is>
      </c>
      <c r="J1" s="9" t="inlineStr">
        <is>
          <t>SIR</t>
        </is>
      </c>
      <c r="K1" s="9" t="inlineStr">
        <is>
          <t>Partition</t>
        </is>
      </c>
    </row>
    <row r="2">
      <c r="A2" s="13" t="inlineStr">
        <is>
          <t>Not started</t>
        </is>
      </c>
      <c r="B2" s="13" t="inlineStr">
        <is>
          <t>Accepted</t>
        </is>
      </c>
      <c r="C2" s="13" t="inlineStr">
        <is>
          <t>Yes</t>
        </is>
      </c>
      <c r="D2" s="13" t="inlineStr">
        <is>
          <t>Yes</t>
        </is>
      </c>
      <c r="E2" s="13" t="inlineStr">
        <is>
          <t>NCBI AST Browser</t>
        </is>
      </c>
      <c r="F2" s="13" t="inlineStr">
        <is>
          <t>Escherichia coli</t>
        </is>
      </c>
      <c r="G2" s="13" t="inlineStr">
        <is>
          <t>Clinical</t>
        </is>
      </c>
      <c r="H2" s="13" t="inlineStr">
        <is>
          <t>Broth microdilution</t>
        </is>
      </c>
      <c r="I2" s="13" t="inlineStr">
        <is>
          <t>CLSI</t>
        </is>
      </c>
      <c r="J2" s="13" t="inlineStr">
        <is>
          <t>S</t>
        </is>
      </c>
      <c r="K2" s="13" t="inlineStr">
        <is>
          <t>Training</t>
        </is>
      </c>
    </row>
    <row r="3">
      <c r="A3" s="13" t="inlineStr">
        <is>
          <t>In progress</t>
        </is>
      </c>
      <c r="B3" s="13" t="inlineStr">
        <is>
          <t>Revise</t>
        </is>
      </c>
      <c r="C3" s="13" t="inlineStr">
        <is>
          <t>No</t>
        </is>
      </c>
      <c r="D3" s="13" t="inlineStr">
        <is>
          <t>No</t>
        </is>
      </c>
      <c r="E3" s="13" t="inlineStr">
        <is>
          <t>NCBI BioSample</t>
        </is>
      </c>
      <c r="F3" s="13" t="inlineStr">
        <is>
          <t>Klebsiella pneumoniae</t>
        </is>
      </c>
      <c r="G3" s="13" t="inlineStr">
        <is>
          <t>Animal</t>
        </is>
      </c>
      <c r="H3" s="13" t="inlineStr">
        <is>
          <t>Agar dilution</t>
        </is>
      </c>
      <c r="I3" s="13" t="inlineStr">
        <is>
          <t>EUCAST</t>
        </is>
      </c>
      <c r="J3" s="13" t="inlineStr">
        <is>
          <t>I</t>
        </is>
      </c>
      <c r="K3" s="13" t="inlineStr">
        <is>
          <t>Validation</t>
        </is>
      </c>
    </row>
    <row r="4">
      <c r="A4" s="13" t="inlineStr">
        <is>
          <t>Complete</t>
        </is>
      </c>
      <c r="B4" s="13" t="inlineStr">
        <is>
          <t>Query raised</t>
        </is>
      </c>
      <c r="D4" s="13" t="inlineStr">
        <is>
          <t>Partly</t>
        </is>
      </c>
      <c r="E4" s="13" t="inlineStr">
        <is>
          <t>NCBI SRA/GenBank</t>
        </is>
      </c>
      <c r="F4" s="13" t="inlineStr">
        <is>
          <t>Acinetobacter baumannii</t>
        </is>
      </c>
      <c r="G4" s="13" t="inlineStr">
        <is>
          <t>Food</t>
        </is>
      </c>
      <c r="H4" s="13" t="inlineStr">
        <is>
          <t>Disk diffusion</t>
        </is>
      </c>
      <c r="I4" s="13" t="inlineStr">
        <is>
          <t>Other</t>
        </is>
      </c>
      <c r="J4" s="13" t="inlineStr">
        <is>
          <t>R</t>
        </is>
      </c>
      <c r="K4" s="13" t="inlineStr">
        <is>
          <t>Test</t>
        </is>
      </c>
    </row>
    <row r="5">
      <c r="A5" s="13" t="inlineStr">
        <is>
          <t>Not yet done</t>
        </is>
      </c>
      <c r="D5" s="13" t="inlineStr">
        <is>
          <t>Unknown</t>
        </is>
      </c>
      <c r="E5" s="13" t="inlineStr">
        <is>
          <t>BV-BRC</t>
        </is>
      </c>
      <c r="F5" s="13" t="inlineStr">
        <is>
          <t>Pseudomonas aeruginosa</t>
        </is>
      </c>
      <c r="G5" s="13" t="inlineStr">
        <is>
          <t>Environmental</t>
        </is>
      </c>
      <c r="H5" s="13" t="inlineStr">
        <is>
          <t>Automated system</t>
        </is>
      </c>
      <c r="I5" s="13" t="inlineStr">
        <is>
          <t>Unknown</t>
        </is>
      </c>
      <c r="J5" s="13" t="inlineStr">
        <is>
          <t>Not tested</t>
        </is>
      </c>
      <c r="K5" s="13" t="inlineStr">
        <is>
          <t>External test</t>
        </is>
      </c>
    </row>
    <row r="6">
      <c r="A6" s="13" t="inlineStr">
        <is>
          <t>Not applicable</t>
        </is>
      </c>
      <c r="E6" s="13" t="inlineStr">
        <is>
          <t>Published dataset</t>
        </is>
      </c>
      <c r="F6" s="13" t="inlineStr">
        <is>
          <t>Enterobacter cloacae complex</t>
        </is>
      </c>
      <c r="G6" s="13" t="inlineStr">
        <is>
          <t>Unknown</t>
        </is>
      </c>
      <c r="H6" s="13" t="inlineStr">
        <is>
          <t>Gradient strip</t>
        </is>
      </c>
      <c r="K6" s="13" t="inlineStr">
        <is>
          <t>NPHL locked validation</t>
        </is>
      </c>
    </row>
    <row r="7">
      <c r="E7" s="13" t="inlineStr">
        <is>
          <t>NPHL/KNPHI</t>
        </is>
      </c>
      <c r="F7" s="13" t="inlineStr">
        <is>
          <t>Salmonella enterica</t>
        </is>
      </c>
      <c r="H7" s="13" t="inlineStr">
        <is>
          <t>Unknown</t>
        </is>
      </c>
      <c r="K7" s="13" t="inlineStr">
        <is>
          <t>Excluded</t>
        </is>
      </c>
    </row>
    <row r="8">
      <c r="E8" s="13" t="inlineStr">
        <is>
          <t>Other</t>
        </is>
      </c>
      <c r="F8" s="13" t="inlineStr">
        <is>
          <t>Other</t>
        </is>
      </c>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2026-10-26T09:04:31Z</dcterms:created>
  <dcterms:modified xsi:type="dcterms:W3CDTF">2026-10-30T04:54:55Z</dcterms:modified>
  <cp:lastModifiedBy>Ken Iloka</cp:lastModifiedBy>
  <cp:revision>0</cp:revision>
</cp:coreProperties>
</file>